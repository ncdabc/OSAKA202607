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3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3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39.xml" ContentType="application/vnd.openxmlformats-officedocument.drawingml.chart+xml"/>
  <Override PartName="/xl/drawings/drawing11.xml" ContentType="application/vnd.openxmlformats-officedocument.drawing+xml"/>
  <Override PartName="/xl/charts/chart4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1040071\Desktop\Personal\"/>
    </mc:Choice>
  </mc:AlternateContent>
  <xr:revisionPtr revIDLastSave="0" documentId="13_ncr:1_{11DA1F08-91A1-4ECD-9FB9-AABACFE95CD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2024" sheetId="16" r:id="rId1"/>
    <sheet name="2023" sheetId="14" r:id="rId2"/>
    <sheet name="2025" sheetId="19" r:id="rId3"/>
    <sheet name="2026" sheetId="20" r:id="rId4"/>
    <sheet name="2027" sheetId="21" r:id="rId5"/>
    <sheet name="留底" sheetId="17" r:id="rId6"/>
    <sheet name="2023繳稅" sheetId="15" r:id="rId7"/>
    <sheet name="2022" sheetId="12" r:id="rId8"/>
    <sheet name="2021" sheetId="10" r:id="rId9"/>
    <sheet name="2020" sheetId="9" r:id="rId10"/>
    <sheet name="2019" sheetId="6" r:id="rId11"/>
    <sheet name="工作表1" sheetId="1" r:id="rId12"/>
    <sheet name="工作表2" sheetId="4" r:id="rId13"/>
    <sheet name="台新" sheetId="2" r:id="rId14"/>
    <sheet name="年度表" sheetId="18" r:id="rId15"/>
    <sheet name="繳費資訊" sheetId="3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2" i="20" l="1"/>
  <c r="H145" i="20"/>
  <c r="H126" i="20"/>
  <c r="H132" i="20"/>
  <c r="H135" i="20"/>
  <c r="H123" i="20"/>
  <c r="K135" i="20"/>
  <c r="P142" i="20"/>
  <c r="K203" i="20" l="1"/>
  <c r="K184" i="20"/>
  <c r="F142" i="20"/>
  <c r="M142" i="20"/>
  <c r="F145" i="20"/>
  <c r="Q158" i="20"/>
  <c r="F144" i="20" l="1"/>
  <c r="K165" i="20" l="1"/>
  <c r="F184" i="20"/>
  <c r="J2" i="20"/>
  <c r="K123" i="20" l="1"/>
  <c r="N142" i="20"/>
  <c r="I135" i="20" l="1"/>
  <c r="P135" i="20"/>
  <c r="K146" i="20" l="1"/>
  <c r="R135" i="20"/>
  <c r="J135" i="20"/>
  <c r="F133" i="20"/>
  <c r="F132" i="20"/>
  <c r="J107" i="20"/>
  <c r="J104" i="20"/>
  <c r="M104" i="20"/>
  <c r="M123" i="20"/>
  <c r="I123" i="20"/>
  <c r="F123" i="20"/>
  <c r="P123" i="20"/>
  <c r="Q119" i="20" l="1"/>
  <c r="H104" i="20"/>
  <c r="F126" i="20"/>
  <c r="F107" i="20"/>
  <c r="F88" i="20"/>
  <c r="F69" i="20"/>
  <c r="F50" i="20"/>
  <c r="F31" i="20"/>
  <c r="F12" i="20"/>
  <c r="H125" i="20" l="1"/>
  <c r="Q125" i="20" l="1"/>
  <c r="C6" i="18" l="1"/>
  <c r="B6" i="18"/>
  <c r="C5" i="18"/>
  <c r="B5" i="18"/>
  <c r="C4" i="18"/>
  <c r="B4" i="18"/>
  <c r="C3" i="18"/>
  <c r="B3" i="18"/>
  <c r="C2" i="18"/>
  <c r="B2" i="18"/>
  <c r="E4" i="2"/>
  <c r="E2" i="2"/>
  <c r="L9" i="4"/>
  <c r="L7" i="4"/>
  <c r="H7" i="4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R66" i="6"/>
  <c r="Q66" i="6"/>
  <c r="F66" i="6"/>
  <c r="R65" i="6"/>
  <c r="G65" i="6"/>
  <c r="R64" i="6"/>
  <c r="P64" i="6"/>
  <c r="O64" i="6"/>
  <c r="H64" i="6"/>
  <c r="G64" i="6"/>
  <c r="F64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R61" i="6"/>
  <c r="H61" i="6"/>
  <c r="F61" i="6"/>
  <c r="R60" i="6"/>
  <c r="H60" i="6"/>
  <c r="G60" i="6"/>
  <c r="R59" i="6"/>
  <c r="P59" i="6"/>
  <c r="O59" i="6"/>
  <c r="H59" i="6"/>
  <c r="F59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R56" i="6"/>
  <c r="G56" i="6"/>
  <c r="F56" i="6"/>
  <c r="R55" i="6"/>
  <c r="H55" i="6"/>
  <c r="R54" i="6"/>
  <c r="P54" i="6"/>
  <c r="O54" i="6"/>
  <c r="H54" i="6"/>
  <c r="G54" i="6"/>
  <c r="F54" i="6"/>
  <c r="E54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R51" i="6"/>
  <c r="G51" i="6"/>
  <c r="F51" i="6"/>
  <c r="R50" i="6"/>
  <c r="H50" i="6"/>
  <c r="G50" i="6"/>
  <c r="E50" i="6"/>
  <c r="R49" i="6"/>
  <c r="P49" i="6"/>
  <c r="O49" i="6"/>
  <c r="H49" i="6"/>
  <c r="G49" i="6"/>
  <c r="F49" i="6"/>
  <c r="E49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R46" i="6"/>
  <c r="P46" i="6"/>
  <c r="O46" i="6"/>
  <c r="H46" i="6"/>
  <c r="E46" i="6"/>
  <c r="R45" i="6"/>
  <c r="H45" i="6"/>
  <c r="E45" i="6"/>
  <c r="R44" i="6"/>
  <c r="P44" i="6"/>
  <c r="O44" i="6"/>
  <c r="G44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R41" i="6"/>
  <c r="P41" i="6"/>
  <c r="R40" i="6"/>
  <c r="H40" i="6"/>
  <c r="R39" i="6"/>
  <c r="P39" i="6"/>
  <c r="O39" i="6"/>
  <c r="H39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R36" i="6"/>
  <c r="K36" i="6"/>
  <c r="H36" i="6"/>
  <c r="F36" i="6"/>
  <c r="R35" i="6"/>
  <c r="R34" i="6"/>
  <c r="P34" i="6"/>
  <c r="O34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R31" i="6"/>
  <c r="F31" i="6"/>
  <c r="R30" i="6"/>
  <c r="R29" i="6"/>
  <c r="P29" i="6"/>
  <c r="O29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R26" i="6"/>
  <c r="F26" i="6"/>
  <c r="R25" i="6"/>
  <c r="E25" i="6"/>
  <c r="R24" i="6"/>
  <c r="P24" i="6"/>
  <c r="O24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R21" i="6"/>
  <c r="F21" i="6"/>
  <c r="R20" i="6"/>
  <c r="E20" i="6"/>
  <c r="R19" i="6"/>
  <c r="P19" i="6"/>
  <c r="O19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R16" i="6"/>
  <c r="F16" i="6"/>
  <c r="R15" i="6"/>
  <c r="R14" i="6"/>
  <c r="P14" i="6"/>
  <c r="O14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R11" i="6"/>
  <c r="P11" i="6"/>
  <c r="M11" i="6"/>
  <c r="F11" i="6"/>
  <c r="R10" i="6"/>
  <c r="R9" i="6"/>
  <c r="P9" i="6"/>
  <c r="O9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Q6" i="6"/>
  <c r="P6" i="6"/>
  <c r="O6" i="6"/>
  <c r="N6" i="6"/>
  <c r="M6" i="6"/>
  <c r="L6" i="6"/>
  <c r="K6" i="6"/>
  <c r="J6" i="6"/>
  <c r="I6" i="6"/>
  <c r="H6" i="6"/>
  <c r="G6" i="6"/>
  <c r="F6" i="6"/>
  <c r="E6" i="6"/>
  <c r="B4" i="6"/>
  <c r="C3" i="6"/>
  <c r="B3" i="6"/>
  <c r="C2" i="6"/>
  <c r="B2" i="6"/>
  <c r="C1" i="6"/>
  <c r="B1" i="6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S66" i="9"/>
  <c r="R66" i="9"/>
  <c r="Q66" i="9"/>
  <c r="I66" i="9"/>
  <c r="E66" i="9"/>
  <c r="S65" i="9"/>
  <c r="H65" i="9"/>
  <c r="E65" i="9"/>
  <c r="S64" i="9"/>
  <c r="R64" i="9"/>
  <c r="Q64" i="9"/>
  <c r="I64" i="9"/>
  <c r="H64" i="9"/>
  <c r="G64" i="9"/>
  <c r="E64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S61" i="9"/>
  <c r="G61" i="9"/>
  <c r="S60" i="9"/>
  <c r="I60" i="9"/>
  <c r="S59" i="9"/>
  <c r="R59" i="9"/>
  <c r="Q59" i="9"/>
  <c r="I59" i="9"/>
  <c r="H59" i="9"/>
  <c r="G59" i="9"/>
  <c r="F59" i="9"/>
  <c r="E59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S56" i="9"/>
  <c r="Q56" i="9"/>
  <c r="G56" i="9"/>
  <c r="F56" i="9"/>
  <c r="S55" i="9"/>
  <c r="S54" i="9"/>
  <c r="R54" i="9"/>
  <c r="Q54" i="9"/>
  <c r="I54" i="9"/>
  <c r="H54" i="9"/>
  <c r="G54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S51" i="9"/>
  <c r="R51" i="9"/>
  <c r="G51" i="9"/>
  <c r="E51" i="9"/>
  <c r="S50" i="9"/>
  <c r="J50" i="9"/>
  <c r="F50" i="9"/>
  <c r="S49" i="9"/>
  <c r="R49" i="9"/>
  <c r="Q49" i="9"/>
  <c r="I49" i="9"/>
  <c r="H49" i="9"/>
  <c r="G49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S46" i="9"/>
  <c r="I46" i="9"/>
  <c r="G46" i="9"/>
  <c r="S45" i="9"/>
  <c r="I45" i="9"/>
  <c r="S44" i="9"/>
  <c r="Q44" i="9"/>
  <c r="I44" i="9"/>
  <c r="H44" i="9"/>
  <c r="G44" i="9"/>
  <c r="F44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S41" i="9"/>
  <c r="F41" i="9"/>
  <c r="S40" i="9"/>
  <c r="F40" i="9"/>
  <c r="S39" i="9"/>
  <c r="R39" i="9"/>
  <c r="Q39" i="9"/>
  <c r="I39" i="9"/>
  <c r="H39" i="9"/>
  <c r="G39" i="9"/>
  <c r="F39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S36" i="9"/>
  <c r="H36" i="9"/>
  <c r="G36" i="9"/>
  <c r="S35" i="9"/>
  <c r="H35" i="9"/>
  <c r="F35" i="9"/>
  <c r="S34" i="9"/>
  <c r="R34" i="9"/>
  <c r="Q34" i="9"/>
  <c r="I34" i="9"/>
  <c r="H34" i="9"/>
  <c r="G34" i="9"/>
  <c r="F34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S31" i="9"/>
  <c r="G31" i="9"/>
  <c r="S30" i="9"/>
  <c r="S29" i="9"/>
  <c r="R29" i="9"/>
  <c r="Q29" i="9"/>
  <c r="I29" i="9"/>
  <c r="G29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S26" i="9"/>
  <c r="G26" i="9"/>
  <c r="S25" i="9"/>
  <c r="S24" i="9"/>
  <c r="R24" i="9"/>
  <c r="Q24" i="9"/>
  <c r="G24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S21" i="9"/>
  <c r="S20" i="9"/>
  <c r="H20" i="9"/>
  <c r="S19" i="9"/>
  <c r="R19" i="9"/>
  <c r="Q19" i="9"/>
  <c r="J19" i="9"/>
  <c r="H19" i="9"/>
  <c r="G19" i="9"/>
  <c r="F19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S16" i="9"/>
  <c r="I16" i="9"/>
  <c r="G16" i="9"/>
  <c r="S15" i="9"/>
  <c r="H15" i="9"/>
  <c r="S14" i="9"/>
  <c r="R14" i="9"/>
  <c r="Q14" i="9"/>
  <c r="K14" i="9"/>
  <c r="I14" i="9"/>
  <c r="H14" i="9"/>
  <c r="G14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S11" i="9"/>
  <c r="I11" i="9"/>
  <c r="H11" i="9"/>
  <c r="S10" i="9"/>
  <c r="I10" i="9"/>
  <c r="S9" i="9"/>
  <c r="R9" i="9"/>
  <c r="Q9" i="9"/>
  <c r="I9" i="9"/>
  <c r="H9" i="9"/>
  <c r="G9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B4" i="9"/>
  <c r="C3" i="9"/>
  <c r="B3" i="9"/>
  <c r="L2" i="9"/>
  <c r="C2" i="9"/>
  <c r="B2" i="9"/>
  <c r="C1" i="9"/>
  <c r="B1" i="9"/>
  <c r="E242" i="10"/>
  <c r="K240" i="10"/>
  <c r="J240" i="10"/>
  <c r="I240" i="10"/>
  <c r="H240" i="10"/>
  <c r="G240" i="10"/>
  <c r="E240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S234" i="10"/>
  <c r="F234" i="10"/>
  <c r="S233" i="10"/>
  <c r="S232" i="10"/>
  <c r="S231" i="10"/>
  <c r="T230" i="10"/>
  <c r="S230" i="10"/>
  <c r="H230" i="10"/>
  <c r="S229" i="10"/>
  <c r="S228" i="10"/>
  <c r="H228" i="10"/>
  <c r="F228" i="10"/>
  <c r="S227" i="10"/>
  <c r="H227" i="10"/>
  <c r="F227" i="10"/>
  <c r="S226" i="10"/>
  <c r="F226" i="10"/>
  <c r="T225" i="10"/>
  <c r="S225" i="10"/>
  <c r="S224" i="10"/>
  <c r="F224" i="10"/>
  <c r="S223" i="10"/>
  <c r="I223" i="10"/>
  <c r="F223" i="10"/>
  <c r="S222" i="10"/>
  <c r="S221" i="10"/>
  <c r="S220" i="10"/>
  <c r="Q220" i="10"/>
  <c r="L220" i="10"/>
  <c r="J220" i="10"/>
  <c r="I220" i="10"/>
  <c r="H220" i="10"/>
  <c r="F220" i="10"/>
  <c r="S219" i="10"/>
  <c r="I219" i="10"/>
  <c r="H219" i="10"/>
  <c r="F219" i="10"/>
  <c r="T218" i="10"/>
  <c r="S218" i="10"/>
  <c r="Q218" i="10"/>
  <c r="I218" i="10"/>
  <c r="F218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S215" i="10"/>
  <c r="S214" i="10"/>
  <c r="S213" i="10"/>
  <c r="H213" i="10"/>
  <c r="S212" i="10"/>
  <c r="F212" i="10"/>
  <c r="T211" i="10"/>
  <c r="S211" i="10"/>
  <c r="S210" i="10"/>
  <c r="S209" i="10"/>
  <c r="H209" i="10"/>
  <c r="F209" i="10"/>
  <c r="S208" i="10"/>
  <c r="L208" i="10"/>
  <c r="F208" i="10"/>
  <c r="S207" i="10"/>
  <c r="T206" i="10"/>
  <c r="S206" i="10"/>
  <c r="S205" i="10"/>
  <c r="F205" i="10"/>
  <c r="S204" i="10"/>
  <c r="L204" i="10"/>
  <c r="H204" i="10"/>
  <c r="F204" i="10"/>
  <c r="S203" i="10"/>
  <c r="H203" i="10"/>
  <c r="S202" i="10"/>
  <c r="S201" i="10"/>
  <c r="Q201" i="10"/>
  <c r="L201" i="10"/>
  <c r="J201" i="10"/>
  <c r="I201" i="10"/>
  <c r="H201" i="10"/>
  <c r="F201" i="10"/>
  <c r="S200" i="10"/>
  <c r="I200" i="10"/>
  <c r="H200" i="10"/>
  <c r="F200" i="10"/>
  <c r="T199" i="10"/>
  <c r="S199" i="10"/>
  <c r="Q199" i="10"/>
  <c r="H199" i="10"/>
  <c r="F199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S196" i="10"/>
  <c r="J196" i="10"/>
  <c r="I196" i="10"/>
  <c r="F196" i="10"/>
  <c r="S195" i="10"/>
  <c r="G195" i="10"/>
  <c r="S194" i="10"/>
  <c r="S193" i="10"/>
  <c r="T192" i="10"/>
  <c r="S192" i="10"/>
  <c r="F192" i="10"/>
  <c r="S191" i="10"/>
  <c r="S190" i="10"/>
  <c r="F190" i="10"/>
  <c r="S189" i="10"/>
  <c r="I189" i="10"/>
  <c r="F189" i="10"/>
  <c r="S188" i="10"/>
  <c r="J188" i="10"/>
  <c r="T187" i="10"/>
  <c r="S187" i="10"/>
  <c r="J187" i="10"/>
  <c r="F187" i="10"/>
  <c r="S186" i="10"/>
  <c r="F186" i="10"/>
  <c r="S185" i="10"/>
  <c r="I185" i="10"/>
  <c r="S184" i="10"/>
  <c r="S183" i="10"/>
  <c r="S182" i="10"/>
  <c r="Q182" i="10"/>
  <c r="I182" i="10"/>
  <c r="H182" i="10"/>
  <c r="F182" i="10"/>
  <c r="S181" i="10"/>
  <c r="I181" i="10"/>
  <c r="H181" i="10"/>
  <c r="F181" i="10"/>
  <c r="T180" i="10"/>
  <c r="S180" i="10"/>
  <c r="Q180" i="10"/>
  <c r="H180" i="10"/>
  <c r="F180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S177" i="10"/>
  <c r="S176" i="10"/>
  <c r="S175" i="10"/>
  <c r="S174" i="10"/>
  <c r="T173" i="10"/>
  <c r="S173" i="10"/>
  <c r="S172" i="10"/>
  <c r="S171" i="10"/>
  <c r="F171" i="10"/>
  <c r="S170" i="10"/>
  <c r="F170" i="10"/>
  <c r="S169" i="10"/>
  <c r="F169" i="10"/>
  <c r="T168" i="10"/>
  <c r="S168" i="10"/>
  <c r="F168" i="10"/>
  <c r="S167" i="10"/>
  <c r="H167" i="10"/>
  <c r="F167" i="10"/>
  <c r="S166" i="10"/>
  <c r="Q166" i="10"/>
  <c r="I166" i="10"/>
  <c r="S165" i="10"/>
  <c r="S164" i="10"/>
  <c r="S163" i="10"/>
  <c r="Q163" i="10"/>
  <c r="I163" i="10"/>
  <c r="H163" i="10"/>
  <c r="F163" i="10"/>
  <c r="S162" i="10"/>
  <c r="I162" i="10"/>
  <c r="H162" i="10"/>
  <c r="F162" i="10"/>
  <c r="T161" i="10"/>
  <c r="S161" i="10"/>
  <c r="Q161" i="10"/>
  <c r="H161" i="10"/>
  <c r="F161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S158" i="10"/>
  <c r="F158" i="10"/>
  <c r="S157" i="10"/>
  <c r="S156" i="10"/>
  <c r="S155" i="10"/>
  <c r="F155" i="10"/>
  <c r="T154" i="10"/>
  <c r="S154" i="10"/>
  <c r="M154" i="10"/>
  <c r="H154" i="10"/>
  <c r="F154" i="10"/>
  <c r="S153" i="10"/>
  <c r="S152" i="10"/>
  <c r="F152" i="10"/>
  <c r="S151" i="10"/>
  <c r="F151" i="10"/>
  <c r="S150" i="10"/>
  <c r="T149" i="10"/>
  <c r="S149" i="10"/>
  <c r="S148" i="10"/>
  <c r="F148" i="10"/>
  <c r="S147" i="10"/>
  <c r="Q147" i="10"/>
  <c r="S146" i="10"/>
  <c r="S145" i="10"/>
  <c r="S144" i="10"/>
  <c r="Q144" i="10"/>
  <c r="P144" i="10"/>
  <c r="L144" i="10"/>
  <c r="I144" i="10"/>
  <c r="H144" i="10"/>
  <c r="F144" i="10"/>
  <c r="S143" i="10"/>
  <c r="M143" i="10"/>
  <c r="I143" i="10"/>
  <c r="H143" i="10"/>
  <c r="F143" i="10"/>
  <c r="T142" i="10"/>
  <c r="S142" i="10"/>
  <c r="Q142" i="10"/>
  <c r="H142" i="10"/>
  <c r="F142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S139" i="10"/>
  <c r="S138" i="10"/>
  <c r="M138" i="10"/>
  <c r="S137" i="10"/>
  <c r="S136" i="10"/>
  <c r="T135" i="10"/>
  <c r="S135" i="10"/>
  <c r="S134" i="10"/>
  <c r="S133" i="10"/>
  <c r="S132" i="10"/>
  <c r="L132" i="10"/>
  <c r="F132" i="10"/>
  <c r="S131" i="10"/>
  <c r="T130" i="10"/>
  <c r="S130" i="10"/>
  <c r="S129" i="10"/>
  <c r="F129" i="10"/>
  <c r="S128" i="10"/>
  <c r="F128" i="10"/>
  <c r="S127" i="10"/>
  <c r="S126" i="10"/>
  <c r="S125" i="10"/>
  <c r="Q125" i="10"/>
  <c r="L125" i="10"/>
  <c r="K125" i="10"/>
  <c r="J125" i="10"/>
  <c r="I125" i="10"/>
  <c r="H125" i="10"/>
  <c r="F125" i="10"/>
  <c r="S124" i="10"/>
  <c r="H124" i="10"/>
  <c r="T123" i="10"/>
  <c r="S123" i="10"/>
  <c r="Q123" i="10"/>
  <c r="H123" i="10"/>
  <c r="F123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S120" i="10"/>
  <c r="S119" i="10"/>
  <c r="S118" i="10"/>
  <c r="S117" i="10"/>
  <c r="T116" i="10"/>
  <c r="S116" i="10"/>
  <c r="S115" i="10"/>
  <c r="S114" i="10"/>
  <c r="S113" i="10"/>
  <c r="S112" i="10"/>
  <c r="T111" i="10"/>
  <c r="S111" i="10"/>
  <c r="S110" i="10"/>
  <c r="F110" i="10"/>
  <c r="S109" i="10"/>
  <c r="S108" i="10"/>
  <c r="S107" i="10"/>
  <c r="S106" i="10"/>
  <c r="Q106" i="10"/>
  <c r="L106" i="10"/>
  <c r="I106" i="10"/>
  <c r="H106" i="10"/>
  <c r="G106" i="10"/>
  <c r="F106" i="10"/>
  <c r="S105" i="10"/>
  <c r="H105" i="10"/>
  <c r="T104" i="10"/>
  <c r="S104" i="10"/>
  <c r="Q104" i="10"/>
  <c r="H104" i="10"/>
  <c r="F104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S101" i="10"/>
  <c r="Q101" i="10"/>
  <c r="S100" i="10"/>
  <c r="S99" i="10"/>
  <c r="F99" i="10"/>
  <c r="S98" i="10"/>
  <c r="Q98" i="10"/>
  <c r="T97" i="10"/>
  <c r="S97" i="10"/>
  <c r="S96" i="10"/>
  <c r="S95" i="10"/>
  <c r="H95" i="10"/>
  <c r="S94" i="10"/>
  <c r="S93" i="10"/>
  <c r="T92" i="10"/>
  <c r="S92" i="10"/>
  <c r="S91" i="10"/>
  <c r="F91" i="10"/>
  <c r="S90" i="10"/>
  <c r="G90" i="10"/>
  <c r="S89" i="10"/>
  <c r="S88" i="10"/>
  <c r="S87" i="10"/>
  <c r="Q87" i="10"/>
  <c r="L87" i="10"/>
  <c r="I87" i="10"/>
  <c r="H87" i="10"/>
  <c r="F87" i="10"/>
  <c r="S86" i="10"/>
  <c r="I86" i="10"/>
  <c r="H86" i="10"/>
  <c r="T85" i="10"/>
  <c r="S85" i="10"/>
  <c r="Q85" i="10"/>
  <c r="I85" i="10"/>
  <c r="H85" i="10"/>
  <c r="F85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S82" i="10"/>
  <c r="I82" i="10"/>
  <c r="S81" i="10"/>
  <c r="S80" i="10"/>
  <c r="F80" i="10"/>
  <c r="S79" i="10"/>
  <c r="T78" i="10"/>
  <c r="S78" i="10"/>
  <c r="J78" i="10"/>
  <c r="I78" i="10"/>
  <c r="H78" i="10"/>
  <c r="F78" i="10"/>
  <c r="S77" i="10"/>
  <c r="Q77" i="10"/>
  <c r="S76" i="10"/>
  <c r="F76" i="10"/>
  <c r="S75" i="10"/>
  <c r="F75" i="10"/>
  <c r="S74" i="10"/>
  <c r="F74" i="10"/>
  <c r="T73" i="10"/>
  <c r="S73" i="10"/>
  <c r="F73" i="10"/>
  <c r="S72" i="10"/>
  <c r="F72" i="10"/>
  <c r="S71" i="10"/>
  <c r="Q71" i="10"/>
  <c r="G71" i="10"/>
  <c r="F71" i="10"/>
  <c r="S70" i="10"/>
  <c r="S69" i="10"/>
  <c r="S68" i="10"/>
  <c r="Q68" i="10"/>
  <c r="J68" i="10"/>
  <c r="I68" i="10"/>
  <c r="H68" i="10"/>
  <c r="F68" i="10"/>
  <c r="S67" i="10"/>
  <c r="H67" i="10"/>
  <c r="F67" i="10"/>
  <c r="T66" i="10"/>
  <c r="S66" i="10"/>
  <c r="Q66" i="10"/>
  <c r="I66" i="10"/>
  <c r="H66" i="10"/>
  <c r="F66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S63" i="10"/>
  <c r="F63" i="10"/>
  <c r="S62" i="10"/>
  <c r="S61" i="10"/>
  <c r="F61" i="10"/>
  <c r="S60" i="10"/>
  <c r="T59" i="10"/>
  <c r="S59" i="10"/>
  <c r="F59" i="10"/>
  <c r="S58" i="10"/>
  <c r="S57" i="10"/>
  <c r="F57" i="10"/>
  <c r="S56" i="10"/>
  <c r="F56" i="10"/>
  <c r="S55" i="10"/>
  <c r="F55" i="10"/>
  <c r="T54" i="10"/>
  <c r="S54" i="10"/>
  <c r="F54" i="10"/>
  <c r="S53" i="10"/>
  <c r="I53" i="10"/>
  <c r="F53" i="10"/>
  <c r="S52" i="10"/>
  <c r="Q52" i="10"/>
  <c r="S51" i="10"/>
  <c r="S50" i="10"/>
  <c r="S49" i="10"/>
  <c r="Q49" i="10"/>
  <c r="J49" i="10"/>
  <c r="I49" i="10"/>
  <c r="H49" i="10"/>
  <c r="F49" i="10"/>
  <c r="S48" i="10"/>
  <c r="I48" i="10"/>
  <c r="H48" i="10"/>
  <c r="T47" i="10"/>
  <c r="S47" i="10"/>
  <c r="Q47" i="10"/>
  <c r="I47" i="10"/>
  <c r="H47" i="10"/>
  <c r="F47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S44" i="10"/>
  <c r="Q44" i="10"/>
  <c r="S43" i="10"/>
  <c r="S42" i="10"/>
  <c r="S41" i="10"/>
  <c r="T40" i="10"/>
  <c r="S40" i="10"/>
  <c r="I40" i="10"/>
  <c r="F40" i="10"/>
  <c r="S39" i="10"/>
  <c r="S38" i="10"/>
  <c r="F38" i="10"/>
  <c r="S37" i="10"/>
  <c r="F37" i="10"/>
  <c r="S36" i="10"/>
  <c r="F36" i="10"/>
  <c r="T35" i="10"/>
  <c r="S35" i="10"/>
  <c r="F35" i="10"/>
  <c r="S34" i="10"/>
  <c r="F34" i="10"/>
  <c r="S33" i="10"/>
  <c r="S32" i="10"/>
  <c r="S31" i="10"/>
  <c r="S30" i="10"/>
  <c r="Q30" i="10"/>
  <c r="I30" i="10"/>
  <c r="H30" i="10"/>
  <c r="F30" i="10"/>
  <c r="S29" i="10"/>
  <c r="L29" i="10"/>
  <c r="I29" i="10"/>
  <c r="H29" i="10"/>
  <c r="T28" i="10"/>
  <c r="S28" i="10"/>
  <c r="Q28" i="10"/>
  <c r="I28" i="10"/>
  <c r="H28" i="10"/>
  <c r="F28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S25" i="10"/>
  <c r="F25" i="10"/>
  <c r="S24" i="10"/>
  <c r="S23" i="10"/>
  <c r="S22" i="10"/>
  <c r="J22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A21" i="10"/>
  <c r="Z21" i="10"/>
  <c r="Y21" i="10"/>
  <c r="X21" i="10"/>
  <c r="W21" i="10"/>
  <c r="V21" i="10"/>
  <c r="T21" i="10"/>
  <c r="S21" i="10"/>
  <c r="J21" i="10"/>
  <c r="H21" i="10"/>
  <c r="F21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A20" i="10"/>
  <c r="Z20" i="10"/>
  <c r="Y20" i="10"/>
  <c r="X20" i="10"/>
  <c r="W20" i="10"/>
  <c r="V20" i="10"/>
  <c r="S20" i="10"/>
  <c r="F20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A19" i="10"/>
  <c r="Z19" i="10"/>
  <c r="Y19" i="10"/>
  <c r="X19" i="10"/>
  <c r="W19" i="10"/>
  <c r="V19" i="10"/>
  <c r="S19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B18" i="10"/>
  <c r="AA18" i="10"/>
  <c r="Z18" i="10"/>
  <c r="Y18" i="10"/>
  <c r="X18" i="10"/>
  <c r="W18" i="10"/>
  <c r="V18" i="10"/>
  <c r="S18" i="10"/>
  <c r="H18" i="10"/>
  <c r="F18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B17" i="10"/>
  <c r="AA17" i="10"/>
  <c r="Z17" i="10"/>
  <c r="Y17" i="10"/>
  <c r="X17" i="10"/>
  <c r="W17" i="10"/>
  <c r="V17" i="10"/>
  <c r="S17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B16" i="10"/>
  <c r="AA16" i="10"/>
  <c r="Z16" i="10"/>
  <c r="Y16" i="10"/>
  <c r="X16" i="10"/>
  <c r="W16" i="10"/>
  <c r="V16" i="10"/>
  <c r="T16" i="10"/>
  <c r="S16" i="10"/>
  <c r="F16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B15" i="10"/>
  <c r="AA15" i="10"/>
  <c r="Z15" i="10"/>
  <c r="Y15" i="10"/>
  <c r="X15" i="10"/>
  <c r="W15" i="10"/>
  <c r="V15" i="10"/>
  <c r="S15" i="10"/>
  <c r="F15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B14" i="10"/>
  <c r="AA14" i="10"/>
  <c r="Z14" i="10"/>
  <c r="Y14" i="10"/>
  <c r="X14" i="10"/>
  <c r="W14" i="10"/>
  <c r="V14" i="10"/>
  <c r="S14" i="10"/>
  <c r="F14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B13" i="10"/>
  <c r="AA13" i="10"/>
  <c r="Z13" i="10"/>
  <c r="Y13" i="10"/>
  <c r="X13" i="10"/>
  <c r="W13" i="10"/>
  <c r="V13" i="10"/>
  <c r="S13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B12" i="10"/>
  <c r="AA12" i="10"/>
  <c r="Z12" i="10"/>
  <c r="Y12" i="10"/>
  <c r="X12" i="10"/>
  <c r="W12" i="10"/>
  <c r="V12" i="10"/>
  <c r="S12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B11" i="10"/>
  <c r="AA11" i="10"/>
  <c r="Z11" i="10"/>
  <c r="Y11" i="10"/>
  <c r="X11" i="10"/>
  <c r="W11" i="10"/>
  <c r="V11" i="10"/>
  <c r="S11" i="10"/>
  <c r="Q11" i="10"/>
  <c r="J11" i="10"/>
  <c r="I11" i="10"/>
  <c r="H11" i="10"/>
  <c r="F11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B10" i="10"/>
  <c r="AA10" i="10"/>
  <c r="Z10" i="10"/>
  <c r="Y10" i="10"/>
  <c r="X10" i="10"/>
  <c r="W10" i="10"/>
  <c r="V10" i="10"/>
  <c r="S10" i="10"/>
  <c r="J10" i="10"/>
  <c r="I10" i="10"/>
  <c r="Y9" i="10"/>
  <c r="W9" i="10"/>
  <c r="T9" i="10"/>
  <c r="S9" i="10"/>
  <c r="Q9" i="10"/>
  <c r="L9" i="10"/>
  <c r="I9" i="10"/>
  <c r="H9" i="10"/>
  <c r="F9" i="10"/>
  <c r="AQ8" i="10"/>
  <c r="AL8" i="10"/>
  <c r="AE8" i="10"/>
  <c r="Y8" i="10"/>
  <c r="X8" i="10"/>
  <c r="W8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B6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B4" i="10"/>
  <c r="C3" i="10"/>
  <c r="B3" i="10"/>
  <c r="L2" i="10"/>
  <c r="K2" i="10"/>
  <c r="C2" i="10"/>
  <c r="B2" i="10"/>
  <c r="C1" i="10"/>
  <c r="B1" i="10"/>
  <c r="E242" i="12"/>
  <c r="L240" i="12"/>
  <c r="K240" i="12"/>
  <c r="J240" i="12"/>
  <c r="I240" i="12"/>
  <c r="H240" i="12"/>
  <c r="G240" i="12"/>
  <c r="E240" i="12"/>
  <c r="S235" i="12"/>
  <c r="R235" i="12"/>
  <c r="Q235" i="12"/>
  <c r="P235" i="12"/>
  <c r="O235" i="12"/>
  <c r="N235" i="12"/>
  <c r="M235" i="12"/>
  <c r="L235" i="12"/>
  <c r="K235" i="12"/>
  <c r="J235" i="12"/>
  <c r="I235" i="12"/>
  <c r="H235" i="12"/>
  <c r="G235" i="12"/>
  <c r="F235" i="12"/>
  <c r="S234" i="12"/>
  <c r="Q234" i="12"/>
  <c r="S233" i="12"/>
  <c r="S232" i="12"/>
  <c r="H232" i="12"/>
  <c r="S231" i="12"/>
  <c r="O231" i="12"/>
  <c r="T230" i="12"/>
  <c r="S230" i="12"/>
  <c r="H230" i="12"/>
  <c r="S229" i="12"/>
  <c r="S228" i="12"/>
  <c r="O228" i="12"/>
  <c r="S227" i="12"/>
  <c r="O227" i="12"/>
  <c r="S226" i="12"/>
  <c r="O226" i="12"/>
  <c r="H226" i="12"/>
  <c r="B226" i="12"/>
  <c r="T225" i="12"/>
  <c r="S225" i="12"/>
  <c r="H225" i="12"/>
  <c r="F225" i="12"/>
  <c r="B225" i="12"/>
  <c r="S224" i="12"/>
  <c r="F224" i="12"/>
  <c r="B224" i="12"/>
  <c r="S223" i="12"/>
  <c r="H223" i="12"/>
  <c r="F223" i="12"/>
  <c r="B223" i="12"/>
  <c r="S222" i="12"/>
  <c r="B222" i="12"/>
  <c r="S221" i="12"/>
  <c r="B221" i="12"/>
  <c r="S220" i="12"/>
  <c r="Q220" i="12"/>
  <c r="O220" i="12"/>
  <c r="N220" i="12"/>
  <c r="M220" i="12"/>
  <c r="J220" i="12"/>
  <c r="I220" i="12"/>
  <c r="H220" i="12"/>
  <c r="F220" i="12"/>
  <c r="S219" i="12"/>
  <c r="N219" i="12"/>
  <c r="I219" i="12"/>
  <c r="H219" i="12"/>
  <c r="F219" i="12"/>
  <c r="T218" i="12"/>
  <c r="S218" i="12"/>
  <c r="Q218" i="12"/>
  <c r="I218" i="12"/>
  <c r="H218" i="12"/>
  <c r="F218" i="12"/>
  <c r="S216" i="12"/>
  <c r="R216" i="12"/>
  <c r="Q216" i="12"/>
  <c r="P216" i="12"/>
  <c r="O216" i="12"/>
  <c r="N216" i="12"/>
  <c r="M216" i="12"/>
  <c r="L216" i="12"/>
  <c r="K216" i="12"/>
  <c r="J216" i="12"/>
  <c r="I216" i="12"/>
  <c r="H216" i="12"/>
  <c r="G216" i="12"/>
  <c r="F216" i="12"/>
  <c r="S215" i="12"/>
  <c r="H215" i="12"/>
  <c r="S214" i="12"/>
  <c r="S213" i="12"/>
  <c r="H213" i="12"/>
  <c r="S212" i="12"/>
  <c r="H212" i="12"/>
  <c r="T211" i="12"/>
  <c r="S211" i="12"/>
  <c r="M211" i="12"/>
  <c r="H211" i="12"/>
  <c r="F211" i="12"/>
  <c r="S210" i="12"/>
  <c r="S209" i="12"/>
  <c r="H209" i="12"/>
  <c r="S208" i="12"/>
  <c r="H208" i="12"/>
  <c r="S207" i="12"/>
  <c r="O207" i="12"/>
  <c r="T206" i="12"/>
  <c r="S206" i="12"/>
  <c r="M206" i="12"/>
  <c r="F206" i="12"/>
  <c r="S205" i="12"/>
  <c r="F205" i="12"/>
  <c r="S204" i="12"/>
  <c r="F204" i="12"/>
  <c r="S203" i="12"/>
  <c r="S202" i="12"/>
  <c r="S201" i="12"/>
  <c r="Q201" i="12"/>
  <c r="O201" i="12"/>
  <c r="N201" i="12"/>
  <c r="J201" i="12"/>
  <c r="I201" i="12"/>
  <c r="H201" i="12"/>
  <c r="F201" i="12"/>
  <c r="S200" i="12"/>
  <c r="H200" i="12"/>
  <c r="F200" i="12"/>
  <c r="T199" i="12"/>
  <c r="S199" i="12"/>
  <c r="Q199" i="12"/>
  <c r="H199" i="12"/>
  <c r="F199" i="12"/>
  <c r="S197" i="12"/>
  <c r="R197" i="12"/>
  <c r="Q197" i="12"/>
  <c r="P197" i="12"/>
  <c r="O197" i="12"/>
  <c r="N197" i="12"/>
  <c r="M197" i="12"/>
  <c r="L197" i="12"/>
  <c r="K197" i="12"/>
  <c r="J197" i="12"/>
  <c r="I197" i="12"/>
  <c r="H197" i="12"/>
  <c r="G197" i="12"/>
  <c r="F197" i="12"/>
  <c r="S196" i="12"/>
  <c r="F196" i="12"/>
  <c r="S195" i="12"/>
  <c r="H195" i="12"/>
  <c r="S194" i="12"/>
  <c r="S193" i="12"/>
  <c r="F193" i="12"/>
  <c r="T192" i="12"/>
  <c r="S192" i="12"/>
  <c r="H192" i="12"/>
  <c r="F192" i="12"/>
  <c r="S191" i="12"/>
  <c r="S190" i="12"/>
  <c r="H190" i="12"/>
  <c r="S189" i="12"/>
  <c r="H189" i="12"/>
  <c r="S188" i="12"/>
  <c r="O188" i="12"/>
  <c r="T187" i="12"/>
  <c r="S187" i="12"/>
  <c r="O187" i="12"/>
  <c r="S186" i="12"/>
  <c r="F186" i="12"/>
  <c r="S185" i="12"/>
  <c r="F185" i="12"/>
  <c r="S184" i="12"/>
  <c r="S183" i="12"/>
  <c r="S182" i="12"/>
  <c r="Q182" i="12"/>
  <c r="O182" i="12"/>
  <c r="N182" i="12"/>
  <c r="J182" i="12"/>
  <c r="I182" i="12"/>
  <c r="H182" i="12"/>
  <c r="F182" i="12"/>
  <c r="S181" i="12"/>
  <c r="H181" i="12"/>
  <c r="F181" i="12"/>
  <c r="T180" i="12"/>
  <c r="S180" i="12"/>
  <c r="Q180" i="12"/>
  <c r="H180" i="12"/>
  <c r="F180" i="12"/>
  <c r="S178" i="12"/>
  <c r="R178" i="12"/>
  <c r="Q178" i="12"/>
  <c r="P178" i="12"/>
  <c r="O178" i="12"/>
  <c r="N178" i="12"/>
  <c r="M178" i="12"/>
  <c r="L178" i="12"/>
  <c r="K178" i="12"/>
  <c r="J178" i="12"/>
  <c r="I178" i="12"/>
  <c r="H178" i="12"/>
  <c r="G178" i="12"/>
  <c r="F178" i="12"/>
  <c r="S177" i="12"/>
  <c r="F177" i="12"/>
  <c r="S176" i="12"/>
  <c r="S175" i="12"/>
  <c r="S174" i="12"/>
  <c r="T173" i="12"/>
  <c r="S173" i="12"/>
  <c r="L173" i="12"/>
  <c r="H173" i="12"/>
  <c r="F173" i="12"/>
  <c r="S172" i="12"/>
  <c r="S171" i="12"/>
  <c r="H171" i="12"/>
  <c r="S170" i="12"/>
  <c r="S169" i="12"/>
  <c r="T168" i="12"/>
  <c r="S168" i="12"/>
  <c r="S167" i="12"/>
  <c r="F167" i="12"/>
  <c r="S166" i="12"/>
  <c r="H166" i="12"/>
  <c r="F166" i="12"/>
  <c r="S165" i="12"/>
  <c r="S164" i="12"/>
  <c r="S163" i="12"/>
  <c r="Q163" i="12"/>
  <c r="O163" i="12"/>
  <c r="I163" i="12"/>
  <c r="H163" i="12"/>
  <c r="F163" i="12"/>
  <c r="S162" i="12"/>
  <c r="H162" i="12"/>
  <c r="F162" i="12"/>
  <c r="T161" i="12"/>
  <c r="S161" i="12"/>
  <c r="Q161" i="12"/>
  <c r="H161" i="12"/>
  <c r="F161" i="12"/>
  <c r="S159" i="12"/>
  <c r="R159" i="12"/>
  <c r="Q159" i="12"/>
  <c r="P159" i="12"/>
  <c r="O159" i="12"/>
  <c r="N159" i="12"/>
  <c r="M159" i="12"/>
  <c r="L159" i="12"/>
  <c r="K159" i="12"/>
  <c r="J159" i="12"/>
  <c r="I159" i="12"/>
  <c r="H159" i="12"/>
  <c r="G159" i="12"/>
  <c r="F159" i="12"/>
  <c r="S158" i="12"/>
  <c r="Q158" i="12"/>
  <c r="H158" i="12"/>
  <c r="S157" i="12"/>
  <c r="S156" i="12"/>
  <c r="F156" i="12"/>
  <c r="S155" i="12"/>
  <c r="T154" i="12"/>
  <c r="S154" i="12"/>
  <c r="Q154" i="12"/>
  <c r="H154" i="12"/>
  <c r="F154" i="12"/>
  <c r="S153" i="12"/>
  <c r="O153" i="12"/>
  <c r="S152" i="12"/>
  <c r="H152" i="12"/>
  <c r="S151" i="12"/>
  <c r="H151" i="12"/>
  <c r="S150" i="12"/>
  <c r="H150" i="12"/>
  <c r="T149" i="12"/>
  <c r="S149" i="12"/>
  <c r="H149" i="12"/>
  <c r="S148" i="12"/>
  <c r="F148" i="12"/>
  <c r="S147" i="12"/>
  <c r="H147" i="12"/>
  <c r="S146" i="12"/>
  <c r="S145" i="12"/>
  <c r="S144" i="12"/>
  <c r="Q144" i="12"/>
  <c r="O144" i="12"/>
  <c r="I144" i="12"/>
  <c r="H144" i="12"/>
  <c r="F144" i="12"/>
  <c r="S143" i="12"/>
  <c r="H143" i="12"/>
  <c r="F143" i="12"/>
  <c r="T142" i="12"/>
  <c r="S142" i="12"/>
  <c r="Q142" i="12"/>
  <c r="H142" i="12"/>
  <c r="F142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S139" i="12"/>
  <c r="M139" i="12"/>
  <c r="S138" i="12"/>
  <c r="S137" i="12"/>
  <c r="F137" i="12"/>
  <c r="S136" i="12"/>
  <c r="T135" i="12"/>
  <c r="S135" i="12"/>
  <c r="F135" i="12"/>
  <c r="S134" i="12"/>
  <c r="S133" i="12"/>
  <c r="S132" i="12"/>
  <c r="S131" i="12"/>
  <c r="T130" i="12"/>
  <c r="S130" i="12"/>
  <c r="H130" i="12"/>
  <c r="S129" i="12"/>
  <c r="F129" i="12"/>
  <c r="S128" i="12"/>
  <c r="Q128" i="12"/>
  <c r="O128" i="12"/>
  <c r="H128" i="12"/>
  <c r="F128" i="12"/>
  <c r="S127" i="12"/>
  <c r="S126" i="12"/>
  <c r="S125" i="12"/>
  <c r="Q125" i="12"/>
  <c r="O125" i="12"/>
  <c r="I125" i="12"/>
  <c r="H125" i="12"/>
  <c r="F125" i="12"/>
  <c r="S124" i="12"/>
  <c r="I124" i="12"/>
  <c r="H124" i="12"/>
  <c r="F124" i="12"/>
  <c r="T123" i="12"/>
  <c r="S123" i="12"/>
  <c r="Q123" i="12"/>
  <c r="H123" i="12"/>
  <c r="F123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S120" i="12"/>
  <c r="F120" i="12"/>
  <c r="S119" i="12"/>
  <c r="S118" i="12"/>
  <c r="S117" i="12"/>
  <c r="T116" i="12"/>
  <c r="S116" i="12"/>
  <c r="I116" i="12"/>
  <c r="H116" i="12"/>
  <c r="F116" i="12"/>
  <c r="S115" i="12"/>
  <c r="S114" i="12"/>
  <c r="S113" i="12"/>
  <c r="S112" i="12"/>
  <c r="O112" i="12"/>
  <c r="T111" i="12"/>
  <c r="S111" i="12"/>
  <c r="S110" i="12"/>
  <c r="F110" i="12"/>
  <c r="S109" i="12"/>
  <c r="I109" i="12"/>
  <c r="H109" i="12"/>
  <c r="F109" i="12"/>
  <c r="S108" i="12"/>
  <c r="S107" i="12"/>
  <c r="S106" i="12"/>
  <c r="Q106" i="12"/>
  <c r="I106" i="12"/>
  <c r="H106" i="12"/>
  <c r="F106" i="12"/>
  <c r="S105" i="12"/>
  <c r="H105" i="12"/>
  <c r="F105" i="12"/>
  <c r="T104" i="12"/>
  <c r="S104" i="12"/>
  <c r="Q104" i="12"/>
  <c r="H104" i="12"/>
  <c r="F104" i="12"/>
  <c r="S102" i="12"/>
  <c r="R102" i="12"/>
  <c r="Q102" i="12"/>
  <c r="P102" i="12"/>
  <c r="O102" i="12"/>
  <c r="N102" i="12"/>
  <c r="M102" i="12"/>
  <c r="L102" i="12"/>
  <c r="K102" i="12"/>
  <c r="J102" i="12"/>
  <c r="I102" i="12"/>
  <c r="H102" i="12"/>
  <c r="G102" i="12"/>
  <c r="F102" i="12"/>
  <c r="S101" i="12"/>
  <c r="I101" i="12"/>
  <c r="F101" i="12"/>
  <c r="S100" i="12"/>
  <c r="S99" i="12"/>
  <c r="F99" i="12"/>
  <c r="S98" i="12"/>
  <c r="F98" i="12"/>
  <c r="T97" i="12"/>
  <c r="S97" i="12"/>
  <c r="S96" i="12"/>
  <c r="S95" i="12"/>
  <c r="S94" i="12"/>
  <c r="S93" i="12"/>
  <c r="H93" i="12"/>
  <c r="T92" i="12"/>
  <c r="S92" i="12"/>
  <c r="S91" i="12"/>
  <c r="F91" i="12"/>
  <c r="S90" i="12"/>
  <c r="H90" i="12"/>
  <c r="F90" i="12"/>
  <c r="S89" i="12"/>
  <c r="S88" i="12"/>
  <c r="S87" i="12"/>
  <c r="Q87" i="12"/>
  <c r="O87" i="12"/>
  <c r="J87" i="12"/>
  <c r="I87" i="12"/>
  <c r="H87" i="12"/>
  <c r="F87" i="12"/>
  <c r="S86" i="12"/>
  <c r="I86" i="12"/>
  <c r="H86" i="12"/>
  <c r="T85" i="12"/>
  <c r="S85" i="12"/>
  <c r="Q85" i="12"/>
  <c r="H85" i="12"/>
  <c r="F85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S82" i="12"/>
  <c r="Q82" i="12"/>
  <c r="S81" i="12"/>
  <c r="H81" i="12"/>
  <c r="S80" i="12"/>
  <c r="I80" i="12"/>
  <c r="F80" i="12"/>
  <c r="S79" i="12"/>
  <c r="T78" i="12"/>
  <c r="S78" i="12"/>
  <c r="H78" i="12"/>
  <c r="F78" i="12"/>
  <c r="S77" i="12"/>
  <c r="S76" i="12"/>
  <c r="F76" i="12"/>
  <c r="S75" i="12"/>
  <c r="F75" i="12"/>
  <c r="S74" i="12"/>
  <c r="T73" i="12"/>
  <c r="S73" i="12"/>
  <c r="S72" i="12"/>
  <c r="O72" i="12"/>
  <c r="F72" i="12"/>
  <c r="S71" i="12"/>
  <c r="H71" i="12"/>
  <c r="F71" i="12"/>
  <c r="S70" i="12"/>
  <c r="S69" i="12"/>
  <c r="S68" i="12"/>
  <c r="Q68" i="12"/>
  <c r="O68" i="12"/>
  <c r="J68" i="12"/>
  <c r="I68" i="12"/>
  <c r="H68" i="12"/>
  <c r="F68" i="12"/>
  <c r="S67" i="12"/>
  <c r="H67" i="12"/>
  <c r="F67" i="12"/>
  <c r="T66" i="12"/>
  <c r="S66" i="12"/>
  <c r="Q66" i="12"/>
  <c r="H66" i="12"/>
  <c r="F66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S63" i="12"/>
  <c r="Q63" i="12"/>
  <c r="H63" i="12"/>
  <c r="S62" i="12"/>
  <c r="S61" i="12"/>
  <c r="S60" i="12"/>
  <c r="F60" i="12"/>
  <c r="T59" i="12"/>
  <c r="S59" i="12"/>
  <c r="H59" i="12"/>
  <c r="F59" i="12"/>
  <c r="S58" i="12"/>
  <c r="S57" i="12"/>
  <c r="H57" i="12"/>
  <c r="F57" i="12"/>
  <c r="S56" i="12"/>
  <c r="H56" i="12"/>
  <c r="F56" i="12"/>
  <c r="S55" i="12"/>
  <c r="J55" i="12"/>
  <c r="F55" i="12"/>
  <c r="T54" i="12"/>
  <c r="S54" i="12"/>
  <c r="S53" i="12"/>
  <c r="F53" i="12"/>
  <c r="S52" i="12"/>
  <c r="H52" i="12"/>
  <c r="F52" i="12"/>
  <c r="S51" i="12"/>
  <c r="S50" i="12"/>
  <c r="S49" i="12"/>
  <c r="Q49" i="12"/>
  <c r="J49" i="12"/>
  <c r="I49" i="12"/>
  <c r="H49" i="12"/>
  <c r="F49" i="12"/>
  <c r="S48" i="12"/>
  <c r="I48" i="12"/>
  <c r="H48" i="12"/>
  <c r="F48" i="12"/>
  <c r="T47" i="12"/>
  <c r="S47" i="12"/>
  <c r="Q47" i="12"/>
  <c r="H47" i="12"/>
  <c r="F47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S44" i="12"/>
  <c r="S43" i="12"/>
  <c r="S42" i="12"/>
  <c r="S41" i="12"/>
  <c r="T40" i="12"/>
  <c r="S40" i="12"/>
  <c r="J40" i="12"/>
  <c r="H40" i="12"/>
  <c r="G40" i="12"/>
  <c r="F40" i="12"/>
  <c r="S39" i="12"/>
  <c r="F39" i="12"/>
  <c r="S38" i="12"/>
  <c r="H38" i="12"/>
  <c r="F38" i="12"/>
  <c r="S37" i="12"/>
  <c r="H37" i="12"/>
  <c r="F37" i="12"/>
  <c r="S36" i="12"/>
  <c r="T35" i="12"/>
  <c r="S35" i="12"/>
  <c r="S34" i="12"/>
  <c r="F34" i="12"/>
  <c r="S33" i="12"/>
  <c r="I33" i="12"/>
  <c r="H33" i="12"/>
  <c r="S32" i="12"/>
  <c r="S31" i="12"/>
  <c r="S30" i="12"/>
  <c r="Q30" i="12"/>
  <c r="L30" i="12"/>
  <c r="J30" i="12"/>
  <c r="I30" i="12"/>
  <c r="H30" i="12"/>
  <c r="F30" i="12"/>
  <c r="S29" i="12"/>
  <c r="I29" i="12"/>
  <c r="H29" i="12"/>
  <c r="F29" i="12"/>
  <c r="T28" i="12"/>
  <c r="S28" i="12"/>
  <c r="Q28" i="12"/>
  <c r="H28" i="12"/>
  <c r="F28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S25" i="12"/>
  <c r="Q25" i="12"/>
  <c r="I25" i="12"/>
  <c r="F25" i="12"/>
  <c r="S24" i="12"/>
  <c r="S23" i="12"/>
  <c r="S22" i="12"/>
  <c r="F22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Z21" i="12"/>
  <c r="Y21" i="12"/>
  <c r="X21" i="12"/>
  <c r="W21" i="12"/>
  <c r="V21" i="12"/>
  <c r="T21" i="12"/>
  <c r="S21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Z20" i="12"/>
  <c r="Y20" i="12"/>
  <c r="X20" i="12"/>
  <c r="W20" i="12"/>
  <c r="V20" i="12"/>
  <c r="S20" i="12"/>
  <c r="Q20" i="12"/>
  <c r="I20" i="12"/>
  <c r="H20" i="12"/>
  <c r="F20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Z19" i="12"/>
  <c r="Y19" i="12"/>
  <c r="X19" i="12"/>
  <c r="W19" i="12"/>
  <c r="V19" i="12"/>
  <c r="S19" i="12"/>
  <c r="H19" i="12"/>
  <c r="F19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Z18" i="12"/>
  <c r="Y18" i="12"/>
  <c r="X18" i="12"/>
  <c r="W18" i="12"/>
  <c r="V18" i="12"/>
  <c r="S18" i="12"/>
  <c r="H18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Z17" i="12"/>
  <c r="Y17" i="12"/>
  <c r="X17" i="12"/>
  <c r="W17" i="12"/>
  <c r="V17" i="12"/>
  <c r="S17" i="12"/>
  <c r="F17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Z16" i="12"/>
  <c r="Y16" i="12"/>
  <c r="X16" i="12"/>
  <c r="W16" i="12"/>
  <c r="V16" i="12"/>
  <c r="T16" i="12"/>
  <c r="S16" i="12"/>
  <c r="H16" i="12"/>
  <c r="F16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Z15" i="12"/>
  <c r="Y15" i="12"/>
  <c r="X15" i="12"/>
  <c r="W15" i="12"/>
  <c r="V15" i="12"/>
  <c r="S15" i="12"/>
  <c r="F15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Z14" i="12"/>
  <c r="Y14" i="12"/>
  <c r="X14" i="12"/>
  <c r="W14" i="12"/>
  <c r="V14" i="12"/>
  <c r="S14" i="12"/>
  <c r="I14" i="12"/>
  <c r="H14" i="12"/>
  <c r="F14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Z13" i="12"/>
  <c r="Y13" i="12"/>
  <c r="X13" i="12"/>
  <c r="W13" i="12"/>
  <c r="V13" i="12"/>
  <c r="S13" i="12"/>
  <c r="H13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Z12" i="12"/>
  <c r="Y12" i="12"/>
  <c r="X12" i="12"/>
  <c r="W12" i="12"/>
  <c r="V12" i="12"/>
  <c r="S12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Z11" i="12"/>
  <c r="Y11" i="12"/>
  <c r="X11" i="12"/>
  <c r="W11" i="12"/>
  <c r="V11" i="12"/>
  <c r="S11" i="12"/>
  <c r="Q11" i="12"/>
  <c r="J11" i="12"/>
  <c r="I11" i="12"/>
  <c r="H11" i="12"/>
  <c r="F11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Z10" i="12"/>
  <c r="Y10" i="12"/>
  <c r="X10" i="12"/>
  <c r="W10" i="12"/>
  <c r="V10" i="12"/>
  <c r="S10" i="12"/>
  <c r="H10" i="12"/>
  <c r="F10" i="12"/>
  <c r="Y9" i="12"/>
  <c r="W9" i="12"/>
  <c r="T9" i="12"/>
  <c r="S9" i="12"/>
  <c r="Q9" i="12"/>
  <c r="I9" i="12"/>
  <c r="F9" i="12"/>
  <c r="AQ8" i="12"/>
  <c r="AL8" i="12"/>
  <c r="AE8" i="12"/>
  <c r="Z8" i="12"/>
  <c r="Y8" i="12"/>
  <c r="X8" i="12"/>
  <c r="W8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B6" i="12"/>
  <c r="AQ5" i="12"/>
  <c r="Q5" i="12"/>
  <c r="B5" i="12"/>
  <c r="C4" i="12"/>
  <c r="B4" i="12"/>
  <c r="J3" i="12"/>
  <c r="C3" i="12"/>
  <c r="B3" i="12"/>
  <c r="N2" i="12"/>
  <c r="L2" i="12"/>
  <c r="K2" i="12"/>
  <c r="C2" i="12"/>
  <c r="B2" i="12"/>
  <c r="C1" i="12"/>
  <c r="B1" i="12"/>
  <c r="E9" i="15"/>
  <c r="F3" i="15"/>
  <c r="G1" i="15"/>
  <c r="E242" i="17"/>
  <c r="M240" i="17"/>
  <c r="L240" i="17"/>
  <c r="K240" i="17"/>
  <c r="J240" i="17"/>
  <c r="I240" i="17"/>
  <c r="H240" i="17"/>
  <c r="G240" i="17"/>
  <c r="E240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S234" i="17"/>
  <c r="S233" i="17"/>
  <c r="S232" i="17"/>
  <c r="S231" i="17"/>
  <c r="T230" i="17"/>
  <c r="S230" i="17"/>
  <c r="S229" i="17"/>
  <c r="S228" i="17"/>
  <c r="S227" i="17"/>
  <c r="S226" i="17"/>
  <c r="B226" i="17"/>
  <c r="T225" i="17"/>
  <c r="S225" i="17"/>
  <c r="B225" i="17"/>
  <c r="S224" i="17"/>
  <c r="B224" i="17"/>
  <c r="S223" i="17"/>
  <c r="B223" i="17"/>
  <c r="S222" i="17"/>
  <c r="F222" i="17"/>
  <c r="B222" i="17"/>
  <c r="S221" i="17"/>
  <c r="B221" i="17"/>
  <c r="S220" i="17"/>
  <c r="Q220" i="17"/>
  <c r="B220" i="17"/>
  <c r="S219" i="17"/>
  <c r="B219" i="17"/>
  <c r="T218" i="17"/>
  <c r="S218" i="17"/>
  <c r="Q218" i="17"/>
  <c r="B218" i="17"/>
  <c r="S216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F216" i="17"/>
  <c r="S215" i="17"/>
  <c r="S214" i="17"/>
  <c r="S213" i="17"/>
  <c r="S212" i="17"/>
  <c r="T211" i="17"/>
  <c r="S211" i="17"/>
  <c r="S210" i="17"/>
  <c r="S209" i="17"/>
  <c r="S208" i="17"/>
  <c r="S207" i="17"/>
  <c r="B207" i="17"/>
  <c r="T206" i="17"/>
  <c r="S206" i="17"/>
  <c r="B206" i="17"/>
  <c r="S205" i="17"/>
  <c r="B205" i="17"/>
  <c r="S204" i="17"/>
  <c r="B204" i="17"/>
  <c r="S203" i="17"/>
  <c r="F203" i="17"/>
  <c r="B203" i="17"/>
  <c r="S202" i="17"/>
  <c r="B202" i="17"/>
  <c r="S201" i="17"/>
  <c r="Q201" i="17"/>
  <c r="B201" i="17"/>
  <c r="S200" i="17"/>
  <c r="B200" i="17"/>
  <c r="T199" i="17"/>
  <c r="S199" i="17"/>
  <c r="Q199" i="17"/>
  <c r="B199" i="17"/>
  <c r="S197" i="17"/>
  <c r="R197" i="17"/>
  <c r="Q197" i="17"/>
  <c r="P197" i="17"/>
  <c r="O197" i="17"/>
  <c r="N197" i="17"/>
  <c r="M197" i="17"/>
  <c r="L197" i="17"/>
  <c r="K197" i="17"/>
  <c r="J197" i="17"/>
  <c r="I197" i="17"/>
  <c r="H197" i="17"/>
  <c r="G197" i="17"/>
  <c r="F197" i="17"/>
  <c r="S196" i="17"/>
  <c r="S195" i="17"/>
  <c r="S194" i="17"/>
  <c r="S193" i="17"/>
  <c r="T192" i="17"/>
  <c r="S192" i="17"/>
  <c r="S191" i="17"/>
  <c r="S190" i="17"/>
  <c r="S189" i="17"/>
  <c r="S188" i="17"/>
  <c r="B188" i="17"/>
  <c r="T187" i="17"/>
  <c r="S187" i="17"/>
  <c r="B187" i="17"/>
  <c r="S186" i="17"/>
  <c r="B186" i="17"/>
  <c r="S185" i="17"/>
  <c r="B185" i="17"/>
  <c r="S184" i="17"/>
  <c r="F184" i="17"/>
  <c r="B184" i="17"/>
  <c r="S183" i="17"/>
  <c r="B183" i="17"/>
  <c r="S182" i="17"/>
  <c r="Q182" i="17"/>
  <c r="B182" i="17"/>
  <c r="S181" i="17"/>
  <c r="B181" i="17"/>
  <c r="T180" i="17"/>
  <c r="S180" i="17"/>
  <c r="Q180" i="17"/>
  <c r="B180" i="17"/>
  <c r="S178" i="17"/>
  <c r="R178" i="17"/>
  <c r="Q178" i="17"/>
  <c r="P178" i="17"/>
  <c r="O178" i="17"/>
  <c r="N178" i="17"/>
  <c r="M178" i="17"/>
  <c r="L178" i="17"/>
  <c r="K178" i="17"/>
  <c r="J178" i="17"/>
  <c r="I178" i="17"/>
  <c r="H178" i="17"/>
  <c r="G178" i="17"/>
  <c r="F178" i="17"/>
  <c r="S177" i="17"/>
  <c r="S176" i="17"/>
  <c r="S175" i="17"/>
  <c r="S174" i="17"/>
  <c r="T173" i="17"/>
  <c r="S173" i="17"/>
  <c r="S172" i="17"/>
  <c r="S171" i="17"/>
  <c r="S170" i="17"/>
  <c r="S169" i="17"/>
  <c r="B169" i="17"/>
  <c r="T168" i="17"/>
  <c r="S168" i="17"/>
  <c r="B168" i="17"/>
  <c r="S167" i="17"/>
  <c r="B167" i="17"/>
  <c r="S166" i="17"/>
  <c r="B166" i="17"/>
  <c r="S165" i="17"/>
  <c r="F165" i="17"/>
  <c r="B165" i="17"/>
  <c r="S164" i="17"/>
  <c r="B164" i="17"/>
  <c r="S163" i="17"/>
  <c r="Q163" i="17"/>
  <c r="B163" i="17"/>
  <c r="S162" i="17"/>
  <c r="B162" i="17"/>
  <c r="T161" i="17"/>
  <c r="S161" i="17"/>
  <c r="Q161" i="17"/>
  <c r="B161" i="17"/>
  <c r="S159" i="17"/>
  <c r="R159" i="17"/>
  <c r="Q159" i="17"/>
  <c r="P159" i="17"/>
  <c r="O159" i="17"/>
  <c r="N159" i="17"/>
  <c r="M159" i="17"/>
  <c r="L159" i="17"/>
  <c r="K159" i="17"/>
  <c r="J159" i="17"/>
  <c r="I159" i="17"/>
  <c r="H159" i="17"/>
  <c r="G159" i="17"/>
  <c r="F159" i="17"/>
  <c r="S158" i="17"/>
  <c r="S157" i="17"/>
  <c r="S156" i="17"/>
  <c r="S155" i="17"/>
  <c r="T154" i="17"/>
  <c r="S154" i="17"/>
  <c r="S153" i="17"/>
  <c r="S152" i="17"/>
  <c r="S151" i="17"/>
  <c r="S150" i="17"/>
  <c r="B150" i="17"/>
  <c r="T149" i="17"/>
  <c r="S149" i="17"/>
  <c r="B149" i="17"/>
  <c r="S148" i="17"/>
  <c r="B148" i="17"/>
  <c r="S147" i="17"/>
  <c r="B147" i="17"/>
  <c r="S146" i="17"/>
  <c r="B146" i="17"/>
  <c r="S145" i="17"/>
  <c r="B145" i="17"/>
  <c r="S144" i="17"/>
  <c r="Q144" i="17"/>
  <c r="B144" i="17"/>
  <c r="S143" i="17"/>
  <c r="B143" i="17"/>
  <c r="T142" i="17"/>
  <c r="S142" i="17"/>
  <c r="Q142" i="17"/>
  <c r="B142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V139" i="17"/>
  <c r="S139" i="17"/>
  <c r="V138" i="17"/>
  <c r="S138" i="17"/>
  <c r="V137" i="17"/>
  <c r="S137" i="17"/>
  <c r="V136" i="17"/>
  <c r="S136" i="17"/>
  <c r="V135" i="17"/>
  <c r="T135" i="17"/>
  <c r="S135" i="17"/>
  <c r="S134" i="17"/>
  <c r="S133" i="17"/>
  <c r="S132" i="17"/>
  <c r="S131" i="17"/>
  <c r="B131" i="17"/>
  <c r="T130" i="17"/>
  <c r="S130" i="17"/>
  <c r="B130" i="17"/>
  <c r="V129" i="17"/>
  <c r="S129" i="17"/>
  <c r="B129" i="17"/>
  <c r="V128" i="17"/>
  <c r="S128" i="17"/>
  <c r="B128" i="17"/>
  <c r="V127" i="17"/>
  <c r="S127" i="17"/>
  <c r="B127" i="17"/>
  <c r="V126" i="17"/>
  <c r="S126" i="17"/>
  <c r="B126" i="17"/>
  <c r="V125" i="17"/>
  <c r="S125" i="17"/>
  <c r="Q125" i="17"/>
  <c r="B125" i="17"/>
  <c r="V124" i="17"/>
  <c r="S124" i="17"/>
  <c r="B124" i="17"/>
  <c r="V123" i="17"/>
  <c r="T123" i="17"/>
  <c r="S123" i="17"/>
  <c r="Q123" i="17"/>
  <c r="B123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S120" i="17"/>
  <c r="S119" i="17"/>
  <c r="S118" i="17"/>
  <c r="S117" i="17"/>
  <c r="T116" i="17"/>
  <c r="S116" i="17"/>
  <c r="S115" i="17"/>
  <c r="S114" i="17"/>
  <c r="S113" i="17"/>
  <c r="S112" i="17"/>
  <c r="B112" i="17"/>
  <c r="T111" i="17"/>
  <c r="S111" i="17"/>
  <c r="B111" i="17"/>
  <c r="S110" i="17"/>
  <c r="B110" i="17"/>
  <c r="S109" i="17"/>
  <c r="B109" i="17"/>
  <c r="S108" i="17"/>
  <c r="F108" i="17"/>
  <c r="B108" i="17"/>
  <c r="S107" i="17"/>
  <c r="B107" i="17"/>
  <c r="S106" i="17"/>
  <c r="Q106" i="17"/>
  <c r="B106" i="17"/>
  <c r="S105" i="17"/>
  <c r="B105" i="17"/>
  <c r="T104" i="17"/>
  <c r="S104" i="17"/>
  <c r="Q104" i="17"/>
  <c r="S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S101" i="17"/>
  <c r="S100" i="17"/>
  <c r="S99" i="17"/>
  <c r="S98" i="17"/>
  <c r="T97" i="17"/>
  <c r="S97" i="17"/>
  <c r="S96" i="17"/>
  <c r="S95" i="17"/>
  <c r="S94" i="17"/>
  <c r="S93" i="17"/>
  <c r="B93" i="17"/>
  <c r="T92" i="17"/>
  <c r="S92" i="17"/>
  <c r="B92" i="17"/>
  <c r="S91" i="17"/>
  <c r="B91" i="17"/>
  <c r="S90" i="17"/>
  <c r="B90" i="17"/>
  <c r="S89" i="17"/>
  <c r="F89" i="17"/>
  <c r="B89" i="17"/>
  <c r="S88" i="17"/>
  <c r="B88" i="17"/>
  <c r="S87" i="17"/>
  <c r="Q87" i="17"/>
  <c r="B87" i="17"/>
  <c r="S86" i="17"/>
  <c r="B86" i="17"/>
  <c r="T85" i="17"/>
  <c r="S85" i="17"/>
  <c r="Q85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S82" i="17"/>
  <c r="S81" i="17"/>
  <c r="S80" i="17"/>
  <c r="S79" i="17"/>
  <c r="T78" i="17"/>
  <c r="S78" i="17"/>
  <c r="S77" i="17"/>
  <c r="S76" i="17"/>
  <c r="S75" i="17"/>
  <c r="S74" i="17"/>
  <c r="B74" i="17"/>
  <c r="T73" i="17"/>
  <c r="S73" i="17"/>
  <c r="B73" i="17"/>
  <c r="S72" i="17"/>
  <c r="B72" i="17"/>
  <c r="S71" i="17"/>
  <c r="B71" i="17"/>
  <c r="S70" i="17"/>
  <c r="F70" i="17"/>
  <c r="B70" i="17"/>
  <c r="S69" i="17"/>
  <c r="B69" i="17"/>
  <c r="S68" i="17"/>
  <c r="Q68" i="17"/>
  <c r="B68" i="17"/>
  <c r="S67" i="17"/>
  <c r="B67" i="17"/>
  <c r="T66" i="17"/>
  <c r="S66" i="17"/>
  <c r="Q66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S63" i="17"/>
  <c r="S62" i="17"/>
  <c r="S61" i="17"/>
  <c r="S60" i="17"/>
  <c r="T59" i="17"/>
  <c r="S59" i="17"/>
  <c r="S58" i="17"/>
  <c r="S57" i="17"/>
  <c r="S56" i="17"/>
  <c r="S55" i="17"/>
  <c r="B55" i="17"/>
  <c r="T54" i="17"/>
  <c r="S54" i="17"/>
  <c r="B54" i="17"/>
  <c r="S53" i="17"/>
  <c r="B53" i="17"/>
  <c r="S52" i="17"/>
  <c r="B52" i="17"/>
  <c r="S51" i="17"/>
  <c r="F51" i="17"/>
  <c r="B51" i="17"/>
  <c r="S50" i="17"/>
  <c r="B50" i="17"/>
  <c r="S49" i="17"/>
  <c r="Q49" i="17"/>
  <c r="B49" i="17"/>
  <c r="S48" i="17"/>
  <c r="B48" i="17"/>
  <c r="T47" i="17"/>
  <c r="S47" i="17"/>
  <c r="Q47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S44" i="17"/>
  <c r="S43" i="17"/>
  <c r="S42" i="17"/>
  <c r="S41" i="17"/>
  <c r="T40" i="17"/>
  <c r="S40" i="17"/>
  <c r="S39" i="17"/>
  <c r="S38" i="17"/>
  <c r="S37" i="17"/>
  <c r="S36" i="17"/>
  <c r="B36" i="17"/>
  <c r="T35" i="17"/>
  <c r="S35" i="17"/>
  <c r="B35" i="17"/>
  <c r="S34" i="17"/>
  <c r="B34" i="17"/>
  <c r="S33" i="17"/>
  <c r="B33" i="17"/>
  <c r="S32" i="17"/>
  <c r="F32" i="17"/>
  <c r="B32" i="17"/>
  <c r="S31" i="17"/>
  <c r="B31" i="17"/>
  <c r="S30" i="17"/>
  <c r="Q30" i="17"/>
  <c r="B30" i="17"/>
  <c r="S29" i="17"/>
  <c r="B29" i="17"/>
  <c r="T28" i="17"/>
  <c r="S28" i="17"/>
  <c r="Q28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S25" i="17"/>
  <c r="S24" i="17"/>
  <c r="S23" i="17"/>
  <c r="S22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Z21" i="17"/>
  <c r="Y21" i="17"/>
  <c r="X21" i="17"/>
  <c r="W21" i="17"/>
  <c r="V21" i="17"/>
  <c r="T21" i="17"/>
  <c r="S21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Z20" i="17"/>
  <c r="Y20" i="17"/>
  <c r="X20" i="17"/>
  <c r="W20" i="17"/>
  <c r="V20" i="17"/>
  <c r="S20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Z19" i="17"/>
  <c r="Y19" i="17"/>
  <c r="X19" i="17"/>
  <c r="W19" i="17"/>
  <c r="V19" i="17"/>
  <c r="S19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Z18" i="17"/>
  <c r="Y18" i="17"/>
  <c r="X18" i="17"/>
  <c r="W18" i="17"/>
  <c r="V18" i="17"/>
  <c r="S18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Z17" i="17"/>
  <c r="Y17" i="17"/>
  <c r="X17" i="17"/>
  <c r="W17" i="17"/>
  <c r="V17" i="17"/>
  <c r="S17" i="17"/>
  <c r="B17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Z16" i="17"/>
  <c r="Y16" i="17"/>
  <c r="X16" i="17"/>
  <c r="W16" i="17"/>
  <c r="V16" i="17"/>
  <c r="T16" i="17"/>
  <c r="S16" i="17"/>
  <c r="B16" i="17"/>
  <c r="AV15" i="17"/>
  <c r="AU15" i="17"/>
  <c r="AT15" i="17"/>
  <c r="AS15" i="17"/>
  <c r="AR15" i="17"/>
  <c r="AQ15" i="17"/>
  <c r="AP15" i="17"/>
  <c r="AO15" i="17"/>
  <c r="AN15" i="17"/>
  <c r="AM15" i="17"/>
  <c r="AL15" i="17"/>
  <c r="AK15" i="17"/>
  <c r="AJ15" i="17"/>
  <c r="AI15" i="17"/>
  <c r="AH15" i="17"/>
  <c r="AG15" i="17"/>
  <c r="AF15" i="17"/>
  <c r="AE15" i="17"/>
  <c r="AD15" i="17"/>
  <c r="Z15" i="17"/>
  <c r="Y15" i="17"/>
  <c r="X15" i="17"/>
  <c r="W15" i="17"/>
  <c r="V15" i="17"/>
  <c r="S15" i="17"/>
  <c r="B15" i="17"/>
  <c r="AV14" i="17"/>
  <c r="AU14" i="17"/>
  <c r="AT14" i="17"/>
  <c r="AS14" i="17"/>
  <c r="AR14" i="17"/>
  <c r="AQ14" i="17"/>
  <c r="AP14" i="17"/>
  <c r="AO14" i="17"/>
  <c r="AN14" i="17"/>
  <c r="AM14" i="17"/>
  <c r="AL14" i="17"/>
  <c r="AK14" i="17"/>
  <c r="AJ14" i="17"/>
  <c r="AI14" i="17"/>
  <c r="AH14" i="17"/>
  <c r="AG14" i="17"/>
  <c r="AF14" i="17"/>
  <c r="AE14" i="17"/>
  <c r="AD14" i="17"/>
  <c r="Z14" i="17"/>
  <c r="Y14" i="17"/>
  <c r="X14" i="17"/>
  <c r="W14" i="17"/>
  <c r="V14" i="17"/>
  <c r="S14" i="17"/>
  <c r="B14" i="17"/>
  <c r="AV13" i="17"/>
  <c r="AU13" i="17"/>
  <c r="AT13" i="17"/>
  <c r="AS13" i="17"/>
  <c r="AR13" i="17"/>
  <c r="AQ13" i="17"/>
  <c r="AP13" i="17"/>
  <c r="AO13" i="17"/>
  <c r="AN13" i="17"/>
  <c r="AM13" i="17"/>
  <c r="AL13" i="17"/>
  <c r="AK13" i="17"/>
  <c r="AJ13" i="17"/>
  <c r="AI13" i="17"/>
  <c r="AH13" i="17"/>
  <c r="AG13" i="17"/>
  <c r="AF13" i="17"/>
  <c r="AE13" i="17"/>
  <c r="AD13" i="17"/>
  <c r="Z13" i="17"/>
  <c r="Y13" i="17"/>
  <c r="X13" i="17"/>
  <c r="W13" i="17"/>
  <c r="V13" i="17"/>
  <c r="S13" i="17"/>
  <c r="F13" i="17"/>
  <c r="B13" i="17"/>
  <c r="AV12" i="17"/>
  <c r="AU12" i="17"/>
  <c r="AT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F12" i="17"/>
  <c r="AE12" i="17"/>
  <c r="AD12" i="17"/>
  <c r="Z12" i="17"/>
  <c r="Y12" i="17"/>
  <c r="X12" i="17"/>
  <c r="W12" i="17"/>
  <c r="V12" i="17"/>
  <c r="S12" i="17"/>
  <c r="B12" i="17"/>
  <c r="AV11" i="17"/>
  <c r="AU11" i="17"/>
  <c r="AT11" i="17"/>
  <c r="AS11" i="17"/>
  <c r="AR11" i="17"/>
  <c r="AQ11" i="17"/>
  <c r="AP11" i="17"/>
  <c r="AO11" i="17"/>
  <c r="AN11" i="17"/>
  <c r="AM11" i="17"/>
  <c r="AL11" i="17"/>
  <c r="AK11" i="17"/>
  <c r="AJ11" i="17"/>
  <c r="AI11" i="17"/>
  <c r="AH11" i="17"/>
  <c r="AG11" i="17"/>
  <c r="AF11" i="17"/>
  <c r="AE11" i="17"/>
  <c r="AD11" i="17"/>
  <c r="Z11" i="17"/>
  <c r="Y11" i="17"/>
  <c r="X11" i="17"/>
  <c r="W11" i="17"/>
  <c r="V11" i="17"/>
  <c r="S11" i="17"/>
  <c r="Q11" i="17"/>
  <c r="B11" i="17"/>
  <c r="AV10" i="17"/>
  <c r="AU10" i="17"/>
  <c r="AT10" i="17"/>
  <c r="AS10" i="17"/>
  <c r="AR10" i="17"/>
  <c r="AQ10" i="17"/>
  <c r="AP10" i="17"/>
  <c r="AO10" i="17"/>
  <c r="AN10" i="17"/>
  <c r="AM10" i="17"/>
  <c r="AL10" i="17"/>
  <c r="AK10" i="17"/>
  <c r="AJ10" i="17"/>
  <c r="AI10" i="17"/>
  <c r="AH10" i="17"/>
  <c r="AG10" i="17"/>
  <c r="AF10" i="17"/>
  <c r="AE10" i="17"/>
  <c r="AD10" i="17"/>
  <c r="Z10" i="17"/>
  <c r="Y10" i="17"/>
  <c r="X10" i="17"/>
  <c r="W10" i="17"/>
  <c r="V10" i="17"/>
  <c r="S10" i="17"/>
  <c r="B10" i="17"/>
  <c r="Y9" i="17"/>
  <c r="W9" i="17"/>
  <c r="T9" i="17"/>
  <c r="S9" i="17"/>
  <c r="Q9" i="17"/>
  <c r="Y8" i="17"/>
  <c r="X8" i="17"/>
  <c r="W8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AQ6" i="17"/>
  <c r="AL6" i="17"/>
  <c r="AE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B6" i="17"/>
  <c r="AU5" i="17"/>
  <c r="AT5" i="17"/>
  <c r="AS5" i="17"/>
  <c r="AR5" i="17"/>
  <c r="AQ5" i="17"/>
  <c r="AP5" i="17"/>
  <c r="AO5" i="17"/>
  <c r="AN5" i="17"/>
  <c r="AM5" i="17"/>
  <c r="AL5" i="17"/>
  <c r="AK5" i="17"/>
  <c r="AJ5" i="17"/>
  <c r="AI5" i="17"/>
  <c r="AH5" i="17"/>
  <c r="AG5" i="17"/>
  <c r="AF5" i="17"/>
  <c r="AE5" i="17"/>
  <c r="AD5" i="17"/>
  <c r="B5" i="17"/>
  <c r="AD4" i="17"/>
  <c r="C4" i="17"/>
  <c r="B4" i="17"/>
  <c r="AS3" i="17"/>
  <c r="AD3" i="17"/>
  <c r="C3" i="17"/>
  <c r="B3" i="17"/>
  <c r="L2" i="17"/>
  <c r="C2" i="17"/>
  <c r="B2" i="17"/>
  <c r="C1" i="17"/>
  <c r="B1" i="17"/>
  <c r="E242" i="21"/>
  <c r="M240" i="21"/>
  <c r="L240" i="21"/>
  <c r="K240" i="21"/>
  <c r="J240" i="21"/>
  <c r="I240" i="21"/>
  <c r="H240" i="21"/>
  <c r="G240" i="21"/>
  <c r="E240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S234" i="21"/>
  <c r="S233" i="21"/>
  <c r="S232" i="21"/>
  <c r="S231" i="21"/>
  <c r="T230" i="21"/>
  <c r="S230" i="21"/>
  <c r="S229" i="21"/>
  <c r="S228" i="21"/>
  <c r="S227" i="21"/>
  <c r="S226" i="21"/>
  <c r="B226" i="21"/>
  <c r="T225" i="21"/>
  <c r="S225" i="21"/>
  <c r="B225" i="21"/>
  <c r="S224" i="21"/>
  <c r="B224" i="21"/>
  <c r="S223" i="21"/>
  <c r="B223" i="21"/>
  <c r="S222" i="21"/>
  <c r="B222" i="21"/>
  <c r="S221" i="21"/>
  <c r="B221" i="21"/>
  <c r="S220" i="21"/>
  <c r="Q220" i="21"/>
  <c r="B220" i="21"/>
  <c r="S219" i="21"/>
  <c r="B219" i="21"/>
  <c r="T218" i="21"/>
  <c r="S218" i="21"/>
  <c r="Q218" i="21"/>
  <c r="C218" i="21"/>
  <c r="B218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S215" i="21"/>
  <c r="S214" i="21"/>
  <c r="S213" i="21"/>
  <c r="S212" i="21"/>
  <c r="T211" i="21"/>
  <c r="S211" i="21"/>
  <c r="S210" i="21"/>
  <c r="S209" i="21"/>
  <c r="S208" i="21"/>
  <c r="S207" i="21"/>
  <c r="B207" i="21"/>
  <c r="T206" i="21"/>
  <c r="S206" i="21"/>
  <c r="B206" i="21"/>
  <c r="S205" i="21"/>
  <c r="B205" i="21"/>
  <c r="S204" i="21"/>
  <c r="B204" i="21"/>
  <c r="S203" i="21"/>
  <c r="B203" i="21"/>
  <c r="S202" i="21"/>
  <c r="B202" i="21"/>
  <c r="S201" i="21"/>
  <c r="Q201" i="21"/>
  <c r="B201" i="21"/>
  <c r="S200" i="21"/>
  <c r="B200" i="21"/>
  <c r="T199" i="21"/>
  <c r="S199" i="21"/>
  <c r="Q199" i="21"/>
  <c r="C199" i="21"/>
  <c r="B199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S196" i="21"/>
  <c r="S195" i="21"/>
  <c r="Q195" i="21"/>
  <c r="S194" i="21"/>
  <c r="S193" i="21"/>
  <c r="T192" i="21"/>
  <c r="S192" i="21"/>
  <c r="S191" i="21"/>
  <c r="S190" i="21"/>
  <c r="S189" i="21"/>
  <c r="S188" i="21"/>
  <c r="B188" i="21"/>
  <c r="T187" i="21"/>
  <c r="S187" i="21"/>
  <c r="B187" i="21"/>
  <c r="S186" i="21"/>
  <c r="B186" i="21"/>
  <c r="S185" i="21"/>
  <c r="B185" i="21"/>
  <c r="S184" i="21"/>
  <c r="B184" i="21"/>
  <c r="S183" i="21"/>
  <c r="B183" i="21"/>
  <c r="S182" i="21"/>
  <c r="Q182" i="21"/>
  <c r="B182" i="21"/>
  <c r="S181" i="21"/>
  <c r="B181" i="21"/>
  <c r="T180" i="21"/>
  <c r="S180" i="21"/>
  <c r="Q180" i="21"/>
  <c r="C180" i="21"/>
  <c r="B180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S177" i="21"/>
  <c r="S176" i="21"/>
  <c r="Q176" i="21"/>
  <c r="S175" i="21"/>
  <c r="S174" i="21"/>
  <c r="T173" i="21"/>
  <c r="S173" i="21"/>
  <c r="S172" i="21"/>
  <c r="S171" i="21"/>
  <c r="S170" i="21"/>
  <c r="S169" i="21"/>
  <c r="B169" i="21"/>
  <c r="T168" i="21"/>
  <c r="S168" i="21"/>
  <c r="B168" i="21"/>
  <c r="S167" i="21"/>
  <c r="B167" i="21"/>
  <c r="S166" i="21"/>
  <c r="B166" i="21"/>
  <c r="S165" i="21"/>
  <c r="B165" i="21"/>
  <c r="S164" i="21"/>
  <c r="B164" i="21"/>
  <c r="S163" i="21"/>
  <c r="Q163" i="21"/>
  <c r="B163" i="21"/>
  <c r="S162" i="21"/>
  <c r="B162" i="21"/>
  <c r="T161" i="21"/>
  <c r="S161" i="21"/>
  <c r="Q161" i="21"/>
  <c r="C161" i="21"/>
  <c r="B161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S158" i="21"/>
  <c r="S157" i="21"/>
  <c r="Q157" i="21"/>
  <c r="S156" i="21"/>
  <c r="S155" i="21"/>
  <c r="T154" i="21"/>
  <c r="S154" i="21"/>
  <c r="S153" i="21"/>
  <c r="S152" i="21"/>
  <c r="S151" i="21"/>
  <c r="S150" i="21"/>
  <c r="B150" i="21"/>
  <c r="T149" i="21"/>
  <c r="S149" i="21"/>
  <c r="B149" i="21"/>
  <c r="S148" i="21"/>
  <c r="B148" i="21"/>
  <c r="S147" i="21"/>
  <c r="B147" i="21"/>
  <c r="S146" i="21"/>
  <c r="B146" i="21"/>
  <c r="S145" i="21"/>
  <c r="B145" i="21"/>
  <c r="S144" i="21"/>
  <c r="Q144" i="21"/>
  <c r="B144" i="21"/>
  <c r="S143" i="21"/>
  <c r="B143" i="21"/>
  <c r="T142" i="21"/>
  <c r="S142" i="21"/>
  <c r="Q142" i="21"/>
  <c r="C142" i="21"/>
  <c r="B142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V139" i="21"/>
  <c r="S139" i="21"/>
  <c r="V138" i="21"/>
  <c r="S138" i="21"/>
  <c r="Q138" i="21"/>
  <c r="V137" i="21"/>
  <c r="S137" i="21"/>
  <c r="V136" i="21"/>
  <c r="S136" i="21"/>
  <c r="V135" i="21"/>
  <c r="T135" i="21"/>
  <c r="S135" i="21"/>
  <c r="I135" i="21"/>
  <c r="S134" i="21"/>
  <c r="S133" i="21"/>
  <c r="S132" i="21"/>
  <c r="S131" i="21"/>
  <c r="B131" i="21"/>
  <c r="T130" i="21"/>
  <c r="S130" i="21"/>
  <c r="B130" i="21"/>
  <c r="V129" i="21"/>
  <c r="S129" i="21"/>
  <c r="B129" i="21"/>
  <c r="V128" i="21"/>
  <c r="S128" i="21"/>
  <c r="B128" i="21"/>
  <c r="V127" i="21"/>
  <c r="S127" i="21"/>
  <c r="B127" i="21"/>
  <c r="V126" i="21"/>
  <c r="S126" i="21"/>
  <c r="B126" i="21"/>
  <c r="V125" i="21"/>
  <c r="S125" i="21"/>
  <c r="Q125" i="21"/>
  <c r="B125" i="21"/>
  <c r="V124" i="21"/>
  <c r="S124" i="21"/>
  <c r="B124" i="21"/>
  <c r="V123" i="21"/>
  <c r="T123" i="21"/>
  <c r="S123" i="21"/>
  <c r="Q123" i="21"/>
  <c r="C123" i="21"/>
  <c r="B123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S120" i="21"/>
  <c r="S119" i="21"/>
  <c r="Q119" i="21"/>
  <c r="S118" i="21"/>
  <c r="S117" i="21"/>
  <c r="T116" i="21"/>
  <c r="S116" i="21"/>
  <c r="S115" i="21"/>
  <c r="S114" i="21"/>
  <c r="S113" i="21"/>
  <c r="S112" i="21"/>
  <c r="B112" i="21"/>
  <c r="T111" i="21"/>
  <c r="S111" i="21"/>
  <c r="B111" i="21"/>
  <c r="S110" i="21"/>
  <c r="B110" i="21"/>
  <c r="S109" i="21"/>
  <c r="B109" i="21"/>
  <c r="S108" i="21"/>
  <c r="B108" i="21"/>
  <c r="S107" i="21"/>
  <c r="B107" i="21"/>
  <c r="S106" i="21"/>
  <c r="Q106" i="21"/>
  <c r="B106" i="21"/>
  <c r="S105" i="21"/>
  <c r="B105" i="21"/>
  <c r="T104" i="21"/>
  <c r="S104" i="21"/>
  <c r="Q104" i="21"/>
  <c r="C104" i="21"/>
  <c r="B104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S101" i="21"/>
  <c r="S100" i="21"/>
  <c r="S99" i="21"/>
  <c r="S98" i="21"/>
  <c r="T97" i="21"/>
  <c r="S97" i="21"/>
  <c r="H97" i="21"/>
  <c r="S96" i="21"/>
  <c r="S95" i="21"/>
  <c r="S94" i="21"/>
  <c r="S93" i="21"/>
  <c r="B93" i="21"/>
  <c r="T92" i="21"/>
  <c r="S92" i="21"/>
  <c r="B92" i="21"/>
  <c r="S91" i="21"/>
  <c r="Q91" i="21"/>
  <c r="B91" i="21"/>
  <c r="S90" i="21"/>
  <c r="B90" i="21"/>
  <c r="S89" i="21"/>
  <c r="B89" i="21"/>
  <c r="S88" i="21"/>
  <c r="B88" i="21"/>
  <c r="S87" i="21"/>
  <c r="Q87" i="21"/>
  <c r="B87" i="21"/>
  <c r="S86" i="21"/>
  <c r="B86" i="21"/>
  <c r="T85" i="21"/>
  <c r="S85" i="21"/>
  <c r="Q85" i="21"/>
  <c r="C85" i="21"/>
  <c r="B85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S82" i="21"/>
  <c r="S81" i="21"/>
  <c r="S80" i="21"/>
  <c r="S79" i="21"/>
  <c r="T78" i="21"/>
  <c r="S78" i="21"/>
  <c r="S77" i="21"/>
  <c r="S76" i="21"/>
  <c r="S75" i="21"/>
  <c r="S74" i="21"/>
  <c r="B74" i="21"/>
  <c r="T73" i="21"/>
  <c r="S73" i="21"/>
  <c r="B73" i="21"/>
  <c r="S72" i="21"/>
  <c r="Q72" i="21"/>
  <c r="B72" i="21"/>
  <c r="S71" i="21"/>
  <c r="B71" i="21"/>
  <c r="S70" i="21"/>
  <c r="B70" i="21"/>
  <c r="S69" i="21"/>
  <c r="B69" i="21"/>
  <c r="S68" i="21"/>
  <c r="Q68" i="21"/>
  <c r="B68" i="21"/>
  <c r="S67" i="21"/>
  <c r="B67" i="21"/>
  <c r="T66" i="21"/>
  <c r="S66" i="21"/>
  <c r="Q66" i="21"/>
  <c r="C66" i="21"/>
  <c r="B66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S63" i="21"/>
  <c r="S62" i="21"/>
  <c r="S61" i="21"/>
  <c r="S60" i="21"/>
  <c r="T59" i="21"/>
  <c r="S59" i="21"/>
  <c r="S58" i="21"/>
  <c r="S57" i="21"/>
  <c r="S56" i="21"/>
  <c r="S55" i="21"/>
  <c r="B55" i="21"/>
  <c r="T54" i="21"/>
  <c r="S54" i="21"/>
  <c r="B54" i="21"/>
  <c r="S53" i="21"/>
  <c r="Q53" i="21"/>
  <c r="B53" i="21"/>
  <c r="S52" i="21"/>
  <c r="B52" i="21"/>
  <c r="S51" i="21"/>
  <c r="B51" i="21"/>
  <c r="S50" i="21"/>
  <c r="B50" i="21"/>
  <c r="S49" i="21"/>
  <c r="Q49" i="21"/>
  <c r="B49" i="21"/>
  <c r="S48" i="21"/>
  <c r="B48" i="21"/>
  <c r="T47" i="21"/>
  <c r="S47" i="21"/>
  <c r="Q47" i="21"/>
  <c r="C47" i="21"/>
  <c r="B47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S44" i="21"/>
  <c r="S43" i="21"/>
  <c r="S42" i="21"/>
  <c r="S41" i="21"/>
  <c r="T40" i="21"/>
  <c r="S40" i="21"/>
  <c r="S39" i="21"/>
  <c r="S38" i="21"/>
  <c r="S37" i="21"/>
  <c r="S36" i="21"/>
  <c r="B36" i="21"/>
  <c r="T35" i="21"/>
  <c r="S35" i="21"/>
  <c r="B35" i="21"/>
  <c r="S34" i="21"/>
  <c r="B34" i="21"/>
  <c r="S33" i="21"/>
  <c r="B33" i="21"/>
  <c r="S32" i="21"/>
  <c r="B32" i="21"/>
  <c r="S31" i="21"/>
  <c r="B31" i="21"/>
  <c r="S30" i="21"/>
  <c r="B30" i="21"/>
  <c r="S29" i="21"/>
  <c r="B29" i="21"/>
  <c r="T28" i="21"/>
  <c r="S28" i="21"/>
  <c r="C28" i="21"/>
  <c r="B28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S25" i="21"/>
  <c r="S24" i="21"/>
  <c r="S23" i="21"/>
  <c r="S22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Z21" i="21"/>
  <c r="Y21" i="21"/>
  <c r="X21" i="21"/>
  <c r="W21" i="21"/>
  <c r="V21" i="21"/>
  <c r="T21" i="21"/>
  <c r="S21" i="21"/>
  <c r="M21" i="21"/>
  <c r="I21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Z20" i="21"/>
  <c r="Y20" i="21"/>
  <c r="X20" i="21"/>
  <c r="W20" i="21"/>
  <c r="V20" i="21"/>
  <c r="S20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Z19" i="21"/>
  <c r="Y19" i="21"/>
  <c r="X19" i="21"/>
  <c r="W19" i="21"/>
  <c r="V19" i="21"/>
  <c r="S19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Z18" i="21"/>
  <c r="Y18" i="21"/>
  <c r="X18" i="21"/>
  <c r="W18" i="21"/>
  <c r="V18" i="21"/>
  <c r="S18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Z17" i="21"/>
  <c r="Y17" i="21"/>
  <c r="X17" i="21"/>
  <c r="W17" i="21"/>
  <c r="V17" i="21"/>
  <c r="S17" i="21"/>
  <c r="B17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Z16" i="21"/>
  <c r="Y16" i="21"/>
  <c r="X16" i="21"/>
  <c r="W16" i="21"/>
  <c r="V16" i="21"/>
  <c r="T16" i="21"/>
  <c r="S16" i="21"/>
  <c r="B16" i="21"/>
  <c r="AV15" i="21"/>
  <c r="AU15" i="21"/>
  <c r="AT15" i="21"/>
  <c r="AS15" i="21"/>
  <c r="AR15" i="21"/>
  <c r="AQ15" i="21"/>
  <c r="AP15" i="2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Z15" i="21"/>
  <c r="Y15" i="21"/>
  <c r="X15" i="21"/>
  <c r="W15" i="21"/>
  <c r="V15" i="21"/>
  <c r="S15" i="21"/>
  <c r="B15" i="21"/>
  <c r="AV14" i="21"/>
  <c r="AU14" i="21"/>
  <c r="AT14" i="21"/>
  <c r="AS14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Z14" i="21"/>
  <c r="Y14" i="21"/>
  <c r="X14" i="21"/>
  <c r="W14" i="21"/>
  <c r="V14" i="21"/>
  <c r="S14" i="21"/>
  <c r="B14" i="21"/>
  <c r="AV13" i="21"/>
  <c r="AU13" i="21"/>
  <c r="AT13" i="21"/>
  <c r="AS13" i="21"/>
  <c r="AR13" i="21"/>
  <c r="AQ13" i="21"/>
  <c r="AP13" i="21"/>
  <c r="AO13" i="21"/>
  <c r="AN13" i="21"/>
  <c r="AM13" i="21"/>
  <c r="AL13" i="21"/>
  <c r="AK13" i="21"/>
  <c r="AJ13" i="21"/>
  <c r="AI13" i="21"/>
  <c r="AH13" i="21"/>
  <c r="AG13" i="21"/>
  <c r="AF13" i="21"/>
  <c r="AE13" i="21"/>
  <c r="AD13" i="21"/>
  <c r="Z13" i="21"/>
  <c r="Y13" i="21"/>
  <c r="X13" i="21"/>
  <c r="W13" i="21"/>
  <c r="V13" i="21"/>
  <c r="S13" i="21"/>
  <c r="B13" i="21"/>
  <c r="AV12" i="21"/>
  <c r="AU12" i="21"/>
  <c r="AT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Z12" i="21"/>
  <c r="Y12" i="21"/>
  <c r="X12" i="21"/>
  <c r="W12" i="21"/>
  <c r="V12" i="21"/>
  <c r="S12" i="21"/>
  <c r="B12" i="21"/>
  <c r="AV11" i="21"/>
  <c r="AU11" i="21"/>
  <c r="AT11" i="21"/>
  <c r="AS11" i="21"/>
  <c r="AR11" i="21"/>
  <c r="AQ11" i="21"/>
  <c r="AP11" i="21"/>
  <c r="AO11" i="21"/>
  <c r="AN11" i="21"/>
  <c r="AM11" i="21"/>
  <c r="AL11" i="21"/>
  <c r="AK11" i="21"/>
  <c r="AJ11" i="21"/>
  <c r="AI11" i="21"/>
  <c r="AH11" i="21"/>
  <c r="AG11" i="21"/>
  <c r="AF11" i="21"/>
  <c r="AE11" i="21"/>
  <c r="AD11" i="21"/>
  <c r="Z11" i="21"/>
  <c r="Y11" i="21"/>
  <c r="X11" i="21"/>
  <c r="W11" i="21"/>
  <c r="V11" i="21"/>
  <c r="S11" i="21"/>
  <c r="B11" i="21"/>
  <c r="AV10" i="21"/>
  <c r="AU10" i="21"/>
  <c r="AT10" i="21"/>
  <c r="AS10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Z10" i="21"/>
  <c r="Y10" i="21"/>
  <c r="X10" i="21"/>
  <c r="W10" i="21"/>
  <c r="V10" i="21"/>
  <c r="S10" i="21"/>
  <c r="B10" i="21"/>
  <c r="Y9" i="21"/>
  <c r="W9" i="21"/>
  <c r="T9" i="21"/>
  <c r="S9" i="21"/>
  <c r="C9" i="21"/>
  <c r="Y8" i="21"/>
  <c r="X8" i="21"/>
  <c r="W8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AQ6" i="21"/>
  <c r="AL6" i="21"/>
  <c r="AE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B6" i="21"/>
  <c r="AU5" i="21"/>
  <c r="AT5" i="21"/>
  <c r="AS5" i="21"/>
  <c r="AR5" i="21"/>
  <c r="AQ5" i="21"/>
  <c r="AP5" i="21"/>
  <c r="AO5" i="21"/>
  <c r="AN5" i="21"/>
  <c r="AM5" i="21"/>
  <c r="AL5" i="21"/>
  <c r="AK5" i="21"/>
  <c r="AJ5" i="21"/>
  <c r="AI5" i="21"/>
  <c r="AH5" i="21"/>
  <c r="AG5" i="21"/>
  <c r="AF5" i="21"/>
  <c r="AE5" i="21"/>
  <c r="AD5" i="21"/>
  <c r="B5" i="21"/>
  <c r="AD4" i="21"/>
  <c r="C4" i="21"/>
  <c r="B4" i="21"/>
  <c r="AS3" i="21"/>
  <c r="AD3" i="21"/>
  <c r="C3" i="21"/>
  <c r="B3" i="21"/>
  <c r="L2" i="21"/>
  <c r="J2" i="21"/>
  <c r="C2" i="21"/>
  <c r="B2" i="21"/>
  <c r="C1" i="21"/>
  <c r="B1" i="21"/>
  <c r="E242" i="20"/>
  <c r="M240" i="20"/>
  <c r="L240" i="20"/>
  <c r="K240" i="20"/>
  <c r="J240" i="20"/>
  <c r="I240" i="20"/>
  <c r="H240" i="20"/>
  <c r="G240" i="20"/>
  <c r="E240" i="20"/>
  <c r="S235" i="20"/>
  <c r="R235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S234" i="20"/>
  <c r="S233" i="20"/>
  <c r="S232" i="20"/>
  <c r="S231" i="20"/>
  <c r="T230" i="20"/>
  <c r="S230" i="20"/>
  <c r="S229" i="20"/>
  <c r="S228" i="20"/>
  <c r="S227" i="20"/>
  <c r="S226" i="20"/>
  <c r="T225" i="20"/>
  <c r="S225" i="20"/>
  <c r="S224" i="20"/>
  <c r="B224" i="20"/>
  <c r="S223" i="20"/>
  <c r="S222" i="20"/>
  <c r="S221" i="20"/>
  <c r="AM21" i="20" s="1"/>
  <c r="S220" i="20"/>
  <c r="Q220" i="20"/>
  <c r="S219" i="20"/>
  <c r="T218" i="20"/>
  <c r="S218" i="20"/>
  <c r="Q218" i="20"/>
  <c r="C218" i="20"/>
  <c r="B218" i="20"/>
  <c r="R216" i="20"/>
  <c r="Q216" i="20"/>
  <c r="P216" i="20"/>
  <c r="O216" i="20"/>
  <c r="N216" i="20"/>
  <c r="M216" i="20"/>
  <c r="L216" i="20"/>
  <c r="K216" i="20"/>
  <c r="J216" i="20"/>
  <c r="I216" i="20"/>
  <c r="H216" i="20"/>
  <c r="G216" i="20"/>
  <c r="F216" i="20"/>
  <c r="S215" i="20"/>
  <c r="S214" i="20"/>
  <c r="Q214" i="20"/>
  <c r="S213" i="20"/>
  <c r="S212" i="20"/>
  <c r="T211" i="20"/>
  <c r="S211" i="20"/>
  <c r="S210" i="20"/>
  <c r="S209" i="20"/>
  <c r="S208" i="20"/>
  <c r="S207" i="20"/>
  <c r="T206" i="20"/>
  <c r="S206" i="20"/>
  <c r="S205" i="20"/>
  <c r="B205" i="20"/>
  <c r="S204" i="20"/>
  <c r="S203" i="20"/>
  <c r="AT20" i="20" s="1"/>
  <c r="S202" i="20"/>
  <c r="AN20" i="20" s="1"/>
  <c r="S201" i="20"/>
  <c r="Q201" i="20"/>
  <c r="S200" i="20"/>
  <c r="S199" i="20"/>
  <c r="Q199" i="20"/>
  <c r="C199" i="20"/>
  <c r="B199" i="20"/>
  <c r="R197" i="20"/>
  <c r="Q197" i="20"/>
  <c r="P197" i="20"/>
  <c r="O197" i="20"/>
  <c r="N197" i="20"/>
  <c r="M197" i="20"/>
  <c r="L197" i="20"/>
  <c r="K197" i="20"/>
  <c r="J197" i="20"/>
  <c r="I197" i="20"/>
  <c r="H197" i="20"/>
  <c r="G197" i="20"/>
  <c r="F197" i="20"/>
  <c r="S196" i="20"/>
  <c r="S195" i="20"/>
  <c r="Q195" i="20"/>
  <c r="S194" i="20"/>
  <c r="S193" i="20"/>
  <c r="T192" i="20"/>
  <c r="S192" i="20"/>
  <c r="S191" i="20"/>
  <c r="S190" i="20"/>
  <c r="S189" i="20"/>
  <c r="S188" i="20"/>
  <c r="T187" i="20"/>
  <c r="S187" i="20"/>
  <c r="S186" i="20"/>
  <c r="B186" i="20"/>
  <c r="S185" i="20"/>
  <c r="S184" i="20"/>
  <c r="AO19" i="20" s="1"/>
  <c r="S183" i="20"/>
  <c r="AU19" i="20" s="1"/>
  <c r="S182" i="20"/>
  <c r="Q182" i="20"/>
  <c r="F182" i="20"/>
  <c r="S181" i="20"/>
  <c r="S180" i="20"/>
  <c r="Q180" i="20"/>
  <c r="C180" i="20"/>
  <c r="B180" i="20"/>
  <c r="R178" i="20"/>
  <c r="Q178" i="20"/>
  <c r="P178" i="20"/>
  <c r="O178" i="20"/>
  <c r="N178" i="20"/>
  <c r="M178" i="20"/>
  <c r="L178" i="20"/>
  <c r="K178" i="20"/>
  <c r="J178" i="20"/>
  <c r="I178" i="20"/>
  <c r="H178" i="20"/>
  <c r="G178" i="20"/>
  <c r="F178" i="20"/>
  <c r="S177" i="20"/>
  <c r="S176" i="20"/>
  <c r="Q176" i="20"/>
  <c r="S175" i="20"/>
  <c r="S174" i="20"/>
  <c r="T173" i="20"/>
  <c r="S173" i="20"/>
  <c r="S172" i="20"/>
  <c r="S171" i="20"/>
  <c r="S170" i="20"/>
  <c r="S169" i="20"/>
  <c r="T168" i="20"/>
  <c r="S168" i="20"/>
  <c r="S167" i="20"/>
  <c r="B167" i="20"/>
  <c r="S166" i="20"/>
  <c r="S165" i="20"/>
  <c r="AN18" i="20" s="1"/>
  <c r="S164" i="20"/>
  <c r="AJ18" i="20" s="1"/>
  <c r="S163" i="20"/>
  <c r="Q163" i="20"/>
  <c r="F163" i="20"/>
  <c r="S162" i="20"/>
  <c r="S161" i="20"/>
  <c r="Q161" i="20"/>
  <c r="C161" i="20"/>
  <c r="B161" i="20"/>
  <c r="R159" i="20"/>
  <c r="Q159" i="20"/>
  <c r="P159" i="20"/>
  <c r="O159" i="20"/>
  <c r="O7" i="20" s="1"/>
  <c r="N159" i="20"/>
  <c r="N7" i="20" s="1"/>
  <c r="M159" i="20"/>
  <c r="L159" i="20"/>
  <c r="L7" i="20" s="1"/>
  <c r="K159" i="20"/>
  <c r="J159" i="20"/>
  <c r="I159" i="20"/>
  <c r="H159" i="20"/>
  <c r="G159" i="20"/>
  <c r="F159" i="20"/>
  <c r="S158" i="20"/>
  <c r="S157" i="20"/>
  <c r="Q157" i="20"/>
  <c r="S156" i="20"/>
  <c r="S155" i="20"/>
  <c r="S154" i="20"/>
  <c r="T154" i="20" s="1"/>
  <c r="Y17" i="20" s="1"/>
  <c r="S153" i="20"/>
  <c r="S152" i="20"/>
  <c r="S151" i="20"/>
  <c r="S150" i="20"/>
  <c r="S149" i="20"/>
  <c r="T149" i="20" s="1"/>
  <c r="X17" i="20" s="1"/>
  <c r="S148" i="20"/>
  <c r="B148" i="20"/>
  <c r="S147" i="20"/>
  <c r="S146" i="20"/>
  <c r="S145" i="20"/>
  <c r="S144" i="20"/>
  <c r="Q144" i="20"/>
  <c r="S143" i="20"/>
  <c r="S142" i="20"/>
  <c r="Q142" i="20"/>
  <c r="C142" i="20"/>
  <c r="B142" i="20"/>
  <c r="R140" i="20"/>
  <c r="R7" i="20" s="1"/>
  <c r="Q140" i="20"/>
  <c r="P140" i="20"/>
  <c r="O140" i="20"/>
  <c r="N140" i="20"/>
  <c r="M140" i="20"/>
  <c r="L140" i="20"/>
  <c r="K140" i="20"/>
  <c r="J140" i="20"/>
  <c r="I140" i="20"/>
  <c r="I7" i="20" s="1"/>
  <c r="H140" i="20"/>
  <c r="G140" i="20"/>
  <c r="F140" i="20"/>
  <c r="S139" i="20"/>
  <c r="S138" i="20"/>
  <c r="Q138" i="20"/>
  <c r="S137" i="20"/>
  <c r="S136" i="20"/>
  <c r="S135" i="20"/>
  <c r="M135" i="20"/>
  <c r="S134" i="20"/>
  <c r="S133" i="20"/>
  <c r="S132" i="20"/>
  <c r="S131" i="20"/>
  <c r="S130" i="20"/>
  <c r="S129" i="20"/>
  <c r="B129" i="20"/>
  <c r="S128" i="20"/>
  <c r="S127" i="20"/>
  <c r="S126" i="20"/>
  <c r="S125" i="20"/>
  <c r="F125" i="20"/>
  <c r="S124" i="20"/>
  <c r="S123" i="20"/>
  <c r="Q123" i="20"/>
  <c r="C123" i="20"/>
  <c r="B123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S120" i="20"/>
  <c r="S119" i="20"/>
  <c r="S118" i="20"/>
  <c r="S117" i="20"/>
  <c r="T116" i="20"/>
  <c r="Y15" i="20" s="1"/>
  <c r="S116" i="20"/>
  <c r="S115" i="20"/>
  <c r="S114" i="20"/>
  <c r="S113" i="20"/>
  <c r="S112" i="20"/>
  <c r="F112" i="20"/>
  <c r="T111" i="20"/>
  <c r="S111" i="20"/>
  <c r="S110" i="20"/>
  <c r="B110" i="20"/>
  <c r="S109" i="20"/>
  <c r="F109" i="20"/>
  <c r="S108" i="20"/>
  <c r="M108" i="20"/>
  <c r="F108" i="20"/>
  <c r="S107" i="20"/>
  <c r="Q107" i="20"/>
  <c r="M107" i="20"/>
  <c r="K107" i="20"/>
  <c r="H107" i="20"/>
  <c r="S106" i="20"/>
  <c r="Q106" i="20"/>
  <c r="M106" i="20"/>
  <c r="I106" i="20"/>
  <c r="F106" i="20"/>
  <c r="S105" i="20"/>
  <c r="S104" i="20"/>
  <c r="AO15" i="20" s="1"/>
  <c r="R104" i="20"/>
  <c r="Q104" i="20"/>
  <c r="N104" i="20"/>
  <c r="K104" i="20"/>
  <c r="F104" i="20"/>
  <c r="C104" i="20"/>
  <c r="B104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S101" i="20"/>
  <c r="H101" i="20"/>
  <c r="S100" i="20"/>
  <c r="S99" i="20"/>
  <c r="S98" i="20"/>
  <c r="T97" i="20"/>
  <c r="S97" i="20"/>
  <c r="P97" i="20"/>
  <c r="M97" i="20"/>
  <c r="K97" i="20"/>
  <c r="J97" i="20"/>
  <c r="I97" i="20"/>
  <c r="H97" i="20"/>
  <c r="S96" i="20"/>
  <c r="S95" i="20"/>
  <c r="S94" i="20"/>
  <c r="S93" i="20"/>
  <c r="T92" i="20"/>
  <c r="S92" i="20"/>
  <c r="M92" i="20"/>
  <c r="S91" i="20"/>
  <c r="F91" i="20"/>
  <c r="B91" i="20"/>
  <c r="S90" i="20"/>
  <c r="F90" i="20"/>
  <c r="S89" i="20"/>
  <c r="F89" i="20"/>
  <c r="S88" i="20"/>
  <c r="AL14" i="20" s="1"/>
  <c r="J88" i="20"/>
  <c r="I88" i="20"/>
  <c r="H88" i="20"/>
  <c r="S87" i="20"/>
  <c r="Q87" i="20"/>
  <c r="M87" i="20"/>
  <c r="I87" i="20"/>
  <c r="F87" i="20"/>
  <c r="S86" i="20"/>
  <c r="S85" i="20"/>
  <c r="Q85" i="20"/>
  <c r="M85" i="20"/>
  <c r="J85" i="20"/>
  <c r="H85" i="20"/>
  <c r="F85" i="20"/>
  <c r="C85" i="20"/>
  <c r="B85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S82" i="20"/>
  <c r="I82" i="20"/>
  <c r="S81" i="20"/>
  <c r="S80" i="20"/>
  <c r="P80" i="20"/>
  <c r="S79" i="20"/>
  <c r="Q79" i="20"/>
  <c r="T78" i="20"/>
  <c r="S78" i="20"/>
  <c r="S77" i="20"/>
  <c r="S76" i="20"/>
  <c r="S75" i="20"/>
  <c r="S74" i="20"/>
  <c r="T73" i="20"/>
  <c r="S73" i="20"/>
  <c r="S72" i="20"/>
  <c r="M72" i="20"/>
  <c r="B72" i="20"/>
  <c r="S71" i="20"/>
  <c r="S70" i="20"/>
  <c r="S69" i="20"/>
  <c r="AJ13" i="20" s="1"/>
  <c r="Q69" i="20"/>
  <c r="M69" i="20"/>
  <c r="K69" i="20"/>
  <c r="J69" i="20"/>
  <c r="I69" i="20"/>
  <c r="H69" i="20"/>
  <c r="S68" i="20"/>
  <c r="Q68" i="20"/>
  <c r="I68" i="20"/>
  <c r="F68" i="20"/>
  <c r="S67" i="20"/>
  <c r="S66" i="20"/>
  <c r="Q66" i="20"/>
  <c r="P66" i="20"/>
  <c r="M66" i="20"/>
  <c r="J66" i="20"/>
  <c r="I66" i="20"/>
  <c r="H66" i="20"/>
  <c r="F66" i="20"/>
  <c r="C66" i="20"/>
  <c r="B66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S63" i="20"/>
  <c r="S62" i="20"/>
  <c r="S61" i="20"/>
  <c r="S60" i="20"/>
  <c r="T59" i="20"/>
  <c r="S59" i="20"/>
  <c r="M59" i="20"/>
  <c r="S58" i="20"/>
  <c r="S57" i="20"/>
  <c r="S56" i="20"/>
  <c r="S55" i="20"/>
  <c r="T54" i="20"/>
  <c r="S54" i="20"/>
  <c r="S53" i="20"/>
  <c r="F53" i="20"/>
  <c r="B53" i="20"/>
  <c r="S52" i="20"/>
  <c r="H52" i="20"/>
  <c r="F52" i="20"/>
  <c r="S51" i="20"/>
  <c r="H51" i="20"/>
  <c r="F51" i="20"/>
  <c r="S50" i="20"/>
  <c r="AS12" i="20" s="1"/>
  <c r="Q50" i="20"/>
  <c r="M50" i="20"/>
  <c r="J50" i="20"/>
  <c r="H50" i="20"/>
  <c r="S49" i="20"/>
  <c r="Q49" i="20"/>
  <c r="P49" i="20"/>
  <c r="I49" i="20"/>
  <c r="F49" i="20"/>
  <c r="S48" i="20"/>
  <c r="S47" i="20"/>
  <c r="Q47" i="20"/>
  <c r="P47" i="20"/>
  <c r="M47" i="20"/>
  <c r="K47" i="20"/>
  <c r="J47" i="20"/>
  <c r="I47" i="20"/>
  <c r="F47" i="20"/>
  <c r="C47" i="20"/>
  <c r="B47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S44" i="20"/>
  <c r="Q44" i="20"/>
  <c r="I44" i="20"/>
  <c r="S43" i="20"/>
  <c r="S42" i="20"/>
  <c r="S41" i="20"/>
  <c r="F41" i="20"/>
  <c r="T40" i="20"/>
  <c r="S40" i="20"/>
  <c r="P40" i="20"/>
  <c r="O40" i="20"/>
  <c r="M40" i="20"/>
  <c r="K40" i="20"/>
  <c r="J40" i="20"/>
  <c r="I40" i="20"/>
  <c r="H40" i="20"/>
  <c r="F40" i="20"/>
  <c r="S39" i="20"/>
  <c r="S38" i="20"/>
  <c r="S37" i="20"/>
  <c r="S36" i="20"/>
  <c r="T35" i="20"/>
  <c r="S35" i="20"/>
  <c r="S34" i="20"/>
  <c r="B34" i="20"/>
  <c r="S33" i="20"/>
  <c r="F33" i="20"/>
  <c r="S32" i="20"/>
  <c r="S31" i="20"/>
  <c r="AU11" i="20" s="1"/>
  <c r="M31" i="20"/>
  <c r="J31" i="20"/>
  <c r="H31" i="20"/>
  <c r="S30" i="20"/>
  <c r="Q30" i="20"/>
  <c r="S29" i="20"/>
  <c r="S28" i="20"/>
  <c r="Q28" i="20"/>
  <c r="P28" i="20"/>
  <c r="O28" i="20"/>
  <c r="M28" i="20"/>
  <c r="J28" i="20"/>
  <c r="I28" i="20"/>
  <c r="H28" i="20"/>
  <c r="F28" i="20"/>
  <c r="C28" i="20"/>
  <c r="B28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S25" i="20"/>
  <c r="S24" i="20"/>
  <c r="S23" i="20"/>
  <c r="S22" i="20"/>
  <c r="M22" i="20"/>
  <c r="AU21" i="20"/>
  <c r="AT21" i="20"/>
  <c r="AS21" i="20"/>
  <c r="AR21" i="20"/>
  <c r="AQ21" i="20"/>
  <c r="AP21" i="20"/>
  <c r="AO21" i="20"/>
  <c r="AN21" i="20"/>
  <c r="AE21" i="20"/>
  <c r="AD21" i="20"/>
  <c r="Y21" i="20"/>
  <c r="X21" i="20"/>
  <c r="W21" i="20"/>
  <c r="Z21" i="20" s="1"/>
  <c r="V21" i="20"/>
  <c r="T21" i="20"/>
  <c r="S21" i="20"/>
  <c r="O21" i="20"/>
  <c r="J21" i="20"/>
  <c r="F21" i="20"/>
  <c r="AU20" i="20"/>
  <c r="AD20" i="20"/>
  <c r="Y20" i="20"/>
  <c r="X20" i="20"/>
  <c r="V20" i="20"/>
  <c r="S20" i="20"/>
  <c r="AD19" i="20"/>
  <c r="Y19" i="20"/>
  <c r="X19" i="20"/>
  <c r="V19" i="20"/>
  <c r="S19" i="20"/>
  <c r="I19" i="20"/>
  <c r="AL18" i="20"/>
  <c r="AK18" i="20"/>
  <c r="AD18" i="20"/>
  <c r="Y18" i="20"/>
  <c r="X18" i="20"/>
  <c r="V18" i="20"/>
  <c r="S18" i="20"/>
  <c r="I18" i="20"/>
  <c r="AD17" i="20"/>
  <c r="V17" i="20"/>
  <c r="S17" i="20"/>
  <c r="AD16" i="20"/>
  <c r="V16" i="20"/>
  <c r="T16" i="20"/>
  <c r="S16" i="20"/>
  <c r="F16" i="20"/>
  <c r="AD15" i="20"/>
  <c r="X15" i="20"/>
  <c r="V15" i="20"/>
  <c r="S15" i="20"/>
  <c r="B15" i="20"/>
  <c r="AS14" i="20"/>
  <c r="AR14" i="20"/>
  <c r="AQ14" i="20"/>
  <c r="AP14" i="20"/>
  <c r="AO14" i="20"/>
  <c r="AN14" i="20"/>
  <c r="AM14" i="20"/>
  <c r="AD14" i="20"/>
  <c r="Y14" i="20"/>
  <c r="X14" i="20"/>
  <c r="V14" i="20"/>
  <c r="S14" i="20"/>
  <c r="F14" i="20"/>
  <c r="AL13" i="20"/>
  <c r="AK13" i="20"/>
  <c r="AI13" i="20"/>
  <c r="AH13" i="20"/>
  <c r="AG13" i="20"/>
  <c r="AF13" i="20"/>
  <c r="AE13" i="20"/>
  <c r="AD13" i="20"/>
  <c r="Y13" i="20"/>
  <c r="X13" i="20"/>
  <c r="V13" i="20"/>
  <c r="S13" i="20"/>
  <c r="F13" i="20"/>
  <c r="AT12" i="20"/>
  <c r="AJ12" i="20"/>
  <c r="AD12" i="20"/>
  <c r="Y12" i="20"/>
  <c r="X12" i="20"/>
  <c r="V12" i="20"/>
  <c r="S12" i="20"/>
  <c r="AU10" i="20" s="1"/>
  <c r="O12" i="20"/>
  <c r="M12" i="20"/>
  <c r="J12" i="20"/>
  <c r="I12" i="20"/>
  <c r="H12" i="20"/>
  <c r="AG11" i="20"/>
  <c r="AF11" i="20"/>
  <c r="AE11" i="20"/>
  <c r="AD11" i="20"/>
  <c r="Y11" i="20"/>
  <c r="X11" i="20"/>
  <c r="V11" i="20"/>
  <c r="S11" i="20"/>
  <c r="Q11" i="20"/>
  <c r="I11" i="20"/>
  <c r="F11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Y10" i="20"/>
  <c r="X10" i="20"/>
  <c r="V10" i="20"/>
  <c r="S10" i="20"/>
  <c r="Y9" i="20"/>
  <c r="W9" i="20"/>
  <c r="T9" i="20"/>
  <c r="W10" i="20" s="1"/>
  <c r="Z10" i="20" s="1"/>
  <c r="S9" i="20"/>
  <c r="Q9" i="20"/>
  <c r="P9" i="20"/>
  <c r="M9" i="20"/>
  <c r="J9" i="20"/>
  <c r="I9" i="20"/>
  <c r="H9" i="20"/>
  <c r="F9" i="20"/>
  <c r="C9" i="20"/>
  <c r="Q7" i="20"/>
  <c r="G7" i="20"/>
  <c r="AQ6" i="20"/>
  <c r="AL6" i="20"/>
  <c r="AE6" i="20"/>
  <c r="AD4" i="20"/>
  <c r="AS3" i="20"/>
  <c r="AD3" i="20"/>
  <c r="E242" i="19"/>
  <c r="M240" i="19"/>
  <c r="L240" i="19"/>
  <c r="K240" i="19"/>
  <c r="J240" i="19"/>
  <c r="I240" i="19"/>
  <c r="H240" i="19"/>
  <c r="G240" i="19"/>
  <c r="E240" i="19"/>
  <c r="S235" i="19"/>
  <c r="R235" i="19"/>
  <c r="Q235" i="19"/>
  <c r="P235" i="19"/>
  <c r="O235" i="19"/>
  <c r="N235" i="19"/>
  <c r="M235" i="19"/>
  <c r="L235" i="19"/>
  <c r="K235" i="19"/>
  <c r="J235" i="19"/>
  <c r="I235" i="19"/>
  <c r="H235" i="19"/>
  <c r="G235" i="19"/>
  <c r="F235" i="19"/>
  <c r="S234" i="19"/>
  <c r="S233" i="19"/>
  <c r="Q233" i="19"/>
  <c r="S232" i="19"/>
  <c r="S231" i="19"/>
  <c r="T230" i="19"/>
  <c r="S230" i="19"/>
  <c r="S229" i="19"/>
  <c r="S228" i="19"/>
  <c r="S227" i="19"/>
  <c r="S226" i="19"/>
  <c r="B226" i="19"/>
  <c r="T225" i="19"/>
  <c r="S225" i="19"/>
  <c r="B225" i="19"/>
  <c r="S224" i="19"/>
  <c r="B224" i="19"/>
  <c r="S223" i="19"/>
  <c r="F223" i="19"/>
  <c r="B223" i="19"/>
  <c r="S222" i="19"/>
  <c r="F222" i="19"/>
  <c r="B222" i="19"/>
  <c r="S221" i="19"/>
  <c r="O221" i="19"/>
  <c r="M221" i="19"/>
  <c r="B221" i="19"/>
  <c r="S220" i="19"/>
  <c r="Q220" i="19"/>
  <c r="P220" i="19"/>
  <c r="M220" i="19"/>
  <c r="F220" i="19"/>
  <c r="B220" i="19"/>
  <c r="B220" i="19" a="1"/>
  <c r="S219" i="19"/>
  <c r="P219" i="19"/>
  <c r="O219" i="19"/>
  <c r="B219" i="19"/>
  <c r="T218" i="19"/>
  <c r="S218" i="19"/>
  <c r="Q218" i="19"/>
  <c r="P218" i="19"/>
  <c r="O218" i="19"/>
  <c r="N218" i="19"/>
  <c r="M218" i="19"/>
  <c r="I218" i="19"/>
  <c r="F218" i="19"/>
  <c r="C218" i="19"/>
  <c r="B218" i="19"/>
  <c r="S216" i="19"/>
  <c r="R216" i="19"/>
  <c r="Q216" i="19"/>
  <c r="P216" i="19"/>
  <c r="O216" i="19"/>
  <c r="N216" i="19"/>
  <c r="M216" i="19"/>
  <c r="L216" i="19"/>
  <c r="K216" i="19"/>
  <c r="J216" i="19"/>
  <c r="I216" i="19"/>
  <c r="H216" i="19"/>
  <c r="G216" i="19"/>
  <c r="F216" i="19"/>
  <c r="S215" i="19"/>
  <c r="S214" i="19"/>
  <c r="S213" i="19"/>
  <c r="S212" i="19"/>
  <c r="T211" i="19"/>
  <c r="S211" i="19"/>
  <c r="M211" i="19"/>
  <c r="F211" i="19"/>
  <c r="S210" i="19"/>
  <c r="I210" i="19"/>
  <c r="S209" i="19"/>
  <c r="I209" i="19"/>
  <c r="S208" i="19"/>
  <c r="I208" i="19"/>
  <c r="S207" i="19"/>
  <c r="B207" i="19"/>
  <c r="T206" i="19"/>
  <c r="S206" i="19"/>
  <c r="B206" i="19"/>
  <c r="S205" i="19"/>
  <c r="B205" i="19"/>
  <c r="S204" i="19"/>
  <c r="B204" i="19"/>
  <c r="S203" i="19"/>
  <c r="F203" i="19"/>
  <c r="B203" i="19"/>
  <c r="S202" i="19"/>
  <c r="O202" i="19"/>
  <c r="I202" i="19"/>
  <c r="H202" i="19"/>
  <c r="B202" i="19"/>
  <c r="S201" i="19"/>
  <c r="Q201" i="19"/>
  <c r="P201" i="19"/>
  <c r="O201" i="19"/>
  <c r="M201" i="19"/>
  <c r="I201" i="19"/>
  <c r="F201" i="19"/>
  <c r="B201" i="19"/>
  <c r="S200" i="19"/>
  <c r="M200" i="19"/>
  <c r="B200" i="19"/>
  <c r="T199" i="19"/>
  <c r="S199" i="19"/>
  <c r="Q199" i="19"/>
  <c r="P199" i="19"/>
  <c r="O199" i="19"/>
  <c r="M199" i="19"/>
  <c r="K199" i="19"/>
  <c r="I199" i="19"/>
  <c r="F199" i="19"/>
  <c r="C199" i="19"/>
  <c r="B199" i="19"/>
  <c r="S197" i="19"/>
  <c r="R197" i="19"/>
  <c r="Q197" i="19"/>
  <c r="P197" i="19"/>
  <c r="O197" i="19"/>
  <c r="N197" i="19"/>
  <c r="M197" i="19"/>
  <c r="L197" i="19"/>
  <c r="K197" i="19"/>
  <c r="J197" i="19"/>
  <c r="I197" i="19"/>
  <c r="H197" i="19"/>
  <c r="G197" i="19"/>
  <c r="F197" i="19"/>
  <c r="S196" i="19"/>
  <c r="S195" i="19"/>
  <c r="M195" i="19"/>
  <c r="S194" i="19"/>
  <c r="S193" i="19"/>
  <c r="F193" i="19"/>
  <c r="T192" i="19"/>
  <c r="S192" i="19"/>
  <c r="P192" i="19"/>
  <c r="O192" i="19"/>
  <c r="M192" i="19"/>
  <c r="I192" i="19"/>
  <c r="F192" i="19"/>
  <c r="S191" i="19"/>
  <c r="S190" i="19"/>
  <c r="O190" i="19"/>
  <c r="S189" i="19"/>
  <c r="S188" i="19"/>
  <c r="B188" i="19"/>
  <c r="T187" i="19"/>
  <c r="S187" i="19"/>
  <c r="B187" i="19"/>
  <c r="S186" i="19"/>
  <c r="B186" i="19"/>
  <c r="S185" i="19"/>
  <c r="B185" i="19"/>
  <c r="S184" i="19"/>
  <c r="F184" i="19"/>
  <c r="B184" i="19"/>
  <c r="S183" i="19"/>
  <c r="O183" i="19"/>
  <c r="M183" i="19"/>
  <c r="F183" i="19"/>
  <c r="B183" i="19"/>
  <c r="S182" i="19"/>
  <c r="Q182" i="19"/>
  <c r="M182" i="19"/>
  <c r="I182" i="19"/>
  <c r="F182" i="19"/>
  <c r="B182" i="19"/>
  <c r="S181" i="19"/>
  <c r="B181" i="19"/>
  <c r="T180" i="19"/>
  <c r="S180" i="19"/>
  <c r="Q180" i="19"/>
  <c r="P180" i="19"/>
  <c r="O180" i="19"/>
  <c r="M180" i="19"/>
  <c r="I180" i="19"/>
  <c r="G180" i="19"/>
  <c r="F180" i="19"/>
  <c r="C180" i="19"/>
  <c r="B180" i="19"/>
  <c r="S178" i="19"/>
  <c r="R178" i="19"/>
  <c r="Q178" i="19"/>
  <c r="P178" i="19"/>
  <c r="O178" i="19"/>
  <c r="N178" i="19"/>
  <c r="M178" i="19"/>
  <c r="L178" i="19"/>
  <c r="K178" i="19"/>
  <c r="J178" i="19"/>
  <c r="I178" i="19"/>
  <c r="H178" i="19"/>
  <c r="G178" i="19"/>
  <c r="F178" i="19"/>
  <c r="S177" i="19"/>
  <c r="S176" i="19"/>
  <c r="S175" i="19"/>
  <c r="S174" i="19"/>
  <c r="T173" i="19"/>
  <c r="S173" i="19"/>
  <c r="S172" i="19"/>
  <c r="S171" i="19"/>
  <c r="F171" i="19"/>
  <c r="S170" i="19"/>
  <c r="F170" i="19"/>
  <c r="S169" i="19"/>
  <c r="B169" i="19"/>
  <c r="T168" i="19"/>
  <c r="S168" i="19"/>
  <c r="B168" i="19"/>
  <c r="S167" i="19"/>
  <c r="Q167" i="19"/>
  <c r="B167" i="19"/>
  <c r="S166" i="19"/>
  <c r="B166" i="19"/>
  <c r="S165" i="19"/>
  <c r="H165" i="19"/>
  <c r="F165" i="19"/>
  <c r="B165" i="19"/>
  <c r="S164" i="19"/>
  <c r="Q164" i="19"/>
  <c r="M164" i="19"/>
  <c r="I164" i="19"/>
  <c r="F164" i="19"/>
  <c r="B164" i="19"/>
  <c r="S163" i="19"/>
  <c r="Q163" i="19"/>
  <c r="H163" i="19"/>
  <c r="B163" i="19"/>
  <c r="S162" i="19"/>
  <c r="B162" i="19"/>
  <c r="T161" i="19"/>
  <c r="S161" i="19"/>
  <c r="Q161" i="19"/>
  <c r="P161" i="19"/>
  <c r="O161" i="19"/>
  <c r="N161" i="19"/>
  <c r="M161" i="19"/>
  <c r="I161" i="19"/>
  <c r="H161" i="19"/>
  <c r="G161" i="19"/>
  <c r="F161" i="19"/>
  <c r="C161" i="19"/>
  <c r="B161" i="19"/>
  <c r="S159" i="19"/>
  <c r="R159" i="19"/>
  <c r="Q159" i="19"/>
  <c r="P159" i="19"/>
  <c r="O159" i="19"/>
  <c r="N159" i="19"/>
  <c r="M159" i="19"/>
  <c r="L159" i="19"/>
  <c r="K159" i="19"/>
  <c r="J159" i="19"/>
  <c r="I159" i="19"/>
  <c r="H159" i="19"/>
  <c r="G159" i="19"/>
  <c r="F159" i="19"/>
  <c r="S158" i="19"/>
  <c r="S157" i="19"/>
  <c r="S156" i="19"/>
  <c r="S155" i="19"/>
  <c r="T154" i="19"/>
  <c r="S154" i="19"/>
  <c r="M154" i="19"/>
  <c r="I154" i="19"/>
  <c r="F154" i="19"/>
  <c r="S153" i="19"/>
  <c r="S152" i="19"/>
  <c r="F152" i="19"/>
  <c r="S151" i="19"/>
  <c r="F151" i="19"/>
  <c r="S150" i="19"/>
  <c r="B150" i="19"/>
  <c r="T149" i="19"/>
  <c r="S149" i="19"/>
  <c r="B149" i="19"/>
  <c r="S148" i="19"/>
  <c r="Q148" i="19"/>
  <c r="M148" i="19"/>
  <c r="B148" i="19"/>
  <c r="S147" i="19"/>
  <c r="F147" i="19"/>
  <c r="B147" i="19"/>
  <c r="S146" i="19"/>
  <c r="F146" i="19"/>
  <c r="B146" i="19"/>
  <c r="S145" i="19"/>
  <c r="Q145" i="19"/>
  <c r="O145" i="19"/>
  <c r="M145" i="19"/>
  <c r="H145" i="19"/>
  <c r="F145" i="19"/>
  <c r="B145" i="19"/>
  <c r="S144" i="19"/>
  <c r="Q144" i="19"/>
  <c r="H144" i="19"/>
  <c r="B144" i="19"/>
  <c r="S143" i="19"/>
  <c r="B143" i="19"/>
  <c r="T142" i="19"/>
  <c r="S142" i="19"/>
  <c r="P142" i="19"/>
  <c r="O142" i="19"/>
  <c r="N142" i="19"/>
  <c r="M142" i="19"/>
  <c r="L142" i="19"/>
  <c r="I142" i="19"/>
  <c r="F142" i="19"/>
  <c r="C142" i="19"/>
  <c r="B142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S139" i="19"/>
  <c r="S138" i="19"/>
  <c r="S137" i="19"/>
  <c r="S136" i="19"/>
  <c r="T135" i="19"/>
  <c r="S135" i="19"/>
  <c r="O135" i="19"/>
  <c r="M135" i="19"/>
  <c r="L135" i="19"/>
  <c r="I135" i="19"/>
  <c r="H135" i="19"/>
  <c r="G135" i="19"/>
  <c r="F135" i="19"/>
  <c r="S134" i="19"/>
  <c r="O134" i="19"/>
  <c r="S133" i="19"/>
  <c r="O133" i="19"/>
  <c r="S132" i="19"/>
  <c r="O132" i="19"/>
  <c r="S131" i="19"/>
  <c r="O131" i="19"/>
  <c r="B131" i="19"/>
  <c r="T130" i="19"/>
  <c r="S130" i="19"/>
  <c r="O130" i="19"/>
  <c r="B130" i="19"/>
  <c r="S129" i="19"/>
  <c r="B129" i="19"/>
  <c r="S128" i="19"/>
  <c r="F128" i="19"/>
  <c r="B128" i="19"/>
  <c r="S127" i="19"/>
  <c r="B127" i="19"/>
  <c r="S126" i="19"/>
  <c r="O126" i="19"/>
  <c r="M126" i="19"/>
  <c r="H126" i="19"/>
  <c r="B126" i="19"/>
  <c r="S125" i="19"/>
  <c r="Q125" i="19"/>
  <c r="O125" i="19"/>
  <c r="H125" i="19"/>
  <c r="B125" i="19"/>
  <c r="S124" i="19"/>
  <c r="B124" i="19"/>
  <c r="T123" i="19"/>
  <c r="S123" i="19"/>
  <c r="Q123" i="19"/>
  <c r="O123" i="19"/>
  <c r="N123" i="19"/>
  <c r="M123" i="19"/>
  <c r="L123" i="19"/>
  <c r="I123" i="19"/>
  <c r="H123" i="19"/>
  <c r="G123" i="19"/>
  <c r="F123" i="19"/>
  <c r="C123" i="19"/>
  <c r="B123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S120" i="19"/>
  <c r="S119" i="19"/>
  <c r="S118" i="19"/>
  <c r="O118" i="19"/>
  <c r="S117" i="19"/>
  <c r="T116" i="19"/>
  <c r="S116" i="19"/>
  <c r="M116" i="19"/>
  <c r="L116" i="19"/>
  <c r="S115" i="19"/>
  <c r="S114" i="19"/>
  <c r="I114" i="19"/>
  <c r="S113" i="19"/>
  <c r="O113" i="19"/>
  <c r="I113" i="19"/>
  <c r="S112" i="19"/>
  <c r="B112" i="19"/>
  <c r="T111" i="19"/>
  <c r="S111" i="19"/>
  <c r="B111" i="19"/>
  <c r="S110" i="19"/>
  <c r="B110" i="19"/>
  <c r="S109" i="19"/>
  <c r="B109" i="19"/>
  <c r="S108" i="19"/>
  <c r="F108" i="19"/>
  <c r="B108" i="19"/>
  <c r="S107" i="19"/>
  <c r="O107" i="19"/>
  <c r="M107" i="19"/>
  <c r="H107" i="19"/>
  <c r="B107" i="19"/>
  <c r="S106" i="19"/>
  <c r="Q106" i="19"/>
  <c r="H106" i="19"/>
  <c r="B106" i="19"/>
  <c r="S105" i="19"/>
  <c r="B105" i="19"/>
  <c r="T104" i="19"/>
  <c r="S104" i="19"/>
  <c r="Q104" i="19"/>
  <c r="O104" i="19"/>
  <c r="N104" i="19"/>
  <c r="M104" i="19"/>
  <c r="L104" i="19"/>
  <c r="H104" i="19"/>
  <c r="F104" i="19"/>
  <c r="C104" i="19"/>
  <c r="B104" i="19"/>
  <c r="S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S101" i="19"/>
  <c r="S100" i="19"/>
  <c r="S99" i="19"/>
  <c r="S98" i="19"/>
  <c r="G98" i="19"/>
  <c r="F98" i="19"/>
  <c r="T97" i="19"/>
  <c r="S97" i="19"/>
  <c r="O97" i="19"/>
  <c r="M97" i="19"/>
  <c r="L97" i="19"/>
  <c r="I97" i="19"/>
  <c r="H97" i="19"/>
  <c r="G97" i="19"/>
  <c r="F97" i="19"/>
  <c r="S96" i="19"/>
  <c r="S95" i="19"/>
  <c r="S94" i="19"/>
  <c r="S93" i="19"/>
  <c r="B93" i="19"/>
  <c r="T92" i="19"/>
  <c r="S92" i="19"/>
  <c r="B92" i="19"/>
  <c r="S91" i="19"/>
  <c r="Q91" i="19"/>
  <c r="B91" i="19"/>
  <c r="S90" i="19"/>
  <c r="F90" i="19"/>
  <c r="B90" i="19"/>
  <c r="S89" i="19"/>
  <c r="F89" i="19"/>
  <c r="B89" i="19"/>
  <c r="S88" i="19"/>
  <c r="M88" i="19"/>
  <c r="F88" i="19"/>
  <c r="B88" i="19"/>
  <c r="S87" i="19"/>
  <c r="Q87" i="19"/>
  <c r="F87" i="19"/>
  <c r="B87" i="19"/>
  <c r="S86" i="19"/>
  <c r="B86" i="19"/>
  <c r="T85" i="19"/>
  <c r="S85" i="19"/>
  <c r="Q85" i="19"/>
  <c r="O85" i="19"/>
  <c r="N85" i="19"/>
  <c r="M85" i="19"/>
  <c r="K85" i="19"/>
  <c r="H85" i="19"/>
  <c r="G85" i="19"/>
  <c r="F85" i="19"/>
  <c r="C85" i="19"/>
  <c r="B85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S82" i="19"/>
  <c r="S81" i="19"/>
  <c r="Q81" i="19"/>
  <c r="S80" i="19"/>
  <c r="S79" i="19"/>
  <c r="G79" i="19"/>
  <c r="T78" i="19"/>
  <c r="S78" i="19"/>
  <c r="M78" i="19"/>
  <c r="F78" i="19"/>
  <c r="S77" i="19"/>
  <c r="S76" i="19"/>
  <c r="S75" i="19"/>
  <c r="S74" i="19"/>
  <c r="B74" i="19"/>
  <c r="T73" i="19"/>
  <c r="S73" i="19"/>
  <c r="B73" i="19"/>
  <c r="S72" i="19"/>
  <c r="Q72" i="19"/>
  <c r="H72" i="19"/>
  <c r="B72" i="19"/>
  <c r="S71" i="19"/>
  <c r="I71" i="19"/>
  <c r="B71" i="19"/>
  <c r="S70" i="19"/>
  <c r="H70" i="19"/>
  <c r="F70" i="19"/>
  <c r="B70" i="19"/>
  <c r="S69" i="19"/>
  <c r="M69" i="19"/>
  <c r="H69" i="19"/>
  <c r="F69" i="19"/>
  <c r="B69" i="19"/>
  <c r="S68" i="19"/>
  <c r="Q68" i="19"/>
  <c r="M68" i="19"/>
  <c r="H68" i="19"/>
  <c r="F68" i="19"/>
  <c r="B68" i="19"/>
  <c r="S67" i="19"/>
  <c r="B67" i="19"/>
  <c r="T66" i="19"/>
  <c r="S66" i="19"/>
  <c r="Q66" i="19"/>
  <c r="O66" i="19"/>
  <c r="M66" i="19"/>
  <c r="I66" i="19"/>
  <c r="H66" i="19"/>
  <c r="G66" i="19"/>
  <c r="F66" i="19"/>
  <c r="C66" i="19"/>
  <c r="B66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S63" i="19"/>
  <c r="S62" i="19"/>
  <c r="Q62" i="19"/>
  <c r="S61" i="19"/>
  <c r="S60" i="19"/>
  <c r="T59" i="19"/>
  <c r="S59" i="19"/>
  <c r="I59" i="19"/>
  <c r="S58" i="19"/>
  <c r="O58" i="19"/>
  <c r="S57" i="19"/>
  <c r="O57" i="19"/>
  <c r="M57" i="19"/>
  <c r="S56" i="19"/>
  <c r="S55" i="19"/>
  <c r="M55" i="19"/>
  <c r="B55" i="19"/>
  <c r="T54" i="19"/>
  <c r="S54" i="19"/>
  <c r="B54" i="19"/>
  <c r="S53" i="19"/>
  <c r="F53" i="19"/>
  <c r="B53" i="19"/>
  <c r="S52" i="19"/>
  <c r="F52" i="19"/>
  <c r="B52" i="19"/>
  <c r="S51" i="19"/>
  <c r="I51" i="19"/>
  <c r="F51" i="19"/>
  <c r="B51" i="19"/>
  <c r="S50" i="19"/>
  <c r="Q50" i="19"/>
  <c r="M50" i="19"/>
  <c r="F50" i="19"/>
  <c r="B50" i="19"/>
  <c r="S49" i="19"/>
  <c r="Q49" i="19"/>
  <c r="F49" i="19"/>
  <c r="B49" i="19"/>
  <c r="S48" i="19"/>
  <c r="B48" i="19"/>
  <c r="T47" i="19"/>
  <c r="S47" i="19"/>
  <c r="Q47" i="19"/>
  <c r="O47" i="19"/>
  <c r="M47" i="19"/>
  <c r="I47" i="19"/>
  <c r="H47" i="19"/>
  <c r="G47" i="19"/>
  <c r="F47" i="19"/>
  <c r="C47" i="19"/>
  <c r="B47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S44" i="19"/>
  <c r="S43" i="19"/>
  <c r="Q43" i="19"/>
  <c r="S42" i="19"/>
  <c r="S41" i="19"/>
  <c r="T40" i="19"/>
  <c r="S40" i="19"/>
  <c r="M40" i="19"/>
  <c r="I40" i="19"/>
  <c r="H40" i="19"/>
  <c r="F40" i="19"/>
  <c r="S39" i="19"/>
  <c r="O39" i="19"/>
  <c r="S38" i="19"/>
  <c r="S37" i="19"/>
  <c r="S36" i="19"/>
  <c r="B36" i="19"/>
  <c r="T35" i="19"/>
  <c r="S35" i="19"/>
  <c r="B35" i="19"/>
  <c r="S34" i="19"/>
  <c r="B34" i="19"/>
  <c r="S33" i="19"/>
  <c r="I33" i="19"/>
  <c r="B33" i="19"/>
  <c r="S32" i="19"/>
  <c r="B32" i="19"/>
  <c r="S31" i="19"/>
  <c r="Q31" i="19"/>
  <c r="M31" i="19"/>
  <c r="I31" i="19"/>
  <c r="F31" i="19"/>
  <c r="B31" i="19"/>
  <c r="S30" i="19"/>
  <c r="Q30" i="19"/>
  <c r="M30" i="19"/>
  <c r="B30" i="19"/>
  <c r="S29" i="19"/>
  <c r="B29" i="19"/>
  <c r="T28" i="19"/>
  <c r="S28" i="19"/>
  <c r="Q28" i="19"/>
  <c r="N28" i="19"/>
  <c r="M28" i="19"/>
  <c r="I28" i="19"/>
  <c r="G28" i="19"/>
  <c r="F28" i="19"/>
  <c r="C28" i="19"/>
  <c r="B28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S25" i="19"/>
  <c r="Q25" i="19"/>
  <c r="S24" i="19"/>
  <c r="Q24" i="19"/>
  <c r="S23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S22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Z21" i="19"/>
  <c r="Y21" i="19"/>
  <c r="X21" i="19"/>
  <c r="W21" i="19"/>
  <c r="V21" i="19"/>
  <c r="T21" i="19"/>
  <c r="S21" i="19"/>
  <c r="N21" i="19"/>
  <c r="M21" i="19"/>
  <c r="H21" i="19"/>
  <c r="G21" i="19"/>
  <c r="F21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Z20" i="19"/>
  <c r="Y20" i="19"/>
  <c r="X20" i="19"/>
  <c r="W20" i="19"/>
  <c r="V20" i="19"/>
  <c r="S20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Z19" i="19"/>
  <c r="Y19" i="19"/>
  <c r="X19" i="19"/>
  <c r="W19" i="19"/>
  <c r="V19" i="19"/>
  <c r="S19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Z18" i="19"/>
  <c r="Y18" i="19"/>
  <c r="X18" i="19"/>
  <c r="W18" i="19"/>
  <c r="V18" i="19"/>
  <c r="S18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Z17" i="19"/>
  <c r="Y17" i="19"/>
  <c r="X17" i="19"/>
  <c r="W17" i="19"/>
  <c r="V17" i="19"/>
  <c r="S17" i="19"/>
  <c r="B17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Z16" i="19"/>
  <c r="Y16" i="19"/>
  <c r="X16" i="19"/>
  <c r="W16" i="19"/>
  <c r="V16" i="19"/>
  <c r="T16" i="19"/>
  <c r="S16" i="19"/>
  <c r="B16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Z15" i="19"/>
  <c r="Y15" i="19"/>
  <c r="X15" i="19"/>
  <c r="W15" i="19"/>
  <c r="V15" i="19"/>
  <c r="S15" i="19"/>
  <c r="Q15" i="19"/>
  <c r="F15" i="19"/>
  <c r="B15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Z14" i="19"/>
  <c r="Y14" i="19"/>
  <c r="X14" i="19"/>
  <c r="W14" i="19"/>
  <c r="V14" i="19"/>
  <c r="S14" i="19"/>
  <c r="F14" i="19"/>
  <c r="B14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Z13" i="19"/>
  <c r="Y13" i="19"/>
  <c r="X13" i="19"/>
  <c r="W13" i="19"/>
  <c r="V13" i="19"/>
  <c r="S13" i="19"/>
  <c r="F13" i="19"/>
  <c r="B13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Z12" i="19"/>
  <c r="Y12" i="19"/>
  <c r="X12" i="19"/>
  <c r="W12" i="19"/>
  <c r="V12" i="19"/>
  <c r="S12" i="19"/>
  <c r="Q12" i="19"/>
  <c r="M12" i="19"/>
  <c r="F12" i="19"/>
  <c r="B12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Z11" i="19"/>
  <c r="Y11" i="19"/>
  <c r="X11" i="19"/>
  <c r="W11" i="19"/>
  <c r="V11" i="19"/>
  <c r="S11" i="19"/>
  <c r="Q11" i="19"/>
  <c r="G11" i="19"/>
  <c r="F11" i="19"/>
  <c r="B11" i="19"/>
  <c r="Z10" i="19"/>
  <c r="Y10" i="19"/>
  <c r="X10" i="19"/>
  <c r="W10" i="19"/>
  <c r="V10" i="19"/>
  <c r="S10" i="19"/>
  <c r="B10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Y9" i="19"/>
  <c r="W9" i="19"/>
  <c r="T9" i="19"/>
  <c r="S9" i="19"/>
  <c r="Q9" i="19"/>
  <c r="O9" i="19"/>
  <c r="M9" i="19"/>
  <c r="I9" i="19"/>
  <c r="H9" i="19"/>
  <c r="G9" i="19"/>
  <c r="F9" i="19"/>
  <c r="C9" i="19"/>
  <c r="Z8" i="19"/>
  <c r="Y8" i="19"/>
  <c r="X8" i="19"/>
  <c r="W8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AQ6" i="19"/>
  <c r="AL6" i="19"/>
  <c r="AE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B6" i="19"/>
  <c r="AU5" i="19"/>
  <c r="AT5" i="19"/>
  <c r="AS5" i="19"/>
  <c r="AR5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B5" i="19"/>
  <c r="AD4" i="19"/>
  <c r="C4" i="19"/>
  <c r="B4" i="19"/>
  <c r="AD3" i="19"/>
  <c r="C3" i="19"/>
  <c r="B3" i="19"/>
  <c r="M2" i="19"/>
  <c r="L2" i="19"/>
  <c r="J2" i="19"/>
  <c r="C2" i="19"/>
  <c r="B2" i="19"/>
  <c r="C1" i="19"/>
  <c r="B1" i="19"/>
  <c r="E242" i="14"/>
  <c r="M240" i="14"/>
  <c r="L240" i="14"/>
  <c r="K240" i="14"/>
  <c r="J240" i="14"/>
  <c r="I240" i="14"/>
  <c r="H240" i="14"/>
  <c r="G240" i="14"/>
  <c r="E240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S234" i="14"/>
  <c r="S233" i="14"/>
  <c r="S232" i="14"/>
  <c r="S231" i="14"/>
  <c r="T230" i="14"/>
  <c r="S230" i="14"/>
  <c r="S229" i="14"/>
  <c r="O229" i="14"/>
  <c r="S228" i="14"/>
  <c r="F228" i="14"/>
  <c r="S227" i="14"/>
  <c r="S226" i="14"/>
  <c r="B226" i="14"/>
  <c r="T225" i="14"/>
  <c r="S225" i="14"/>
  <c r="B225" i="14"/>
  <c r="S224" i="14"/>
  <c r="B224" i="14"/>
  <c r="S223" i="14"/>
  <c r="F223" i="14"/>
  <c r="B223" i="14"/>
  <c r="S222" i="14"/>
  <c r="F222" i="14"/>
  <c r="B222" i="14"/>
  <c r="S221" i="14"/>
  <c r="F221" i="14"/>
  <c r="B221" i="14"/>
  <c r="S220" i="14"/>
  <c r="Q220" i="14"/>
  <c r="H220" i="14"/>
  <c r="B220" i="14"/>
  <c r="S219" i="14"/>
  <c r="B219" i="14"/>
  <c r="T218" i="14"/>
  <c r="S218" i="14"/>
  <c r="Q218" i="14"/>
  <c r="O218" i="14"/>
  <c r="M218" i="14"/>
  <c r="H218" i="14"/>
  <c r="F218" i="14"/>
  <c r="B218" i="14"/>
  <c r="S216" i="14"/>
  <c r="R216" i="14"/>
  <c r="Q216" i="14"/>
  <c r="P216" i="14"/>
  <c r="O216" i="14"/>
  <c r="N216" i="14"/>
  <c r="M216" i="14"/>
  <c r="L216" i="14"/>
  <c r="K216" i="14"/>
  <c r="J216" i="14"/>
  <c r="I216" i="14"/>
  <c r="H216" i="14"/>
  <c r="G216" i="14"/>
  <c r="F216" i="14"/>
  <c r="S215" i="14"/>
  <c r="S214" i="14"/>
  <c r="M214" i="14"/>
  <c r="H214" i="14"/>
  <c r="S213" i="14"/>
  <c r="H213" i="14"/>
  <c r="S212" i="14"/>
  <c r="H212" i="14"/>
  <c r="T211" i="14"/>
  <c r="S211" i="14"/>
  <c r="O211" i="14"/>
  <c r="H211" i="14"/>
  <c r="F211" i="14"/>
  <c r="S210" i="14"/>
  <c r="O210" i="14"/>
  <c r="S209" i="14"/>
  <c r="F209" i="14"/>
  <c r="S208" i="14"/>
  <c r="F208" i="14"/>
  <c r="S207" i="14"/>
  <c r="B207" i="14"/>
  <c r="T206" i="14"/>
  <c r="S206" i="14"/>
  <c r="B206" i="14"/>
  <c r="S205" i="14"/>
  <c r="B205" i="14"/>
  <c r="S204" i="14"/>
  <c r="F204" i="14"/>
  <c r="B204" i="14"/>
  <c r="S203" i="14"/>
  <c r="F203" i="14"/>
  <c r="B203" i="14"/>
  <c r="S202" i="14"/>
  <c r="M202" i="14"/>
  <c r="F202" i="14"/>
  <c r="B202" i="14"/>
  <c r="S201" i="14"/>
  <c r="Q201" i="14"/>
  <c r="H201" i="14"/>
  <c r="B201" i="14"/>
  <c r="S200" i="14"/>
  <c r="B200" i="14"/>
  <c r="T199" i="14"/>
  <c r="S199" i="14"/>
  <c r="Q199" i="14"/>
  <c r="O199" i="14"/>
  <c r="M199" i="14"/>
  <c r="I199" i="14"/>
  <c r="H199" i="14"/>
  <c r="F199" i="14"/>
  <c r="B199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S196" i="14"/>
  <c r="S195" i="14"/>
  <c r="S194" i="14"/>
  <c r="S193" i="14"/>
  <c r="T192" i="14"/>
  <c r="S192" i="14"/>
  <c r="O192" i="14"/>
  <c r="M192" i="14"/>
  <c r="I192" i="14"/>
  <c r="H192" i="14"/>
  <c r="F192" i="14"/>
  <c r="S191" i="14"/>
  <c r="O191" i="14"/>
  <c r="S190" i="14"/>
  <c r="F190" i="14"/>
  <c r="S189" i="14"/>
  <c r="O189" i="14"/>
  <c r="F189" i="14"/>
  <c r="S188" i="14"/>
  <c r="O188" i="14"/>
  <c r="B188" i="14"/>
  <c r="T187" i="14"/>
  <c r="S187" i="14"/>
  <c r="B187" i="14"/>
  <c r="S186" i="14"/>
  <c r="B186" i="14"/>
  <c r="S185" i="14"/>
  <c r="B185" i="14"/>
  <c r="S184" i="14"/>
  <c r="H184" i="14"/>
  <c r="F184" i="14"/>
  <c r="B184" i="14"/>
  <c r="S183" i="14"/>
  <c r="O183" i="14"/>
  <c r="H183" i="14"/>
  <c r="F183" i="14"/>
  <c r="B183" i="14"/>
  <c r="S182" i="14"/>
  <c r="Q182" i="14"/>
  <c r="M182" i="14"/>
  <c r="H182" i="14"/>
  <c r="F182" i="14"/>
  <c r="B182" i="14"/>
  <c r="S181" i="14"/>
  <c r="B181" i="14"/>
  <c r="T180" i="14"/>
  <c r="S180" i="14"/>
  <c r="Q180" i="14"/>
  <c r="O180" i="14"/>
  <c r="M180" i="14"/>
  <c r="H180" i="14"/>
  <c r="F180" i="14"/>
  <c r="B180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S177" i="14"/>
  <c r="S176" i="14"/>
  <c r="S175" i="14"/>
  <c r="F175" i="14"/>
  <c r="S174" i="14"/>
  <c r="T173" i="14"/>
  <c r="S173" i="14"/>
  <c r="S172" i="14"/>
  <c r="O172" i="14"/>
  <c r="S171" i="14"/>
  <c r="F171" i="14"/>
  <c r="S170" i="14"/>
  <c r="F170" i="14"/>
  <c r="S169" i="14"/>
  <c r="F169" i="14"/>
  <c r="B169" i="14"/>
  <c r="T168" i="14"/>
  <c r="S168" i="14"/>
  <c r="F168" i="14"/>
  <c r="B168" i="14"/>
  <c r="S167" i="14"/>
  <c r="F167" i="14"/>
  <c r="B167" i="14"/>
  <c r="S166" i="14"/>
  <c r="F166" i="14"/>
  <c r="B166" i="14"/>
  <c r="S165" i="14"/>
  <c r="F165" i="14"/>
  <c r="B165" i="14"/>
  <c r="S164" i="14"/>
  <c r="M164" i="14"/>
  <c r="H164" i="14"/>
  <c r="F164" i="14"/>
  <c r="B164" i="14"/>
  <c r="S163" i="14"/>
  <c r="Q163" i="14"/>
  <c r="H163" i="14"/>
  <c r="F163" i="14"/>
  <c r="B163" i="14"/>
  <c r="S162" i="14"/>
  <c r="B162" i="14"/>
  <c r="T161" i="14"/>
  <c r="S161" i="14"/>
  <c r="Q161" i="14"/>
  <c r="O161" i="14"/>
  <c r="N161" i="14"/>
  <c r="M161" i="14"/>
  <c r="I161" i="14"/>
  <c r="H161" i="14"/>
  <c r="F161" i="14"/>
  <c r="B161" i="14"/>
  <c r="S159" i="14"/>
  <c r="R159" i="14"/>
  <c r="Q159" i="14"/>
  <c r="P159" i="14"/>
  <c r="O159" i="14"/>
  <c r="N159" i="14"/>
  <c r="M159" i="14"/>
  <c r="L159" i="14"/>
  <c r="K159" i="14"/>
  <c r="J159" i="14"/>
  <c r="I159" i="14"/>
  <c r="H159" i="14"/>
  <c r="G159" i="14"/>
  <c r="F159" i="14"/>
  <c r="S158" i="14"/>
  <c r="Q158" i="14"/>
  <c r="S157" i="14"/>
  <c r="S156" i="14"/>
  <c r="H156" i="14"/>
  <c r="F156" i="14"/>
  <c r="S155" i="14"/>
  <c r="T154" i="14"/>
  <c r="S154" i="14"/>
  <c r="M154" i="14"/>
  <c r="H154" i="14"/>
  <c r="F154" i="14"/>
  <c r="S153" i="14"/>
  <c r="S152" i="14"/>
  <c r="S151" i="14"/>
  <c r="S150" i="14"/>
  <c r="B150" i="14"/>
  <c r="T149" i="14"/>
  <c r="S149" i="14"/>
  <c r="B149" i="14"/>
  <c r="S148" i="14"/>
  <c r="B148" i="14"/>
  <c r="S147" i="14"/>
  <c r="F147" i="14"/>
  <c r="B147" i="14"/>
  <c r="S146" i="14"/>
  <c r="F146" i="14"/>
  <c r="B146" i="14"/>
  <c r="S145" i="14"/>
  <c r="M145" i="14"/>
  <c r="H145" i="14"/>
  <c r="F145" i="14"/>
  <c r="B145" i="14"/>
  <c r="S144" i="14"/>
  <c r="Q144" i="14"/>
  <c r="H144" i="14"/>
  <c r="B144" i="14"/>
  <c r="S143" i="14"/>
  <c r="B143" i="14"/>
  <c r="T142" i="14"/>
  <c r="S142" i="14"/>
  <c r="Q142" i="14"/>
  <c r="O142" i="14"/>
  <c r="N142" i="14"/>
  <c r="M142" i="14"/>
  <c r="I142" i="14"/>
  <c r="H142" i="14"/>
  <c r="F142" i="14"/>
  <c r="B142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V139" i="14"/>
  <c r="S139" i="14"/>
  <c r="V138" i="14"/>
  <c r="S138" i="14"/>
  <c r="V137" i="14"/>
  <c r="S137" i="14"/>
  <c r="H137" i="14"/>
  <c r="F137" i="14"/>
  <c r="V136" i="14"/>
  <c r="S136" i="14"/>
  <c r="V135" i="14"/>
  <c r="T135" i="14"/>
  <c r="S135" i="14"/>
  <c r="O135" i="14"/>
  <c r="M135" i="14"/>
  <c r="H135" i="14"/>
  <c r="F135" i="14"/>
  <c r="S134" i="14"/>
  <c r="F134" i="14"/>
  <c r="S133" i="14"/>
  <c r="O133" i="14"/>
  <c r="S132" i="14"/>
  <c r="S131" i="14"/>
  <c r="H131" i="14"/>
  <c r="B131" i="14"/>
  <c r="T130" i="14"/>
  <c r="S130" i="14"/>
  <c r="B130" i="14"/>
  <c r="V129" i="14"/>
  <c r="S129" i="14"/>
  <c r="B129" i="14"/>
  <c r="V128" i="14"/>
  <c r="S128" i="14"/>
  <c r="F128" i="14"/>
  <c r="B128" i="14"/>
  <c r="V127" i="14"/>
  <c r="S127" i="14"/>
  <c r="F127" i="14"/>
  <c r="B127" i="14"/>
  <c r="V126" i="14"/>
  <c r="S126" i="14"/>
  <c r="O126" i="14"/>
  <c r="H126" i="14"/>
  <c r="F126" i="14"/>
  <c r="B126" i="14"/>
  <c r="V125" i="14"/>
  <c r="S125" i="14"/>
  <c r="Q125" i="14"/>
  <c r="H125" i="14"/>
  <c r="B125" i="14"/>
  <c r="V124" i="14"/>
  <c r="S124" i="14"/>
  <c r="B124" i="14"/>
  <c r="V123" i="14"/>
  <c r="T123" i="14"/>
  <c r="S123" i="14"/>
  <c r="Q123" i="14"/>
  <c r="O123" i="14"/>
  <c r="M123" i="14"/>
  <c r="I123" i="14"/>
  <c r="H123" i="14"/>
  <c r="F123" i="14"/>
  <c r="B123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S120" i="14"/>
  <c r="H120" i="14"/>
  <c r="S119" i="14"/>
  <c r="S118" i="14"/>
  <c r="H118" i="14"/>
  <c r="F118" i="14"/>
  <c r="S117" i="14"/>
  <c r="T116" i="14"/>
  <c r="S116" i="14"/>
  <c r="M116" i="14"/>
  <c r="S115" i="14"/>
  <c r="F115" i="14"/>
  <c r="S114" i="14"/>
  <c r="S113" i="14"/>
  <c r="S112" i="14"/>
  <c r="B112" i="14"/>
  <c r="T111" i="14"/>
  <c r="S111" i="14"/>
  <c r="B111" i="14"/>
  <c r="S110" i="14"/>
  <c r="B110" i="14"/>
  <c r="S109" i="14"/>
  <c r="F109" i="14"/>
  <c r="B109" i="14"/>
  <c r="S108" i="14"/>
  <c r="F108" i="14"/>
  <c r="B108" i="14"/>
  <c r="S107" i="14"/>
  <c r="Q107" i="14"/>
  <c r="H107" i="14"/>
  <c r="F107" i="14"/>
  <c r="B107" i="14"/>
  <c r="S106" i="14"/>
  <c r="Q106" i="14"/>
  <c r="B106" i="14"/>
  <c r="S105" i="14"/>
  <c r="B105" i="14"/>
  <c r="T104" i="14"/>
  <c r="S104" i="14"/>
  <c r="Q104" i="14"/>
  <c r="O104" i="14"/>
  <c r="N104" i="14"/>
  <c r="M104" i="14"/>
  <c r="I104" i="14"/>
  <c r="H104" i="14"/>
  <c r="F104" i="14"/>
  <c r="S102" i="14"/>
  <c r="R102" i="14"/>
  <c r="Q102" i="14"/>
  <c r="P102" i="14"/>
  <c r="O102" i="14"/>
  <c r="N102" i="14"/>
  <c r="M102" i="14"/>
  <c r="L102" i="14"/>
  <c r="K102" i="14"/>
  <c r="J102" i="14"/>
  <c r="I102" i="14"/>
  <c r="H102" i="14"/>
  <c r="G102" i="14"/>
  <c r="F102" i="14"/>
  <c r="S101" i="14"/>
  <c r="H101" i="14"/>
  <c r="F101" i="14"/>
  <c r="S100" i="14"/>
  <c r="S99" i="14"/>
  <c r="H99" i="14"/>
  <c r="F99" i="14"/>
  <c r="S98" i="14"/>
  <c r="F98" i="14"/>
  <c r="T97" i="14"/>
  <c r="S97" i="14"/>
  <c r="M97" i="14"/>
  <c r="F97" i="14"/>
  <c r="S96" i="14"/>
  <c r="S95" i="14"/>
  <c r="S94" i="14"/>
  <c r="S93" i="14"/>
  <c r="B93" i="14"/>
  <c r="T92" i="14"/>
  <c r="S92" i="14"/>
  <c r="B92" i="14"/>
  <c r="S91" i="14"/>
  <c r="F91" i="14"/>
  <c r="B91" i="14"/>
  <c r="S90" i="14"/>
  <c r="F90" i="14"/>
  <c r="B90" i="14"/>
  <c r="S89" i="14"/>
  <c r="F89" i="14"/>
  <c r="B89" i="14"/>
  <c r="S88" i="14"/>
  <c r="H88" i="14"/>
  <c r="F88" i="14"/>
  <c r="B88" i="14"/>
  <c r="S87" i="14"/>
  <c r="Q87" i="14"/>
  <c r="H87" i="14"/>
  <c r="F87" i="14"/>
  <c r="B87" i="14"/>
  <c r="S86" i="14"/>
  <c r="F86" i="14"/>
  <c r="B86" i="14"/>
  <c r="T85" i="14"/>
  <c r="S85" i="14"/>
  <c r="Q85" i="14"/>
  <c r="O85" i="14"/>
  <c r="N85" i="14"/>
  <c r="M85" i="14"/>
  <c r="I85" i="14"/>
  <c r="H85" i="14"/>
  <c r="F85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S82" i="14"/>
  <c r="S81" i="14"/>
  <c r="S80" i="14"/>
  <c r="F80" i="14"/>
  <c r="S79" i="14"/>
  <c r="T78" i="14"/>
  <c r="S78" i="14"/>
  <c r="M78" i="14"/>
  <c r="H78" i="14"/>
  <c r="F78" i="14"/>
  <c r="S77" i="14"/>
  <c r="S76" i="14"/>
  <c r="S75" i="14"/>
  <c r="S74" i="14"/>
  <c r="H74" i="14"/>
  <c r="B74" i="14"/>
  <c r="T73" i="14"/>
  <c r="S73" i="14"/>
  <c r="H73" i="14"/>
  <c r="B73" i="14"/>
  <c r="S72" i="14"/>
  <c r="F72" i="14"/>
  <c r="B72" i="14"/>
  <c r="S71" i="14"/>
  <c r="F71" i="14"/>
  <c r="B71" i="14"/>
  <c r="S70" i="14"/>
  <c r="F70" i="14"/>
  <c r="B70" i="14"/>
  <c r="S69" i="14"/>
  <c r="H69" i="14"/>
  <c r="F69" i="14"/>
  <c r="B69" i="14"/>
  <c r="S68" i="14"/>
  <c r="Q68" i="14"/>
  <c r="H68" i="14"/>
  <c r="B68" i="14"/>
  <c r="S67" i="14"/>
  <c r="B67" i="14"/>
  <c r="T66" i="14"/>
  <c r="S66" i="14"/>
  <c r="Q66" i="14"/>
  <c r="O66" i="14"/>
  <c r="N66" i="14"/>
  <c r="M66" i="14"/>
  <c r="I66" i="14"/>
  <c r="H66" i="14"/>
  <c r="F66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S63" i="14"/>
  <c r="M63" i="14"/>
  <c r="S62" i="14"/>
  <c r="S61" i="14"/>
  <c r="F61" i="14"/>
  <c r="S60" i="14"/>
  <c r="T59" i="14"/>
  <c r="S59" i="14"/>
  <c r="M59" i="14"/>
  <c r="S58" i="14"/>
  <c r="S57" i="14"/>
  <c r="H57" i="14"/>
  <c r="S56" i="14"/>
  <c r="M56" i="14"/>
  <c r="S55" i="14"/>
  <c r="B55" i="14"/>
  <c r="T54" i="14"/>
  <c r="S54" i="14"/>
  <c r="B54" i="14"/>
  <c r="S53" i="14"/>
  <c r="F53" i="14"/>
  <c r="B53" i="14"/>
  <c r="S52" i="14"/>
  <c r="F52" i="14"/>
  <c r="B52" i="14"/>
  <c r="S51" i="14"/>
  <c r="H51" i="14"/>
  <c r="F51" i="14"/>
  <c r="B51" i="14"/>
  <c r="S50" i="14"/>
  <c r="H50" i="14"/>
  <c r="F50" i="14"/>
  <c r="B50" i="14"/>
  <c r="S49" i="14"/>
  <c r="Q49" i="14"/>
  <c r="H49" i="14"/>
  <c r="F49" i="14"/>
  <c r="B49" i="14"/>
  <c r="S48" i="14"/>
  <c r="B48" i="14"/>
  <c r="T47" i="14"/>
  <c r="S47" i="14"/>
  <c r="Q47" i="14"/>
  <c r="O47" i="14"/>
  <c r="N47" i="14"/>
  <c r="M47" i="14"/>
  <c r="I47" i="14"/>
  <c r="H47" i="14"/>
  <c r="F47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S44" i="14"/>
  <c r="O44" i="14"/>
  <c r="H44" i="14"/>
  <c r="S43" i="14"/>
  <c r="M43" i="14"/>
  <c r="S42" i="14"/>
  <c r="F42" i="14"/>
  <c r="S41" i="14"/>
  <c r="T40" i="14"/>
  <c r="S40" i="14"/>
  <c r="M40" i="14"/>
  <c r="F40" i="14"/>
  <c r="S39" i="14"/>
  <c r="S38" i="14"/>
  <c r="H38" i="14"/>
  <c r="S37" i="14"/>
  <c r="H37" i="14"/>
  <c r="S36" i="14"/>
  <c r="B36" i="14"/>
  <c r="T35" i="14"/>
  <c r="S35" i="14"/>
  <c r="B35" i="14"/>
  <c r="S34" i="14"/>
  <c r="B34" i="14"/>
  <c r="S33" i="14"/>
  <c r="F33" i="14"/>
  <c r="B33" i="14"/>
  <c r="S32" i="14"/>
  <c r="F32" i="14"/>
  <c r="B32" i="14"/>
  <c r="S31" i="14"/>
  <c r="M31" i="14"/>
  <c r="I31" i="14"/>
  <c r="H31" i="14"/>
  <c r="F31" i="14"/>
  <c r="B31" i="14"/>
  <c r="S30" i="14"/>
  <c r="Q30" i="14"/>
  <c r="B30" i="14"/>
  <c r="S29" i="14"/>
  <c r="B29" i="14"/>
  <c r="T28" i="14"/>
  <c r="S28" i="14"/>
  <c r="Q28" i="14"/>
  <c r="O28" i="14"/>
  <c r="M28" i="14"/>
  <c r="H28" i="14"/>
  <c r="F28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S25" i="14"/>
  <c r="Q25" i="14"/>
  <c r="H25" i="14"/>
  <c r="S24" i="14"/>
  <c r="S23" i="14"/>
  <c r="F23" i="14"/>
  <c r="S22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T21" i="14"/>
  <c r="S21" i="14"/>
  <c r="I21" i="14"/>
  <c r="H21" i="14"/>
  <c r="F21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S20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S19" i="14"/>
  <c r="F19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S18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S17" i="14"/>
  <c r="O17" i="14"/>
  <c r="F17" i="14"/>
  <c r="B17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T16" i="14"/>
  <c r="S16" i="14"/>
  <c r="B16" i="14"/>
  <c r="AV15" i="14"/>
  <c r="AU15" i="14"/>
  <c r="AT15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S15" i="14"/>
  <c r="H15" i="14"/>
  <c r="F15" i="14"/>
  <c r="B15" i="14"/>
  <c r="AV14" i="14"/>
  <c r="AU14" i="14"/>
  <c r="AT14" i="14"/>
  <c r="AS14" i="14"/>
  <c r="AR14" i="14"/>
  <c r="AQ14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S14" i="14"/>
  <c r="B14" i="14"/>
  <c r="AV13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S13" i="14"/>
  <c r="H13" i="14"/>
  <c r="F13" i="14"/>
  <c r="B13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S12" i="14"/>
  <c r="I12" i="14"/>
  <c r="H12" i="14"/>
  <c r="F12" i="14"/>
  <c r="B12" i="14"/>
  <c r="AV11" i="14"/>
  <c r="AU11" i="14"/>
  <c r="AT11" i="14"/>
  <c r="AS11" i="14"/>
  <c r="AR11" i="14"/>
  <c r="AQ11" i="14"/>
  <c r="AP11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S11" i="14"/>
  <c r="Q11" i="14"/>
  <c r="H11" i="14"/>
  <c r="B11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S10" i="14"/>
  <c r="B10" i="14"/>
  <c r="Y9" i="14"/>
  <c r="W9" i="14"/>
  <c r="T9" i="14"/>
  <c r="S9" i="14"/>
  <c r="Q9" i="14"/>
  <c r="P9" i="14"/>
  <c r="O9" i="14"/>
  <c r="N9" i="14"/>
  <c r="I9" i="14"/>
  <c r="H9" i="14"/>
  <c r="F9" i="14"/>
  <c r="AU8" i="14"/>
  <c r="AT8" i="14"/>
  <c r="AS8" i="14"/>
  <c r="AR8" i="14"/>
  <c r="AQ8" i="14"/>
  <c r="AP8" i="14"/>
  <c r="AO8" i="14"/>
  <c r="AN8" i="14"/>
  <c r="AM8" i="14"/>
  <c r="AL8" i="14"/>
  <c r="AK8" i="14"/>
  <c r="AI8" i="14"/>
  <c r="AF8" i="14"/>
  <c r="AE8" i="14"/>
  <c r="AD8" i="14"/>
  <c r="Y8" i="14"/>
  <c r="X8" i="14"/>
  <c r="W8" i="14"/>
  <c r="AQ7" i="14"/>
  <c r="AL7" i="14"/>
  <c r="AE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AQ6" i="14"/>
  <c r="AL6" i="14"/>
  <c r="AE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B6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B5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C4" i="14"/>
  <c r="B4" i="14"/>
  <c r="AS3" i="14"/>
  <c r="C3" i="14"/>
  <c r="B3" i="14"/>
  <c r="L2" i="14"/>
  <c r="K2" i="14"/>
  <c r="C2" i="14"/>
  <c r="B2" i="14"/>
  <c r="C1" i="14"/>
  <c r="B1" i="14"/>
  <c r="M247" i="16"/>
  <c r="L247" i="16"/>
  <c r="K247" i="16"/>
  <c r="J247" i="16"/>
  <c r="I247" i="16"/>
  <c r="H247" i="16"/>
  <c r="G247" i="16"/>
  <c r="E242" i="16"/>
  <c r="M240" i="16"/>
  <c r="L240" i="16"/>
  <c r="K240" i="16"/>
  <c r="J240" i="16"/>
  <c r="I240" i="16"/>
  <c r="H240" i="16"/>
  <c r="G240" i="16"/>
  <c r="E240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S234" i="16"/>
  <c r="S233" i="16"/>
  <c r="S232" i="16"/>
  <c r="S231" i="16"/>
  <c r="T230" i="16"/>
  <c r="S230" i="16"/>
  <c r="S229" i="16"/>
  <c r="O229" i="16"/>
  <c r="S228" i="16"/>
  <c r="S227" i="16"/>
  <c r="S226" i="16"/>
  <c r="O226" i="16"/>
  <c r="B226" i="16"/>
  <c r="T225" i="16"/>
  <c r="S225" i="16"/>
  <c r="B225" i="16"/>
  <c r="S224" i="16"/>
  <c r="Q224" i="16"/>
  <c r="B224" i="16"/>
  <c r="S223" i="16"/>
  <c r="F223" i="16"/>
  <c r="B223" i="16"/>
  <c r="S222" i="16"/>
  <c r="F222" i="16"/>
  <c r="B222" i="16"/>
  <c r="S221" i="16"/>
  <c r="Q221" i="16"/>
  <c r="M221" i="16"/>
  <c r="G221" i="16"/>
  <c r="F221" i="16"/>
  <c r="B221" i="16"/>
  <c r="S220" i="16"/>
  <c r="Q220" i="16"/>
  <c r="M220" i="16"/>
  <c r="H220" i="16"/>
  <c r="B220" i="16"/>
  <c r="S219" i="16"/>
  <c r="M219" i="16"/>
  <c r="B219" i="16"/>
  <c r="T218" i="16"/>
  <c r="S218" i="16"/>
  <c r="Q218" i="16"/>
  <c r="O218" i="16"/>
  <c r="M218" i="16"/>
  <c r="K218" i="16"/>
  <c r="I218" i="16"/>
  <c r="H218" i="16"/>
  <c r="G218" i="16"/>
  <c r="F218" i="16"/>
  <c r="B218" i="16"/>
  <c r="S216" i="16"/>
  <c r="R216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S215" i="16"/>
  <c r="S214" i="16"/>
  <c r="S213" i="16"/>
  <c r="S212" i="16"/>
  <c r="T211" i="16"/>
  <c r="S211" i="16"/>
  <c r="I211" i="16"/>
  <c r="H211" i="16"/>
  <c r="F211" i="16"/>
  <c r="S210" i="16"/>
  <c r="S209" i="16"/>
  <c r="O209" i="16"/>
  <c r="M209" i="16"/>
  <c r="I209" i="16"/>
  <c r="S208" i="16"/>
  <c r="O208" i="16"/>
  <c r="S207" i="16"/>
  <c r="O207" i="16"/>
  <c r="B207" i="16"/>
  <c r="T206" i="16"/>
  <c r="S206" i="16"/>
  <c r="B206" i="16"/>
  <c r="S205" i="16"/>
  <c r="F205" i="16"/>
  <c r="B205" i="16"/>
  <c r="S204" i="16"/>
  <c r="B204" i="16"/>
  <c r="S203" i="16"/>
  <c r="F203" i="16"/>
  <c r="B203" i="16"/>
  <c r="S202" i="16"/>
  <c r="M202" i="16"/>
  <c r="I202" i="16"/>
  <c r="H202" i="16"/>
  <c r="F202" i="16"/>
  <c r="B202" i="16"/>
  <c r="S201" i="16"/>
  <c r="Q201" i="16"/>
  <c r="H201" i="16"/>
  <c r="B201" i="16"/>
  <c r="S200" i="16"/>
  <c r="O200" i="16"/>
  <c r="B200" i="16"/>
  <c r="T199" i="16"/>
  <c r="S199" i="16"/>
  <c r="Q199" i="16"/>
  <c r="O199" i="16"/>
  <c r="M199" i="16"/>
  <c r="L199" i="16"/>
  <c r="I199" i="16"/>
  <c r="H199" i="16"/>
  <c r="G199" i="16"/>
  <c r="F199" i="16"/>
  <c r="B199" i="16"/>
  <c r="S197" i="16"/>
  <c r="R197" i="16"/>
  <c r="Q197" i="16"/>
  <c r="P197" i="16"/>
  <c r="O197" i="16"/>
  <c r="N197" i="16"/>
  <c r="M197" i="16"/>
  <c r="L197" i="16"/>
  <c r="K197" i="16"/>
  <c r="J197" i="16"/>
  <c r="I197" i="16"/>
  <c r="H197" i="16"/>
  <c r="G197" i="16"/>
  <c r="F197" i="16"/>
  <c r="S196" i="16"/>
  <c r="S195" i="16"/>
  <c r="S194" i="16"/>
  <c r="S193" i="16"/>
  <c r="T192" i="16"/>
  <c r="S192" i="16"/>
  <c r="F192" i="16"/>
  <c r="S191" i="16"/>
  <c r="O191" i="16"/>
  <c r="S190" i="16"/>
  <c r="S189" i="16"/>
  <c r="S188" i="16"/>
  <c r="B188" i="16"/>
  <c r="T187" i="16"/>
  <c r="S187" i="16"/>
  <c r="B187" i="16"/>
  <c r="S186" i="16"/>
  <c r="M186" i="16"/>
  <c r="F186" i="16"/>
  <c r="B186" i="16"/>
  <c r="S185" i="16"/>
  <c r="F185" i="16"/>
  <c r="B185" i="16"/>
  <c r="S184" i="16"/>
  <c r="F184" i="16"/>
  <c r="B184" i="16"/>
  <c r="S183" i="16"/>
  <c r="Q183" i="16"/>
  <c r="M183" i="16"/>
  <c r="H183" i="16"/>
  <c r="F183" i="16"/>
  <c r="B183" i="16"/>
  <c r="S182" i="16"/>
  <c r="Q182" i="16"/>
  <c r="B182" i="16"/>
  <c r="S181" i="16"/>
  <c r="M181" i="16"/>
  <c r="B181" i="16"/>
  <c r="T180" i="16"/>
  <c r="S180" i="16"/>
  <c r="R180" i="16"/>
  <c r="Q180" i="16"/>
  <c r="O180" i="16"/>
  <c r="N180" i="16"/>
  <c r="M180" i="16"/>
  <c r="K180" i="16"/>
  <c r="I180" i="16"/>
  <c r="H180" i="16"/>
  <c r="F180" i="16"/>
  <c r="B180" i="16"/>
  <c r="S178" i="16"/>
  <c r="R178" i="16"/>
  <c r="Q178" i="16"/>
  <c r="P178" i="16"/>
  <c r="O178" i="16"/>
  <c r="N178" i="16"/>
  <c r="M178" i="16"/>
  <c r="L178" i="16"/>
  <c r="K178" i="16"/>
  <c r="J178" i="16"/>
  <c r="I178" i="16"/>
  <c r="H178" i="16"/>
  <c r="G178" i="16"/>
  <c r="F178" i="16"/>
  <c r="S177" i="16"/>
  <c r="S176" i="16"/>
  <c r="S175" i="16"/>
  <c r="S174" i="16"/>
  <c r="T173" i="16"/>
  <c r="S173" i="16"/>
  <c r="P173" i="16"/>
  <c r="M173" i="16"/>
  <c r="I173" i="16"/>
  <c r="H173" i="16"/>
  <c r="S172" i="16"/>
  <c r="S171" i="16"/>
  <c r="S170" i="16"/>
  <c r="S169" i="16"/>
  <c r="B169" i="16"/>
  <c r="T168" i="16"/>
  <c r="S168" i="16"/>
  <c r="B168" i="16"/>
  <c r="S167" i="16"/>
  <c r="B167" i="16"/>
  <c r="S166" i="16"/>
  <c r="F166" i="16"/>
  <c r="B166" i="16"/>
  <c r="S165" i="16"/>
  <c r="H165" i="16"/>
  <c r="F165" i="16"/>
  <c r="B165" i="16"/>
  <c r="S164" i="16"/>
  <c r="Q164" i="16"/>
  <c r="O164" i="16"/>
  <c r="M164" i="16"/>
  <c r="H164" i="16"/>
  <c r="F164" i="16"/>
  <c r="B164" i="16"/>
  <c r="S163" i="16"/>
  <c r="Q163" i="16"/>
  <c r="H163" i="16"/>
  <c r="B163" i="16"/>
  <c r="S162" i="16"/>
  <c r="B162" i="16"/>
  <c r="T161" i="16"/>
  <c r="S161" i="16"/>
  <c r="Q161" i="16"/>
  <c r="P161" i="16"/>
  <c r="N161" i="16"/>
  <c r="M161" i="16"/>
  <c r="L161" i="16"/>
  <c r="I161" i="16"/>
  <c r="H161" i="16"/>
  <c r="F161" i="16"/>
  <c r="B161" i="16"/>
  <c r="S159" i="16"/>
  <c r="R159" i="16"/>
  <c r="Q159" i="16"/>
  <c r="P159" i="16"/>
  <c r="O159" i="16"/>
  <c r="N159" i="16"/>
  <c r="M159" i="16"/>
  <c r="L159" i="16"/>
  <c r="K159" i="16"/>
  <c r="J159" i="16"/>
  <c r="I159" i="16"/>
  <c r="H159" i="16"/>
  <c r="G159" i="16"/>
  <c r="F159" i="16"/>
  <c r="S158" i="16"/>
  <c r="S157" i="16"/>
  <c r="S156" i="16"/>
  <c r="S155" i="16"/>
  <c r="T154" i="16"/>
  <c r="S154" i="16"/>
  <c r="P154" i="16"/>
  <c r="O154" i="16"/>
  <c r="M154" i="16"/>
  <c r="L154" i="16"/>
  <c r="I154" i="16"/>
  <c r="H154" i="16"/>
  <c r="F154" i="16"/>
  <c r="S153" i="16"/>
  <c r="S152" i="16"/>
  <c r="S151" i="16"/>
  <c r="S150" i="16"/>
  <c r="B150" i="16"/>
  <c r="T149" i="16"/>
  <c r="S149" i="16"/>
  <c r="B149" i="16"/>
  <c r="S148" i="16"/>
  <c r="B148" i="16"/>
  <c r="S147" i="16"/>
  <c r="B147" i="16"/>
  <c r="S146" i="16"/>
  <c r="B146" i="16"/>
  <c r="S145" i="16"/>
  <c r="M145" i="16"/>
  <c r="J145" i="16"/>
  <c r="F145" i="16"/>
  <c r="B145" i="16"/>
  <c r="S144" i="16"/>
  <c r="Q144" i="16"/>
  <c r="B144" i="16"/>
  <c r="S143" i="16"/>
  <c r="B143" i="16"/>
  <c r="T142" i="16"/>
  <c r="S142" i="16"/>
  <c r="Q142" i="16"/>
  <c r="O142" i="16"/>
  <c r="M142" i="16"/>
  <c r="K142" i="16"/>
  <c r="I142" i="16"/>
  <c r="H142" i="16"/>
  <c r="F142" i="16"/>
  <c r="B142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V139" i="16"/>
  <c r="S139" i="16"/>
  <c r="V138" i="16"/>
  <c r="S138" i="16"/>
  <c r="V137" i="16"/>
  <c r="S137" i="16"/>
  <c r="V136" i="16"/>
  <c r="S136" i="16"/>
  <c r="O136" i="16"/>
  <c r="V135" i="16"/>
  <c r="T135" i="16"/>
  <c r="S135" i="16"/>
  <c r="M135" i="16"/>
  <c r="H135" i="16"/>
  <c r="F135" i="16"/>
  <c r="S134" i="16"/>
  <c r="S133" i="16"/>
  <c r="S132" i="16"/>
  <c r="S131" i="16"/>
  <c r="B131" i="16"/>
  <c r="T130" i="16"/>
  <c r="S130" i="16"/>
  <c r="B130" i="16"/>
  <c r="V129" i="16"/>
  <c r="S129" i="16"/>
  <c r="B129" i="16"/>
  <c r="V128" i="16"/>
  <c r="S128" i="16"/>
  <c r="F128" i="16"/>
  <c r="B128" i="16"/>
  <c r="V127" i="16"/>
  <c r="S127" i="16"/>
  <c r="F127" i="16"/>
  <c r="B127" i="16"/>
  <c r="V126" i="16"/>
  <c r="S126" i="16"/>
  <c r="Q126" i="16"/>
  <c r="M126" i="16"/>
  <c r="F126" i="16"/>
  <c r="B126" i="16"/>
  <c r="V125" i="16"/>
  <c r="S125" i="16"/>
  <c r="Q125" i="16"/>
  <c r="H125" i="16"/>
  <c r="B125" i="16"/>
  <c r="V124" i="16"/>
  <c r="S124" i="16"/>
  <c r="B124" i="16"/>
  <c r="V123" i="16"/>
  <c r="T123" i="16"/>
  <c r="S123" i="16"/>
  <c r="Q123" i="16"/>
  <c r="O123" i="16"/>
  <c r="M123" i="16"/>
  <c r="L123" i="16"/>
  <c r="K123" i="16"/>
  <c r="I123" i="16"/>
  <c r="H123" i="16"/>
  <c r="F123" i="16"/>
  <c r="B123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S120" i="16"/>
  <c r="S119" i="16"/>
  <c r="S118" i="16"/>
  <c r="S117" i="16"/>
  <c r="T116" i="16"/>
  <c r="S116" i="16"/>
  <c r="Q116" i="16"/>
  <c r="S115" i="16"/>
  <c r="S114" i="16"/>
  <c r="F114" i="16"/>
  <c r="S113" i="16"/>
  <c r="F113" i="16"/>
  <c r="S112" i="16"/>
  <c r="B112" i="16"/>
  <c r="T111" i="16"/>
  <c r="S111" i="16"/>
  <c r="B111" i="16"/>
  <c r="S110" i="16"/>
  <c r="F110" i="16"/>
  <c r="B110" i="16"/>
  <c r="S109" i="16"/>
  <c r="F109" i="16"/>
  <c r="B109" i="16"/>
  <c r="S108" i="16"/>
  <c r="H108" i="16"/>
  <c r="F108" i="16"/>
  <c r="B108" i="16"/>
  <c r="S107" i="16"/>
  <c r="M107" i="16"/>
  <c r="H107" i="16"/>
  <c r="F107" i="16"/>
  <c r="B107" i="16"/>
  <c r="S106" i="16"/>
  <c r="Q106" i="16"/>
  <c r="H106" i="16"/>
  <c r="F106" i="16"/>
  <c r="B106" i="16"/>
  <c r="S105" i="16"/>
  <c r="O105" i="16"/>
  <c r="B105" i="16"/>
  <c r="T104" i="16"/>
  <c r="S104" i="16"/>
  <c r="Q104" i="16"/>
  <c r="O104" i="16"/>
  <c r="M104" i="16"/>
  <c r="L104" i="16"/>
  <c r="H104" i="16"/>
  <c r="F104" i="16"/>
  <c r="B104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S101" i="16"/>
  <c r="S100" i="16"/>
  <c r="S99" i="16"/>
  <c r="S98" i="16"/>
  <c r="T97" i="16"/>
  <c r="S97" i="16"/>
  <c r="M97" i="16"/>
  <c r="F97" i="16"/>
  <c r="S96" i="16"/>
  <c r="S95" i="16"/>
  <c r="M95" i="16"/>
  <c r="F95" i="16"/>
  <c r="S94" i="16"/>
  <c r="F94" i="16"/>
  <c r="S93" i="16"/>
  <c r="B93" i="16"/>
  <c r="T92" i="16"/>
  <c r="S92" i="16"/>
  <c r="F92" i="16"/>
  <c r="B92" i="16"/>
  <c r="S91" i="16"/>
  <c r="B91" i="16"/>
  <c r="S90" i="16"/>
  <c r="F90" i="16"/>
  <c r="B90" i="16"/>
  <c r="S89" i="16"/>
  <c r="F89" i="16"/>
  <c r="B89" i="16"/>
  <c r="S88" i="16"/>
  <c r="Q88" i="16"/>
  <c r="M88" i="16"/>
  <c r="H88" i="16"/>
  <c r="F88" i="16"/>
  <c r="B88" i="16"/>
  <c r="S87" i="16"/>
  <c r="Q87" i="16"/>
  <c r="B87" i="16"/>
  <c r="S86" i="16"/>
  <c r="B86" i="16"/>
  <c r="T85" i="16"/>
  <c r="S85" i="16"/>
  <c r="Q85" i="16"/>
  <c r="P85" i="16"/>
  <c r="O85" i="16"/>
  <c r="M85" i="16"/>
  <c r="L85" i="16"/>
  <c r="I85" i="16"/>
  <c r="H85" i="16"/>
  <c r="F85" i="16"/>
  <c r="B85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S82" i="16"/>
  <c r="S81" i="16"/>
  <c r="S80" i="16"/>
  <c r="H80" i="16"/>
  <c r="S79" i="16"/>
  <c r="T78" i="16"/>
  <c r="S78" i="16"/>
  <c r="M78" i="16"/>
  <c r="F78" i="16"/>
  <c r="S77" i="16"/>
  <c r="S76" i="16"/>
  <c r="F76" i="16"/>
  <c r="S75" i="16"/>
  <c r="M75" i="16"/>
  <c r="F75" i="16"/>
  <c r="S74" i="16"/>
  <c r="B74" i="16"/>
  <c r="T73" i="16"/>
  <c r="S73" i="16"/>
  <c r="B73" i="16"/>
  <c r="S72" i="16"/>
  <c r="B72" i="16"/>
  <c r="S71" i="16"/>
  <c r="F71" i="16"/>
  <c r="B71" i="16"/>
  <c r="S70" i="16"/>
  <c r="F70" i="16"/>
  <c r="B70" i="16"/>
  <c r="S69" i="16"/>
  <c r="O69" i="16"/>
  <c r="M69" i="16"/>
  <c r="F69" i="16"/>
  <c r="B69" i="16"/>
  <c r="S68" i="16"/>
  <c r="Q68" i="16"/>
  <c r="H68" i="16"/>
  <c r="B68" i="16"/>
  <c r="S67" i="16"/>
  <c r="B67" i="16"/>
  <c r="T66" i="16"/>
  <c r="S66" i="16"/>
  <c r="Q66" i="16"/>
  <c r="O66" i="16"/>
  <c r="M66" i="16"/>
  <c r="L66" i="16"/>
  <c r="I66" i="16"/>
  <c r="H66" i="16"/>
  <c r="F66" i="16"/>
  <c r="B66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S63" i="16"/>
  <c r="S62" i="16"/>
  <c r="S61" i="16"/>
  <c r="S60" i="16"/>
  <c r="T59" i="16"/>
  <c r="S59" i="16"/>
  <c r="F59" i="16"/>
  <c r="S58" i="16"/>
  <c r="S57" i="16"/>
  <c r="F57" i="16"/>
  <c r="S56" i="16"/>
  <c r="F56" i="16"/>
  <c r="S55" i="16"/>
  <c r="O55" i="16"/>
  <c r="B55" i="16"/>
  <c r="T54" i="16"/>
  <c r="S54" i="16"/>
  <c r="O54" i="16"/>
  <c r="B54" i="16"/>
  <c r="S53" i="16"/>
  <c r="F53" i="16"/>
  <c r="B53" i="16"/>
  <c r="S52" i="16"/>
  <c r="F52" i="16"/>
  <c r="B52" i="16"/>
  <c r="S51" i="16"/>
  <c r="H51" i="16"/>
  <c r="F51" i="16"/>
  <c r="B51" i="16"/>
  <c r="S50" i="16"/>
  <c r="Q50" i="16"/>
  <c r="M50" i="16"/>
  <c r="H50" i="16"/>
  <c r="F50" i="16"/>
  <c r="B50" i="16"/>
  <c r="S49" i="16"/>
  <c r="Q49" i="16"/>
  <c r="M49" i="16"/>
  <c r="H49" i="16"/>
  <c r="B49" i="16"/>
  <c r="S48" i="16"/>
  <c r="B48" i="16"/>
  <c r="T47" i="16"/>
  <c r="S47" i="16"/>
  <c r="Q47" i="16"/>
  <c r="O47" i="16"/>
  <c r="M47" i="16"/>
  <c r="L47" i="16"/>
  <c r="J47" i="16"/>
  <c r="H47" i="16"/>
  <c r="F47" i="16"/>
  <c r="B47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S44" i="16"/>
  <c r="Q44" i="16"/>
  <c r="S43" i="16"/>
  <c r="S42" i="16"/>
  <c r="S41" i="16"/>
  <c r="T40" i="16"/>
  <c r="S40" i="16"/>
  <c r="M40" i="16"/>
  <c r="H40" i="16"/>
  <c r="F40" i="16"/>
  <c r="S39" i="16"/>
  <c r="S38" i="16"/>
  <c r="F38" i="16"/>
  <c r="S37" i="16"/>
  <c r="F37" i="16"/>
  <c r="S36" i="16"/>
  <c r="B36" i="16"/>
  <c r="T35" i="16"/>
  <c r="S35" i="16"/>
  <c r="B35" i="16"/>
  <c r="S34" i="16"/>
  <c r="B34" i="16"/>
  <c r="S33" i="16"/>
  <c r="F33" i="16"/>
  <c r="B33" i="16"/>
  <c r="S32" i="16"/>
  <c r="F32" i="16"/>
  <c r="B32" i="16"/>
  <c r="S31" i="16"/>
  <c r="Q31" i="16"/>
  <c r="I31" i="16"/>
  <c r="H31" i="16"/>
  <c r="F31" i="16"/>
  <c r="B31" i="16"/>
  <c r="S30" i="16"/>
  <c r="Q30" i="16"/>
  <c r="H30" i="16"/>
  <c r="B30" i="16"/>
  <c r="S29" i="16"/>
  <c r="B29" i="16"/>
  <c r="T28" i="16"/>
  <c r="S28" i="16"/>
  <c r="Q28" i="16"/>
  <c r="O28" i="16"/>
  <c r="M28" i="16"/>
  <c r="I28" i="16"/>
  <c r="H28" i="16"/>
  <c r="F28" i="16"/>
  <c r="B28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S25" i="16"/>
  <c r="S24" i="16"/>
  <c r="S23" i="16"/>
  <c r="S22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Z21" i="16"/>
  <c r="Y21" i="16"/>
  <c r="X21" i="16"/>
  <c r="W21" i="16"/>
  <c r="V21" i="16"/>
  <c r="T21" i="16"/>
  <c r="S21" i="16"/>
  <c r="O21" i="16"/>
  <c r="M21" i="16"/>
  <c r="H21" i="16"/>
  <c r="F21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Z20" i="16"/>
  <c r="Y20" i="16"/>
  <c r="X20" i="16"/>
  <c r="W20" i="16"/>
  <c r="V20" i="16"/>
  <c r="S20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Z19" i="16"/>
  <c r="Y19" i="16"/>
  <c r="X19" i="16"/>
  <c r="W19" i="16"/>
  <c r="V19" i="16"/>
  <c r="S19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Z18" i="16"/>
  <c r="Y18" i="16"/>
  <c r="X18" i="16"/>
  <c r="W18" i="16"/>
  <c r="V18" i="16"/>
  <c r="S18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Z17" i="16"/>
  <c r="Y17" i="16"/>
  <c r="X17" i="16"/>
  <c r="W17" i="16"/>
  <c r="V17" i="16"/>
  <c r="S17" i="16"/>
  <c r="B17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Z16" i="16"/>
  <c r="Y16" i="16"/>
  <c r="X16" i="16"/>
  <c r="W16" i="16"/>
  <c r="V16" i="16"/>
  <c r="T16" i="16"/>
  <c r="S16" i="16"/>
  <c r="F16" i="16"/>
  <c r="B16" i="16"/>
  <c r="AV15" i="16"/>
  <c r="AU15" i="16"/>
  <c r="AT15" i="16"/>
  <c r="AS15" i="16"/>
  <c r="AR15" i="16"/>
  <c r="AQ15" i="16"/>
  <c r="AP15" i="16"/>
  <c r="AO15" i="16"/>
  <c r="AN15" i="16"/>
  <c r="AM15" i="16"/>
  <c r="AL15" i="16"/>
  <c r="AK15" i="16"/>
  <c r="AJ15" i="16"/>
  <c r="AI15" i="16"/>
  <c r="AH15" i="16"/>
  <c r="AG15" i="16"/>
  <c r="AF15" i="16"/>
  <c r="AE15" i="16"/>
  <c r="AD15" i="16"/>
  <c r="Z15" i="16"/>
  <c r="Y15" i="16"/>
  <c r="X15" i="16"/>
  <c r="W15" i="16"/>
  <c r="V15" i="16"/>
  <c r="S15" i="16"/>
  <c r="F15" i="16"/>
  <c r="B15" i="16"/>
  <c r="AV14" i="16"/>
  <c r="AU14" i="16"/>
  <c r="AT14" i="16"/>
  <c r="AS14" i="16"/>
  <c r="AR14" i="16"/>
  <c r="AQ14" i="16"/>
  <c r="AP14" i="16"/>
  <c r="AO14" i="16"/>
  <c r="AN14" i="16"/>
  <c r="AM14" i="16"/>
  <c r="AL14" i="16"/>
  <c r="AK14" i="16"/>
  <c r="AJ14" i="16"/>
  <c r="AI14" i="16"/>
  <c r="AH14" i="16"/>
  <c r="AG14" i="16"/>
  <c r="AF14" i="16"/>
  <c r="AE14" i="16"/>
  <c r="AD14" i="16"/>
  <c r="Z14" i="16"/>
  <c r="Y14" i="16"/>
  <c r="X14" i="16"/>
  <c r="W14" i="16"/>
  <c r="V14" i="16"/>
  <c r="S14" i="16"/>
  <c r="F14" i="16"/>
  <c r="B14" i="16"/>
  <c r="AV13" i="16"/>
  <c r="AU13" i="16"/>
  <c r="AT13" i="16"/>
  <c r="AS13" i="16"/>
  <c r="AR13" i="16"/>
  <c r="AQ13" i="16"/>
  <c r="AP13" i="16"/>
  <c r="AO13" i="16"/>
  <c r="AN13" i="16"/>
  <c r="AM13" i="16"/>
  <c r="AL13" i="16"/>
  <c r="AK13" i="16"/>
  <c r="AJ13" i="16"/>
  <c r="AI13" i="16"/>
  <c r="AH13" i="16"/>
  <c r="AG13" i="16"/>
  <c r="AF13" i="16"/>
  <c r="AE13" i="16"/>
  <c r="AD13" i="16"/>
  <c r="Z13" i="16"/>
  <c r="Y13" i="16"/>
  <c r="X13" i="16"/>
  <c r="W13" i="16"/>
  <c r="V13" i="16"/>
  <c r="S13" i="16"/>
  <c r="F13" i="16"/>
  <c r="B13" i="16"/>
  <c r="AV12" i="16"/>
  <c r="AU12" i="16"/>
  <c r="AT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F12" i="16"/>
  <c r="AE12" i="16"/>
  <c r="AD12" i="16"/>
  <c r="Z12" i="16"/>
  <c r="Y12" i="16"/>
  <c r="X12" i="16"/>
  <c r="W12" i="16"/>
  <c r="V12" i="16"/>
  <c r="S12" i="16"/>
  <c r="Q12" i="16"/>
  <c r="H12" i="16"/>
  <c r="F12" i="16"/>
  <c r="B12" i="16"/>
  <c r="AV11" i="16"/>
  <c r="AU11" i="16"/>
  <c r="AT11" i="16"/>
  <c r="AS11" i="16"/>
  <c r="AR11" i="16"/>
  <c r="AQ11" i="16"/>
  <c r="AP11" i="16"/>
  <c r="AO11" i="16"/>
  <c r="AN11" i="16"/>
  <c r="AM11" i="16"/>
  <c r="AL11" i="16"/>
  <c r="AK11" i="16"/>
  <c r="AJ11" i="16"/>
  <c r="AI11" i="16"/>
  <c r="AH11" i="16"/>
  <c r="AG11" i="16"/>
  <c r="AF11" i="16"/>
  <c r="AE11" i="16"/>
  <c r="AD11" i="16"/>
  <c r="Z11" i="16"/>
  <c r="Y11" i="16"/>
  <c r="X11" i="16"/>
  <c r="W11" i="16"/>
  <c r="V11" i="16"/>
  <c r="S11" i="16"/>
  <c r="Q11" i="16"/>
  <c r="H11" i="16"/>
  <c r="B11" i="16"/>
  <c r="AV10" i="16"/>
  <c r="AU10" i="16"/>
  <c r="AT10" i="16"/>
  <c r="AS10" i="16"/>
  <c r="AR10" i="16"/>
  <c r="AQ10" i="16"/>
  <c r="AP10" i="16"/>
  <c r="AO10" i="16"/>
  <c r="AN10" i="16"/>
  <c r="AM10" i="16"/>
  <c r="AL10" i="16"/>
  <c r="AK10" i="16"/>
  <c r="AJ10" i="16"/>
  <c r="AI10" i="16"/>
  <c r="AH10" i="16"/>
  <c r="AG10" i="16"/>
  <c r="AF10" i="16"/>
  <c r="AE10" i="16"/>
  <c r="AD10" i="16"/>
  <c r="Z10" i="16"/>
  <c r="Y10" i="16"/>
  <c r="X10" i="16"/>
  <c r="W10" i="16"/>
  <c r="V10" i="16"/>
  <c r="S10" i="16"/>
  <c r="B10" i="16"/>
  <c r="Y9" i="16"/>
  <c r="W9" i="16"/>
  <c r="T9" i="16"/>
  <c r="S9" i="16"/>
  <c r="Q9" i="16"/>
  <c r="O9" i="16"/>
  <c r="M9" i="16"/>
  <c r="H9" i="16"/>
  <c r="F9" i="16"/>
  <c r="AU8" i="16"/>
  <c r="AT8" i="16"/>
  <c r="AS8" i="16"/>
  <c r="AR8" i="16"/>
  <c r="AQ8" i="16"/>
  <c r="AP8" i="16"/>
  <c r="AO8" i="16"/>
  <c r="AN8" i="16"/>
  <c r="AM8" i="16"/>
  <c r="AL8" i="16"/>
  <c r="AK8" i="16"/>
  <c r="AI8" i="16"/>
  <c r="AF8" i="16"/>
  <c r="AE8" i="16"/>
  <c r="AD8" i="16"/>
  <c r="Z8" i="16"/>
  <c r="Y8" i="16"/>
  <c r="X8" i="16"/>
  <c r="W8" i="16"/>
  <c r="AQ7" i="16"/>
  <c r="AL7" i="16"/>
  <c r="AE7" i="16"/>
  <c r="Z7" i="16"/>
  <c r="Y7" i="16"/>
  <c r="X7" i="16"/>
  <c r="W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AQ6" i="16"/>
  <c r="AL6" i="16"/>
  <c r="AE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B6" i="16"/>
  <c r="AU5" i="16"/>
  <c r="AT5" i="16"/>
  <c r="AS5" i="16"/>
  <c r="AR5" i="16"/>
  <c r="AQ5" i="16"/>
  <c r="AP5" i="16"/>
  <c r="AO5" i="16"/>
  <c r="AN5" i="16"/>
  <c r="AM5" i="16"/>
  <c r="AL5" i="16"/>
  <c r="AK5" i="16"/>
  <c r="AJ5" i="16"/>
  <c r="AI5" i="16"/>
  <c r="AH5" i="16"/>
  <c r="AG5" i="16"/>
  <c r="AF5" i="16"/>
  <c r="AE5" i="16"/>
  <c r="AD5" i="16"/>
  <c r="B5" i="16"/>
  <c r="AU4" i="16"/>
  <c r="AT4" i="16"/>
  <c r="AS4" i="16"/>
  <c r="AR4" i="16"/>
  <c r="AQ4" i="16"/>
  <c r="AP4" i="16"/>
  <c r="AO4" i="16"/>
  <c r="AN4" i="16"/>
  <c r="AM4" i="16"/>
  <c r="AL4" i="16"/>
  <c r="AK4" i="16"/>
  <c r="AJ4" i="16"/>
  <c r="AI4" i="16"/>
  <c r="AH4" i="16"/>
  <c r="AG4" i="16"/>
  <c r="AF4" i="16"/>
  <c r="AE4" i="16"/>
  <c r="C4" i="16"/>
  <c r="B4" i="16"/>
  <c r="C3" i="16"/>
  <c r="B3" i="16"/>
  <c r="M2" i="16"/>
  <c r="L2" i="16"/>
  <c r="C2" i="16"/>
  <c r="B2" i="16"/>
  <c r="C1" i="16"/>
  <c r="B1" i="16"/>
  <c r="H7" i="20" l="1"/>
  <c r="AE20" i="20"/>
  <c r="AF20" i="20"/>
  <c r="AG20" i="20"/>
  <c r="AH20" i="20"/>
  <c r="AI20" i="20"/>
  <c r="AK20" i="20"/>
  <c r="AO20" i="20"/>
  <c r="AQ20" i="20"/>
  <c r="AR20" i="20"/>
  <c r="T199" i="20"/>
  <c r="W20" i="20" s="1"/>
  <c r="Z20" i="20" s="1"/>
  <c r="AL20" i="20"/>
  <c r="S216" i="20"/>
  <c r="AP20" i="20"/>
  <c r="AS20" i="20"/>
  <c r="AJ20" i="20"/>
  <c r="AM20" i="20"/>
  <c r="AM18" i="20"/>
  <c r="AH19" i="20"/>
  <c r="AI19" i="20"/>
  <c r="AP19" i="20"/>
  <c r="AF19" i="20"/>
  <c r="AG19" i="20"/>
  <c r="AM19" i="20"/>
  <c r="AN19" i="20"/>
  <c r="AQ19" i="20"/>
  <c r="T180" i="20"/>
  <c r="W19" i="20" s="1"/>
  <c r="Z19" i="20" s="1"/>
  <c r="AR19" i="20"/>
  <c r="AE19" i="20"/>
  <c r="AL19" i="20"/>
  <c r="P7" i="20"/>
  <c r="K7" i="20"/>
  <c r="AJ17" i="20"/>
  <c r="B2" i="20"/>
  <c r="M7" i="20"/>
  <c r="S121" i="20"/>
  <c r="AS17" i="20"/>
  <c r="AF21" i="20"/>
  <c r="AG21" i="20"/>
  <c r="AH21" i="20"/>
  <c r="AI21" i="20"/>
  <c r="AJ21" i="20"/>
  <c r="AK21" i="20"/>
  <c r="AL21" i="20"/>
  <c r="AJ19" i="20"/>
  <c r="S197" i="20"/>
  <c r="AK19" i="20"/>
  <c r="AT19" i="20"/>
  <c r="AS19" i="20"/>
  <c r="AT18" i="20"/>
  <c r="AO18" i="20"/>
  <c r="AP18" i="20"/>
  <c r="AQ18" i="20"/>
  <c r="T161" i="20"/>
  <c r="W18" i="20" s="1"/>
  <c r="Z18" i="20" s="1"/>
  <c r="AU18" i="20"/>
  <c r="S178" i="20"/>
  <c r="AR18" i="20"/>
  <c r="AS18" i="20"/>
  <c r="AE18" i="20"/>
  <c r="AF18" i="20"/>
  <c r="AG18" i="20"/>
  <c r="AI18" i="20"/>
  <c r="AH18" i="20"/>
  <c r="AT17" i="20"/>
  <c r="AU17" i="20"/>
  <c r="S159" i="20"/>
  <c r="T142" i="20"/>
  <c r="W17" i="20" s="1"/>
  <c r="Z17" i="20" s="1"/>
  <c r="AE17" i="20"/>
  <c r="AF17" i="20"/>
  <c r="AG17" i="20"/>
  <c r="AH17" i="20"/>
  <c r="AI17" i="20"/>
  <c r="AK17" i="20"/>
  <c r="AL17" i="20"/>
  <c r="AM17" i="20"/>
  <c r="AN17" i="20"/>
  <c r="AO17" i="20"/>
  <c r="AP17" i="20"/>
  <c r="AQ17" i="20"/>
  <c r="AR17" i="20"/>
  <c r="AT15" i="20"/>
  <c r="AT14" i="20"/>
  <c r="S102" i="20"/>
  <c r="AE14" i="20"/>
  <c r="AF14" i="20"/>
  <c r="AH14" i="20"/>
  <c r="T85" i="20"/>
  <c r="W14" i="20" s="1"/>
  <c r="Z14" i="20" s="1"/>
  <c r="AJ14" i="20"/>
  <c r="AK14" i="20"/>
  <c r="AU14" i="20"/>
  <c r="AG14" i="20"/>
  <c r="AI14" i="20"/>
  <c r="AQ13" i="20"/>
  <c r="AM13" i="20"/>
  <c r="AV13" i="20" s="1"/>
  <c r="AO13" i="20"/>
  <c r="AP13" i="20"/>
  <c r="AR13" i="20"/>
  <c r="AS13" i="20"/>
  <c r="T66" i="20"/>
  <c r="W13" i="20" s="1"/>
  <c r="Z13" i="20" s="1"/>
  <c r="AT13" i="20"/>
  <c r="AN13" i="20"/>
  <c r="AU13" i="20"/>
  <c r="AU12" i="20"/>
  <c r="AE12" i="20"/>
  <c r="AF12" i="20"/>
  <c r="AG12" i="20"/>
  <c r="AH12" i="20"/>
  <c r="T47" i="20"/>
  <c r="W12" i="20" s="1"/>
  <c r="Z12" i="20" s="1"/>
  <c r="AI12" i="20"/>
  <c r="AK12" i="20"/>
  <c r="AL12" i="20"/>
  <c r="AM12" i="20"/>
  <c r="AO12" i="20"/>
  <c r="AN12" i="20"/>
  <c r="AP12" i="20"/>
  <c r="AQ12" i="20"/>
  <c r="S64" i="20"/>
  <c r="AR12" i="20"/>
  <c r="AH11" i="20"/>
  <c r="AV11" i="20" s="1"/>
  <c r="AI11" i="20"/>
  <c r="AJ11" i="20"/>
  <c r="S45" i="20"/>
  <c r="AK11" i="20"/>
  <c r="AL11" i="20"/>
  <c r="AM11" i="20"/>
  <c r="AN11" i="20"/>
  <c r="AO11" i="20"/>
  <c r="AP11" i="20"/>
  <c r="AQ11" i="20"/>
  <c r="AR11" i="20"/>
  <c r="AS11" i="20"/>
  <c r="T28" i="20"/>
  <c r="W11" i="20" s="1"/>
  <c r="Z11" i="20" s="1"/>
  <c r="AT11" i="20"/>
  <c r="F7" i="20"/>
  <c r="AR10" i="20"/>
  <c r="AS10" i="20"/>
  <c r="AQ10" i="20"/>
  <c r="AV10" i="20" s="1"/>
  <c r="AT10" i="20"/>
  <c r="AS16" i="20"/>
  <c r="T130" i="20"/>
  <c r="X16" i="20" s="1"/>
  <c r="X8" i="20" s="1"/>
  <c r="AU16" i="20"/>
  <c r="T135" i="20"/>
  <c r="Y16" i="20" s="1"/>
  <c r="Y8" i="20" s="1"/>
  <c r="B3" i="20"/>
  <c r="J7" i="20"/>
  <c r="AE15" i="20"/>
  <c r="AF15" i="20"/>
  <c r="AG15" i="20"/>
  <c r="AN15" i="20"/>
  <c r="AH15" i="20"/>
  <c r="AI15" i="20"/>
  <c r="AJ15" i="20"/>
  <c r="AK15" i="20"/>
  <c r="AL15" i="20"/>
  <c r="AM15" i="20"/>
  <c r="AU15" i="20"/>
  <c r="AP15" i="20"/>
  <c r="T104" i="20"/>
  <c r="W15" i="20" s="1"/>
  <c r="Z15" i="20" s="1"/>
  <c r="AQ15" i="20"/>
  <c r="AR15" i="20"/>
  <c r="AS15" i="20"/>
  <c r="S140" i="20"/>
  <c r="AT16" i="20"/>
  <c r="AE16" i="20"/>
  <c r="AF16" i="20"/>
  <c r="AG16" i="20"/>
  <c r="AH16" i="20"/>
  <c r="AI16" i="20"/>
  <c r="B1" i="20"/>
  <c r="AN16" i="20"/>
  <c r="AO16" i="20"/>
  <c r="AL16" i="20"/>
  <c r="AP16" i="20"/>
  <c r="AQ16" i="20"/>
  <c r="AJ16" i="20"/>
  <c r="T123" i="20"/>
  <c r="W16" i="20" s="1"/>
  <c r="AK16" i="20"/>
  <c r="AM16" i="20"/>
  <c r="AR16" i="20"/>
  <c r="AF8" i="17"/>
  <c r="AJ8" i="19"/>
  <c r="AT8" i="17"/>
  <c r="AD8" i="19" a="1"/>
  <c r="AD8" i="19" s="1"/>
  <c r="AF8" i="21"/>
  <c r="AU8" i="19"/>
  <c r="AM8" i="21"/>
  <c r="AN8" i="21"/>
  <c r="AO8" i="21"/>
  <c r="AL8" i="21"/>
  <c r="AS8" i="17"/>
  <c r="AQ7" i="19"/>
  <c r="AK8" i="19"/>
  <c r="AL8" i="19"/>
  <c r="AS8" i="19"/>
  <c r="AL7" i="21"/>
  <c r="AQ7" i="21"/>
  <c r="AI8" i="19"/>
  <c r="AT8" i="19"/>
  <c r="AE7" i="17"/>
  <c r="AU8" i="17"/>
  <c r="AL7" i="17"/>
  <c r="AM8" i="19"/>
  <c r="AP8" i="21"/>
  <c r="AQ7" i="17"/>
  <c r="AN8" i="19"/>
  <c r="AQ8" i="21"/>
  <c r="AO8" i="19"/>
  <c r="AR8" i="21"/>
  <c r="AP8" i="19"/>
  <c r="AS8" i="21"/>
  <c r="AE7" i="19"/>
  <c r="AQ8" i="19"/>
  <c r="AT8" i="21"/>
  <c r="AD8" i="17"/>
  <c r="AL7" i="19" a="1"/>
  <c r="AL7" i="19" s="1"/>
  <c r="AR8" i="19"/>
  <c r="AE7" i="21"/>
  <c r="AU8" i="21"/>
  <c r="AE8" i="17"/>
  <c r="AI8" i="17"/>
  <c r="AD8" i="21"/>
  <c r="AN8" i="17"/>
  <c r="AE8" i="21"/>
  <c r="AP8" i="17"/>
  <c r="AE8" i="19"/>
  <c r="AI8" i="21"/>
  <c r="AF8" i="19"/>
  <c r="AK8" i="21"/>
  <c r="AR8" i="17"/>
  <c r="AK8" i="17"/>
  <c r="AL8" i="17"/>
  <c r="AM8" i="17"/>
  <c r="AO8" i="17"/>
  <c r="AQ8" i="17"/>
  <c r="AV20" i="20" l="1"/>
  <c r="AV21" i="20"/>
  <c r="AV19" i="20"/>
  <c r="AV18" i="20"/>
  <c r="AV17" i="20"/>
  <c r="AV14" i="20"/>
  <c r="AF5" i="20"/>
  <c r="S7" i="20"/>
  <c r="J6" i="20" s="1"/>
  <c r="AV12" i="20"/>
  <c r="AE5" i="20"/>
  <c r="AO5" i="20"/>
  <c r="AN5" i="20"/>
  <c r="AT5" i="20"/>
  <c r="AR5" i="20"/>
  <c r="AU8" i="20"/>
  <c r="AE8" i="20"/>
  <c r="AS5" i="20"/>
  <c r="B4" i="20"/>
  <c r="C2" i="20" s="1"/>
  <c r="AM5" i="20"/>
  <c r="AK5" i="20"/>
  <c r="AL5" i="20"/>
  <c r="AP5" i="20"/>
  <c r="AG5" i="20"/>
  <c r="AV15" i="20"/>
  <c r="AQ5" i="20"/>
  <c r="AI5" i="20"/>
  <c r="AS8" i="20"/>
  <c r="AH5" i="20"/>
  <c r="AU5" i="20"/>
  <c r="AT8" i="20"/>
  <c r="AL8" i="20"/>
  <c r="AF8" i="20"/>
  <c r="AK8" i="20"/>
  <c r="AL7" i="20"/>
  <c r="AM8" i="20"/>
  <c r="AP8" i="20"/>
  <c r="AO8" i="20"/>
  <c r="AE7" i="20"/>
  <c r="AJ5" i="20"/>
  <c r="AV16" i="20"/>
  <c r="AI8" i="20"/>
  <c r="AD8" i="20"/>
  <c r="AN8" i="20"/>
  <c r="Z16" i="20"/>
  <c r="B106" i="20" s="1" a="1"/>
  <c r="B106" i="20" s="1"/>
  <c r="W8" i="20"/>
  <c r="AR8" i="20"/>
  <c r="AQ7" i="20"/>
  <c r="AQ8" i="20"/>
  <c r="F6" i="20" l="1"/>
  <c r="N6" i="20"/>
  <c r="L6" i="20"/>
  <c r="G6" i="20"/>
  <c r="I6" i="20"/>
  <c r="P6" i="20"/>
  <c r="M6" i="20"/>
  <c r="O6" i="20"/>
  <c r="Q6" i="20"/>
  <c r="R6" i="20"/>
  <c r="K6" i="20"/>
  <c r="H6" i="20"/>
  <c r="B5" i="20"/>
  <c r="C3" i="20"/>
  <c r="C1" i="20"/>
  <c r="AD5" i="20"/>
  <c r="B182" i="20"/>
  <c r="B30" i="20"/>
  <c r="B87" i="20"/>
  <c r="B68" i="20"/>
  <c r="B201" i="20"/>
  <c r="B144" i="20"/>
  <c r="B49" i="20"/>
  <c r="B125" i="20"/>
  <c r="B11" i="20"/>
  <c r="B220" i="20"/>
  <c r="B163" i="20"/>
  <c r="B164" i="20" l="1"/>
  <c r="B165" i="20"/>
  <c r="B108" i="20"/>
  <c r="B107" i="20"/>
  <c r="B126" i="20"/>
  <c r="B127" i="20"/>
  <c r="B146" i="20"/>
  <c r="B145" i="20"/>
  <c r="B70" i="20"/>
  <c r="B69" i="20"/>
  <c r="B32" i="20"/>
  <c r="B31" i="20"/>
  <c r="B222" i="20"/>
  <c r="B221" i="20"/>
  <c r="B12" i="20"/>
  <c r="B13" i="20"/>
  <c r="B51" i="20"/>
  <c r="B50" i="20"/>
  <c r="B202" i="20"/>
  <c r="B203" i="20"/>
  <c r="B88" i="20"/>
  <c r="B89" i="20"/>
  <c r="B184" i="20"/>
  <c r="B183" i="20"/>
  <c r="C4" i="20" l="1"/>
  <c r="B200" i="20" l="1"/>
  <c r="B206" i="20" s="1"/>
  <c r="B29" i="20"/>
  <c r="B35" i="20" s="1"/>
  <c r="B48" i="20"/>
  <c r="B54" i="20" s="1"/>
  <c r="B10" i="20"/>
  <c r="B16" i="20" s="1"/>
  <c r="B219" i="20"/>
  <c r="B225" i="20" s="1"/>
  <c r="B86" i="20"/>
  <c r="B92" i="20" s="1"/>
  <c r="B143" i="20"/>
  <c r="B149" i="20" s="1"/>
  <c r="B124" i="20"/>
  <c r="B130" i="20" s="1"/>
  <c r="B181" i="20"/>
  <c r="B187" i="20" s="1"/>
  <c r="B67" i="20"/>
  <c r="B73" i="20" s="1"/>
  <c r="B6" i="20"/>
  <c r="B131" i="20"/>
  <c r="B188" i="20"/>
  <c r="B33" i="20"/>
  <c r="B17" i="20"/>
  <c r="B112" i="20"/>
  <c r="B150" i="20"/>
  <c r="B185" i="20"/>
  <c r="B14" i="20"/>
  <c r="B71" i="20"/>
  <c r="B128" i="20"/>
  <c r="B74" i="20"/>
  <c r="B204" i="20"/>
  <c r="B55" i="20"/>
  <c r="B93" i="20"/>
  <c r="B36" i="20"/>
  <c r="B147" i="20"/>
  <c r="B109" i="20"/>
  <c r="B223" i="20"/>
  <c r="B90" i="20"/>
  <c r="B166" i="20"/>
  <c r="B207" i="20"/>
  <c r="B226" i="20"/>
  <c r="B52" i="20"/>
  <c r="B169" i="20"/>
  <c r="B105" i="20"/>
  <c r="B111" i="20" s="1"/>
  <c r="B162" i="20"/>
  <c r="B16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丁純蘭</author>
  </authors>
  <commentList>
    <comment ref="F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iphone14</t>
        </r>
        <r>
          <rPr>
            <sz val="9"/>
            <color indexed="81"/>
            <rFont val="細明體"/>
            <family val="3"/>
            <charset val="136"/>
          </rPr>
          <t xml:space="preserve"> 34800+2000
</t>
        </r>
      </text>
    </comment>
    <comment ref="F3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衡學費 45465
列印 66</t>
        </r>
      </text>
    </comment>
    <comment ref="H11" authorId="0" shapeId="0" xr:uid="{00000000-0006-0000-0000-00000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水費 241
Alex電話 598
</t>
        </r>
      </text>
    </comment>
    <comment ref="H12" authorId="0" shapeId="0" xr:uid="{00000000-0006-0000-0000-00000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 601</t>
        </r>
      </text>
    </comment>
    <comment ref="Q12" authorId="0" shapeId="0" xr:uid="{00000000-0006-0000-0000-00000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第四台 1498
亞太 596</t>
        </r>
      </text>
    </comment>
    <comment ref="F13" authorId="0" shapeId="0" xr:uid="{00000000-0006-0000-0000-00000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安親 3200+2500+2500
美語保額 3000
畢業典禮5800</t>
        </r>
      </text>
    </comment>
    <comment ref="F15" authorId="0" shapeId="0" xr:uid="{00000000-0006-0000-0000-00000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畫畫課 9900
網球課 1800</t>
        </r>
      </text>
    </comment>
    <comment ref="F16" authorId="0" shapeId="0" xr:uid="{00000000-0006-0000-0000-00000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開胃中藥 2100</t>
        </r>
      </text>
    </comment>
    <comment ref="H16" authorId="0" shapeId="0" xr:uid="{00000000-0006-0000-0000-00000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開胃中藥 2100</t>
        </r>
      </text>
    </comment>
    <comment ref="F17" authorId="0" shapeId="0" xr:uid="{00000000-0006-0000-0000-00000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美甲 4697
修手錶 900</t>
        </r>
      </text>
    </comment>
    <comment ref="F21" authorId="0" shapeId="0" xr:uid="{00000000-0006-0000-0000-00000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大鍬標本 200
</t>
        </r>
      </text>
    </comment>
    <comment ref="F22" authorId="0" shapeId="0" xr:uid="{00000000-0006-0000-0000-00000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茶六押金 5100</t>
        </r>
      </text>
    </comment>
    <comment ref="H22" authorId="0" shapeId="0" xr:uid="{00000000-0006-0000-0000-00000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繪日之丘 7200
</t>
        </r>
      </text>
    </comment>
    <comment ref="M22" authorId="0" shapeId="0" xr:uid="{00000000-0006-0000-0000-00000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DJB ESIM 1314
</t>
        </r>
        <r>
          <rPr>
            <sz val="9"/>
            <color indexed="81"/>
            <rFont val="細明體"/>
            <family val="3"/>
            <charset val="136"/>
          </rPr>
          <t>沖繩旅平險 1094</t>
        </r>
      </text>
    </comment>
    <comment ref="O22" authorId="0" shapeId="0" xr:uid="{00000000-0006-0000-0000-00000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沖繩機票7180
加油1000
換駕照+國際駕照 300</t>
        </r>
      </text>
    </comment>
    <comment ref="F23" authorId="0" shapeId="0" xr:uid="{00000000-0006-0000-0000-00001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換土 460</t>
        </r>
      </text>
    </comment>
    <comment ref="Q23" authorId="0" shapeId="0" xr:uid="{00000000-0006-0000-0000-00001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國泰保險分期</t>
        </r>
      </text>
    </comment>
    <comment ref="H28" authorId="0" shapeId="0" xr:uid="{00000000-0006-0000-0000-00001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霸生日蛋糕 1365</t>
        </r>
      </text>
    </comment>
    <comment ref="H29" authorId="0" shapeId="0" xr:uid="{00000000-0006-0000-0000-00001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Iphone15+</t>
        </r>
        <r>
          <rPr>
            <sz val="9"/>
            <color indexed="81"/>
            <rFont val="細明體"/>
            <family val="3"/>
            <charset val="136"/>
          </rPr>
          <t xml:space="preserve">保護殼 36590
</t>
        </r>
      </text>
    </comment>
    <comment ref="Q31" authorId="0" shapeId="0" xr:uid="{00000000-0006-0000-0000-00001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1074</t>
        </r>
      </text>
    </comment>
    <comment ref="F32" authorId="0" shapeId="0" xr:uid="{00000000-0006-0000-0000-00001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聰賢紅包 6000</t>
        </r>
      </text>
    </comment>
    <comment ref="H32" authorId="0" shapeId="0" xr:uid="{00000000-0006-0000-0000-00001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霸生日按摩器 10000</t>
        </r>
      </text>
    </comment>
    <comment ref="H33" authorId="0" shapeId="0" xr:uid="{00000000-0006-0000-0000-00001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車險
</t>
        </r>
      </text>
    </comment>
    <comment ref="H36" authorId="0" shapeId="0" xr:uid="{00000000-0006-0000-0000-00001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中華電信電話費 697+57
台灣之星 599
水費 417</t>
        </r>
      </text>
    </comment>
    <comment ref="O36" authorId="0" shapeId="0" xr:uid="{00000000-0006-0000-0000-00001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網路 1780
</t>
        </r>
      </text>
    </comment>
    <comment ref="F37" authorId="0" shapeId="0" xr:uid="{00000000-0006-0000-0000-00001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Alex</t>
        </r>
        <r>
          <rPr>
            <sz val="9"/>
            <color indexed="81"/>
            <rFont val="細明體"/>
            <family val="3"/>
            <charset val="136"/>
          </rPr>
          <t>同學會</t>
        </r>
        <r>
          <rPr>
            <sz val="9"/>
            <color indexed="81"/>
            <rFont val="Tahoma"/>
            <family val="2"/>
          </rPr>
          <t>MOMO 2076</t>
        </r>
      </text>
    </comment>
    <comment ref="O37" authorId="0" shapeId="0" xr:uid="{00000000-0006-0000-0000-00001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生日蛋糕 2000
父親節蛋糕 530
</t>
        </r>
      </text>
    </comment>
    <comment ref="F40" authorId="0" shapeId="0" xr:uid="{00000000-0006-0000-0000-00001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卸甲 350
</t>
        </r>
      </text>
    </comment>
    <comment ref="H43" authorId="0" shapeId="0" xr:uid="{00000000-0006-0000-0000-00001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856</t>
        </r>
      </text>
    </comment>
    <comment ref="Q43" authorId="0" shapeId="0" xr:uid="{00000000-0006-0000-0000-00001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國泰保險分期</t>
        </r>
      </text>
    </comment>
    <comment ref="H44" authorId="0" shapeId="0" xr:uid="{00000000-0006-0000-0000-00001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中華電信 591</t>
        </r>
      </text>
    </comment>
    <comment ref="Q44" authorId="0" shapeId="0" xr:uid="{00000000-0006-0000-0000-00002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爸媽紅包</t>
        </r>
        <r>
          <rPr>
            <sz val="9"/>
            <color indexed="81"/>
            <rFont val="Tahoma"/>
            <family val="2"/>
          </rPr>
          <t xml:space="preserve">  12000+8000</t>
        </r>
      </text>
    </comment>
    <comment ref="I46" authorId="0" shapeId="0" xr:uid="{00000000-0006-0000-0000-00002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汽燃費 6180</t>
        </r>
      </text>
    </comment>
    <comment ref="F47" authorId="0" shapeId="0" xr:uid="{00000000-0006-0000-0000-00002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翰學校社團 2872</t>
        </r>
      </text>
    </comment>
    <comment ref="F48" authorId="0" shapeId="0" xr:uid="{00000000-0006-0000-0000-00002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湯姆熊 350
</t>
        </r>
      </text>
    </comment>
    <comment ref="Q48" authorId="0" shapeId="0" xr:uid="{00000000-0006-0000-0000-00002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小韋拜拜 3000</t>
        </r>
      </text>
    </comment>
    <comment ref="F49" authorId="0" shapeId="0" xr:uid="{00000000-0006-0000-0000-00002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易生菌 1600
</t>
        </r>
      </text>
    </comment>
    <comment ref="F50" authorId="0" shapeId="0" xr:uid="{00000000-0006-0000-0000-00002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迪卡農 1197</t>
        </r>
      </text>
    </comment>
    <comment ref="Q50" authorId="0" shapeId="0" xr:uid="{00000000-0006-0000-0000-00002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電費1565</t>
        </r>
      </text>
    </comment>
    <comment ref="F51" authorId="0" shapeId="0" xr:uid="{00000000-0006-0000-0000-00002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扭蛋沒扭 100
寶可夢卡 300</t>
        </r>
      </text>
    </comment>
    <comment ref="F52" authorId="0" shapeId="0" xr:uid="{00000000-0006-0000-0000-00002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牙套 5500
</t>
        </r>
      </text>
    </comment>
    <comment ref="O55" authorId="0" shapeId="0" xr:uid="{00000000-0006-0000-0000-00002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名偵探皮卡丘 500</t>
        </r>
      </text>
    </comment>
    <comment ref="M57" authorId="0" shapeId="0" xr:uid="{00000000-0006-0000-0000-00002B000000}">
      <text>
        <r>
          <rPr>
            <b/>
            <sz val="9"/>
            <color indexed="81"/>
            <rFont val="細明體"/>
            <family val="3"/>
            <charset val="136"/>
          </rPr>
          <t xml:space="preserve">丁純蘭
合庫加油 1400
</t>
        </r>
      </text>
    </comment>
    <comment ref="F59" authorId="0" shapeId="0" xr:uid="{00000000-0006-0000-0000-00002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昆蟲館換土</t>
        </r>
        <r>
          <rPr>
            <sz val="9"/>
            <color indexed="81"/>
            <rFont val="Tahoma"/>
            <family val="2"/>
          </rPr>
          <t xml:space="preserve"> 480</t>
        </r>
      </text>
    </comment>
    <comment ref="H59" authorId="0" shapeId="0" xr:uid="{00000000-0006-0000-0000-00002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台維斯盃網球</t>
        </r>
      </text>
    </comment>
    <comment ref="H61" authorId="0" shapeId="0" xr:uid="{00000000-0006-0000-0000-00002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棒棒</t>
        </r>
        <r>
          <rPr>
            <sz val="9"/>
            <color indexed="81"/>
            <rFont val="Tahoma"/>
            <family val="2"/>
          </rPr>
          <t xml:space="preserve"> 2853+1050</t>
        </r>
      </text>
    </comment>
    <comment ref="H62" authorId="0" shapeId="0" xr:uid="{00000000-0006-0000-0000-00002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荷蘭小鬆餅 835
</t>
        </r>
      </text>
    </comment>
    <comment ref="M62" authorId="0" shapeId="0" xr:uid="{00000000-0006-0000-0000-00003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爸聚餐 2717
</t>
        </r>
      </text>
    </comment>
    <comment ref="O62" authorId="0" shapeId="0" xr:uid="{00000000-0006-0000-0000-00003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俊男禮物 1500
</t>
        </r>
      </text>
    </comment>
    <comment ref="Q62" authorId="0" shapeId="0" xr:uid="{00000000-0006-0000-0000-00003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國泰保險分期</t>
        </r>
      </text>
    </comment>
    <comment ref="Q68" authorId="0" shapeId="0" xr:uid="{00000000-0006-0000-0000-00003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永佳樂 1482</t>
        </r>
      </text>
    </comment>
    <comment ref="M69" authorId="0" shapeId="0" xr:uid="{00000000-0006-0000-0000-00003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內褲 99</t>
        </r>
      </text>
    </comment>
    <comment ref="H70" authorId="0" shapeId="0" xr:uid="{00000000-0006-0000-0000-00003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瓦斯費 572
滾刷 564
水費 399</t>
        </r>
      </text>
    </comment>
    <comment ref="H71" authorId="0" shapeId="0" xr:uid="{00000000-0006-0000-0000-00003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行動電源 600</t>
        </r>
      </text>
    </comment>
    <comment ref="F72" authorId="0" shapeId="0" xr:uid="{00000000-0006-0000-0000-00003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TH 30000
TH1-36700-15000
</t>
        </r>
        <r>
          <rPr>
            <sz val="9"/>
            <color indexed="81"/>
            <rFont val="細明體"/>
            <family val="3"/>
            <charset val="136"/>
          </rPr>
          <t>衡安親保額 2000
衡月費+圍棋 18225</t>
        </r>
      </text>
    </comment>
    <comment ref="H72" authorId="0" shapeId="0" xr:uid="{00000000-0006-0000-0000-00003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翰志清學費 1589+3577
</t>
        </r>
      </text>
    </comment>
    <comment ref="F73" authorId="0" shapeId="0" xr:uid="{00000000-0006-0000-0000-00003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扭蛋120
寶可夢卡 300</t>
        </r>
      </text>
    </comment>
    <comment ref="F74" authorId="0" shapeId="0" xr:uid="{00000000-0006-0000-0000-00003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吹風機維修 1350
Casio手錶維修 102
</t>
        </r>
      </text>
    </comment>
    <comment ref="F75" authorId="0" shapeId="0" xr:uid="{00000000-0006-0000-0000-00003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科學 550
翰科學課 5867
網球課 2700+1800
衡科學課 5867
</t>
        </r>
      </text>
    </comment>
    <comment ref="F78" authorId="0" shapeId="0" xr:uid="{00000000-0006-0000-0000-00003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牙套 5500
</t>
        </r>
      </text>
    </comment>
    <comment ref="O78" authorId="0" shapeId="0" xr:uid="{00000000-0006-0000-0000-00003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看電影 400
Covernet 1700</t>
        </r>
      </text>
    </comment>
    <comment ref="O79" authorId="0" shapeId="0" xr:uid="{00000000-0006-0000-0000-00003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看電影 400
Covernet 790
</t>
        </r>
      </text>
    </comment>
    <comment ref="F81" authorId="0" shapeId="0" xr:uid="{00000000-0006-0000-0000-00003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翰科學課 5864</t>
        </r>
      </text>
    </comment>
    <comment ref="I81" authorId="0" shapeId="0" xr:uid="{00000000-0006-0000-0000-00004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卓越盃 1800</t>
        </r>
      </text>
    </comment>
    <comment ref="Q81" authorId="0" shapeId="0" xr:uid="{00000000-0006-0000-0000-00004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國泰保險分期</t>
        </r>
      </text>
    </comment>
    <comment ref="F84" authorId="0" shapeId="0" xr:uid="{00000000-0006-0000-0000-00004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昆蟲館換土 460</t>
        </r>
      </text>
    </comment>
    <comment ref="F85" authorId="0" shapeId="0" xr:uid="{00000000-0006-0000-0000-00004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享慢活 9998</t>
        </r>
      </text>
    </comment>
    <comment ref="P85" authorId="0" shapeId="0" xr:uid="{00000000-0006-0000-0000-00004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壽司郎 1010
Mos 1000</t>
        </r>
      </text>
    </comment>
    <comment ref="F86" authorId="0" shapeId="0" xr:uid="{00000000-0006-0000-0000-00004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6" authorId="0" shapeId="0" xr:uid="{00000000-0006-0000-0000-00004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橡皮擦 180
翰志清夏令營 4778</t>
        </r>
      </text>
    </comment>
    <comment ref="Q87" authorId="0" shapeId="0" xr:uid="{00000000-0006-0000-0000-00004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電費 998
</t>
        </r>
      </text>
    </comment>
    <comment ref="F88" authorId="0" shapeId="0" xr:uid="{00000000-0006-0000-0000-00004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黃兆宜 250</t>
        </r>
      </text>
    </comment>
    <comment ref="Q88" authorId="0" shapeId="0" xr:uid="{00000000-0006-0000-0000-00004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蛋糕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鐵蛋 1000</t>
        </r>
      </text>
    </comment>
    <comment ref="H97" authorId="0" shapeId="0" xr:uid="{00000000-0006-0000-0000-00004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電費 895
家用網路 1767
瓦斯費 572
</t>
        </r>
      </text>
    </comment>
    <comment ref="L97" authorId="0" shapeId="0" xr:uid="{00000000-0006-0000-0000-00004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傘 318</t>
        </r>
      </text>
    </comment>
    <comment ref="F100" authorId="0" shapeId="0" xr:uid="{00000000-0006-0000-0000-00004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衡TH1 15000
</t>
        </r>
      </text>
    </comment>
    <comment ref="Q100" authorId="0" shapeId="0" xr:uid="{00000000-0006-0000-0000-00004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國泰保險分期</t>
        </r>
      </text>
    </comment>
    <comment ref="F101" authorId="0" shapeId="0" xr:uid="{00000000-0006-0000-0000-00004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舞蹈課 190
網球 2700+2700
飛機營 3990
</t>
        </r>
      </text>
    </comment>
    <comment ref="H102" authorId="0" shapeId="0" xr:uid="{00000000-0006-0000-0000-00004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勝克敏 900
</t>
        </r>
      </text>
    </comment>
    <comment ref="F103" authorId="0" shapeId="0" xr:uid="{00000000-0006-0000-0000-00005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牙套 5500
</t>
        </r>
      </text>
    </comment>
    <comment ref="M103" authorId="0" shapeId="0" xr:uid="{00000000-0006-0000-0000-00005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590
</t>
        </r>
      </text>
    </comment>
    <comment ref="M105" authorId="0" shapeId="0" xr:uid="{00000000-0006-0000-0000-00005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590
</t>
        </r>
      </text>
    </comment>
    <comment ref="M106" authorId="0" shapeId="0" xr:uid="{00000000-0006-0000-0000-00005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590
</t>
        </r>
      </text>
    </comment>
    <comment ref="F108" authorId="0" shapeId="0" xr:uid="{00000000-0006-0000-0000-00005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香草微風 1050
鹿羽松 500+120
金柏名屋 1700+200+1520</t>
        </r>
      </text>
    </comment>
    <comment ref="M108" authorId="0" shapeId="0" xr:uid="{00000000-0006-0000-0000-00005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豆劉森林 1461
加油 1040
比夢烘焙 444
</t>
        </r>
      </text>
    </comment>
    <comment ref="F110" authorId="0" shapeId="0" xr:uid="{00000000-0006-0000-0000-00005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海豚班樂隱 3000+7372</t>
        </r>
      </text>
    </comment>
    <comment ref="M110" authorId="0" shapeId="0" xr:uid="{00000000-0006-0000-0000-00005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木育森林 1800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金炭火燒肉 2416
加油 1400</t>
        </r>
      </text>
    </comment>
    <comment ref="O110" authorId="0" shapeId="0" xr:uid="{00000000-0006-0000-0000-00005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看電影 889</t>
        </r>
      </text>
    </comment>
    <comment ref="L111" authorId="0" shapeId="0" xr:uid="{00000000-0006-0000-0000-00005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全家鮮奶 719</t>
        </r>
      </text>
    </comment>
    <comment ref="M111" authorId="0" shapeId="0" xr:uid="{00000000-0006-0000-0000-00005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咖啡 5070
</t>
        </r>
      </text>
    </comment>
    <comment ref="F112" authorId="0" shapeId="0" xr:uid="{00000000-0006-0000-0000-00005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健保費 6866</t>
        </r>
      </text>
    </comment>
    <comment ref="H112" authorId="0" shapeId="0" xr:uid="{00000000-0006-0000-0000-00005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牌照稅 11230
房屋稅 7019</t>
        </r>
      </text>
    </comment>
    <comment ref="H114" authorId="0" shapeId="0" xr:uid="{00000000-0006-0000-0000-00005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張老師禮物 230</t>
        </r>
      </text>
    </comment>
    <comment ref="H116" authorId="0" shapeId="0" xr:uid="{00000000-0006-0000-0000-00005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Owndays</t>
        </r>
        <r>
          <rPr>
            <sz val="9"/>
            <color indexed="81"/>
            <rFont val="細明體"/>
            <family val="3"/>
            <charset val="136"/>
          </rPr>
          <t>眼鏡</t>
        </r>
        <r>
          <rPr>
            <sz val="9"/>
            <color indexed="81"/>
            <rFont val="Tahoma"/>
            <family val="2"/>
          </rPr>
          <t xml:space="preserve"> 7190</t>
        </r>
      </text>
    </comment>
    <comment ref="Q116" authorId="0" shapeId="0" xr:uid="{00000000-0006-0000-0000-00005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7/28</t>
        </r>
      </text>
    </comment>
    <comment ref="F119" authorId="0" shapeId="0" xr:uid="{00000000-0006-0000-0000-00006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男子組剪髮 1000</t>
        </r>
      </text>
    </comment>
    <comment ref="F122" authorId="0" shapeId="0" xr:uid="{00000000-0006-0000-0000-00006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校外教學儲值 300
安親保額 3000(轉英文保額)</t>
        </r>
      </text>
    </comment>
    <comment ref="F123" authorId="0" shapeId="0" xr:uid="{00000000-0006-0000-0000-00006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翰鼓課 13200
衡鼓課 18000</t>
        </r>
      </text>
    </comment>
    <comment ref="F126" authorId="0" shapeId="0" xr:uid="{00000000-0006-0000-0000-00006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牙套 5500
</t>
        </r>
      </text>
    </comment>
    <comment ref="M126" authorId="0" shapeId="0" xr:uid="{00000000-0006-0000-0000-00006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看電影 180
</t>
        </r>
      </text>
    </comment>
    <comment ref="Q126" authorId="0" shapeId="0" xr:uid="{00000000-0006-0000-0000-00006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弟日台 1496
電費 1298
</t>
        </r>
      </text>
    </comment>
    <comment ref="M127" authorId="0" shapeId="0" xr:uid="{00000000-0006-0000-0000-00006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看電影 180
</t>
        </r>
      </text>
    </comment>
    <comment ref="F128" authorId="0" shapeId="0" xr:uid="{00000000-0006-0000-0000-00006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刮刮樂 200
</t>
        </r>
      </text>
    </comment>
    <comment ref="O129" authorId="0" shapeId="0" xr:uid="{00000000-0006-0000-0000-00006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拖鞋*3
</t>
        </r>
      </text>
    </comment>
    <comment ref="F130" authorId="0" shapeId="0" xr:uid="{00000000-0006-0000-0000-00006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刮刮樂 200
</t>
        </r>
      </text>
    </comment>
    <comment ref="F132" authorId="0" shapeId="0" xr:uid="{00000000-0006-0000-0000-00006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Pizza 1000
</t>
        </r>
        <r>
          <rPr>
            <sz val="9"/>
            <color indexed="81"/>
            <rFont val="細明體"/>
            <family val="3"/>
            <charset val="136"/>
          </rPr>
          <t xml:space="preserve">韓式燒肉 1910
划船 600
密室逃脫 590
志清校外教學 210
</t>
        </r>
      </text>
    </comment>
    <comment ref="M132" authorId="0" shapeId="0" xr:uid="{00000000-0006-0000-0000-00006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停車 395</t>
        </r>
      </text>
    </comment>
    <comment ref="M133" authorId="0" shapeId="0" xr:uid="{00000000-0006-0000-0000-00006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母親節聚餐 lowry's
7920</t>
        </r>
      </text>
    </comment>
    <comment ref="F134" authorId="0" shapeId="0" xr:uid="{00000000-0006-0000-0000-00006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所得稅 39527</t>
        </r>
      </text>
    </comment>
    <comment ref="F136" authorId="0" shapeId="0" xr:uid="{00000000-0006-0000-0000-00006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母親節花束 1000</t>
        </r>
      </text>
    </comment>
    <comment ref="F139" authorId="0" shapeId="0" xr:uid="{00000000-0006-0000-0000-00006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台新美金</t>
        </r>
        <r>
          <rPr>
            <sz val="9"/>
            <color indexed="81"/>
            <rFont val="Tahoma"/>
            <family val="2"/>
          </rPr>
          <t>to</t>
        </r>
        <r>
          <rPr>
            <sz val="9"/>
            <color indexed="81"/>
            <rFont val="細明體"/>
            <family val="3"/>
            <charset val="136"/>
          </rPr>
          <t>元大惠費 100</t>
        </r>
      </text>
    </comment>
    <comment ref="H144" authorId="0" shapeId="0" xr:uid="{00000000-0006-0000-0000-00007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洗衣膠囊 799</t>
        </r>
      </text>
    </comment>
    <comment ref="J145" authorId="0" shapeId="0" xr:uid="{00000000-0006-0000-0000-00007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行動電源 519+1200
</t>
        </r>
      </text>
    </comment>
    <comment ref="M145" authorId="0" shapeId="0" xr:uid="{00000000-0006-0000-0000-00007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</t>
        </r>
        <r>
          <rPr>
            <sz val="9"/>
            <color indexed="81"/>
            <rFont val="細明體"/>
            <family val="3"/>
            <charset val="136"/>
          </rPr>
          <t xml:space="preserve">月費
</t>
        </r>
      </text>
    </comment>
    <comment ref="I146" authorId="0" shapeId="0" xr:uid="{00000000-0006-0000-0000-00007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衡書包 2780</t>
        </r>
      </text>
    </comment>
    <comment ref="H154" authorId="0" shapeId="0" xr:uid="{00000000-0006-0000-0000-00007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紐約機票53119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自由女神 2636+39
downtown住宿 42960+645
歡朋 47264
ESTA 684*4
寧靜頸枕 860</t>
        </r>
      </text>
    </comment>
    <comment ref="I154" authorId="0" shapeId="0" xr:uid="{00000000-0006-0000-0000-00007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肯驛接送 200
無畏號 746
中央公園動物園 1953</t>
        </r>
      </text>
    </comment>
    <comment ref="L154" authorId="0" shapeId="0" xr:uid="{00000000-0006-0000-0000-00007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洛克斐勒 4233
中央公園腳踏車 3369(CUBE)</t>
        </r>
      </text>
    </comment>
    <comment ref="M154" authorId="0" shapeId="0" xr:uid="{00000000-0006-0000-0000-00007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紐約機票 53035
無畏號 910+861+759</t>
        </r>
      </text>
    </comment>
    <comment ref="J157" authorId="0" shapeId="0" xr:uid="{00000000-0006-0000-0000-00007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汽車強制險 1019</t>
        </r>
      </text>
    </comment>
    <comment ref="F162" authorId="0" shapeId="0" xr:uid="{00000000-0006-0000-0000-00007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璿衡太陽眼鏡 649</t>
        </r>
      </text>
    </comment>
    <comment ref="H163" authorId="0" shapeId="0" xr:uid="{00000000-0006-0000-0000-00007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2532
網路費 1760</t>
        </r>
      </text>
    </comment>
    <comment ref="Q163" authorId="0" shapeId="0" xr:uid="{00000000-0006-0000-0000-00007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第四台 1482
電費 2426</t>
        </r>
      </text>
    </comment>
    <comment ref="H164" authorId="0" shapeId="0" xr:uid="{00000000-0006-0000-0000-00007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中華電信 698</t>
        </r>
      </text>
    </comment>
    <comment ref="F165" authorId="0" shapeId="0" xr:uid="{00000000-0006-0000-0000-00007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翰安親 7200
衡安親 9500(才藝3000)
翰英文課
班費 500</t>
        </r>
      </text>
    </comment>
    <comment ref="H165" authorId="0" shapeId="0" xr:uid="{00000000-0006-0000-0000-00007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兩小志清學費 3203+7635
</t>
        </r>
      </text>
    </comment>
    <comment ref="F166" authorId="0" shapeId="0" xr:uid="{00000000-0006-0000-0000-00007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 xml:space="preserve">仁愛國中科學營 7300
樂樂棒球 2171
</t>
        </r>
      </text>
    </comment>
    <comment ref="F168" authorId="0" shapeId="0" xr:uid="{00000000-0006-0000-0000-00008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雲朵包 1900</t>
        </r>
      </text>
    </comment>
    <comment ref="H173" authorId="0" shapeId="0" xr:uid="{00000000-0006-0000-0000-00008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福岡機票 12875
住宿 48000
</t>
        </r>
      </text>
    </comment>
    <comment ref="I173" authorId="0" shapeId="0" xr:uid="{00000000-0006-0000-0000-00008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城島高原</t>
        </r>
        <r>
          <rPr>
            <sz val="9"/>
            <color indexed="81"/>
            <rFont val="Tahoma"/>
            <family val="2"/>
          </rPr>
          <t xml:space="preserve"> 2699
</t>
        </r>
      </text>
    </comment>
    <comment ref="M173" authorId="0" shapeId="0" xr:uid="{00000000-0006-0000-0000-00008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福岡機票 33495
城島高原 881</t>
        </r>
      </text>
    </comment>
    <comment ref="I182" authorId="0" shapeId="0" xr:uid="{00000000-0006-0000-0000-00008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1422</t>
        </r>
      </text>
    </comment>
    <comment ref="O182" authorId="0" shapeId="0" xr:uid="{00000000-0006-0000-0000-00008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衛生紙+防蟲 1089</t>
        </r>
      </text>
    </comment>
    <comment ref="F183" authorId="0" shapeId="0" xr:uid="{00000000-0006-0000-0000-00008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 599
罰單 6000</t>
        </r>
      </text>
    </comment>
    <comment ref="H183" authorId="0" shapeId="0" xr:uid="{00000000-0006-0000-0000-00008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 529
Alex</t>
        </r>
        <r>
          <rPr>
            <sz val="9"/>
            <color indexed="81"/>
            <rFont val="細明體"/>
            <family val="3"/>
            <charset val="136"/>
          </rPr>
          <t xml:space="preserve">電話費 698
</t>
        </r>
      </text>
    </comment>
    <comment ref="M183" authorId="0" shapeId="0" xr:uid="{00000000-0006-0000-0000-00008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機車險 985</t>
        </r>
      </text>
    </comment>
    <comment ref="Q183" authorId="0" shapeId="0" xr:uid="{00000000-0006-0000-0000-00008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爸機票 935
uber 383
電話費兩期 1376</t>
        </r>
      </text>
    </comment>
    <comment ref="F185" authorId="0" shapeId="0" xr:uid="{00000000-0006-0000-0000-00008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網球 1800</t>
        </r>
      </text>
    </comment>
    <comment ref="O191" authorId="0" shapeId="0" xr:uid="{00000000-0006-0000-0000-00008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1070
giga 350</t>
        </r>
      </text>
    </comment>
    <comment ref="F192" authorId="0" shapeId="0" xr:uid="{00000000-0006-0000-0000-00008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小貓班聚會 3500
停車 130</t>
        </r>
      </text>
    </comment>
    <comment ref="F193" authorId="0" shapeId="0" xr:uid="{00000000-0006-0000-0000-00008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衡生日蛋糕 780</t>
        </r>
      </text>
    </comment>
    <comment ref="J195" authorId="0" shapeId="0" xr:uid="{00000000-0006-0000-0000-00008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小孩醫療險 2959</t>
        </r>
      </text>
    </comment>
    <comment ref="M195" authorId="0" shapeId="0" xr:uid="{00000000-0006-0000-0000-00008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小孩醫療險 2959</t>
        </r>
      </text>
    </comment>
    <comment ref="G199" authorId="0" shapeId="0" xr:uid="{00000000-0006-0000-0000-00009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誠記 430</t>
        </r>
      </text>
    </comment>
    <comment ref="I200" authorId="0" shapeId="0" xr:uid="{00000000-0006-0000-0000-00009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翰衡長褲 1070</t>
        </r>
      </text>
    </comment>
    <comment ref="O200" authorId="0" shapeId="0" xr:uid="{00000000-0006-0000-0000-00009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衡鞋子 955
Alex球袋+蛙鏡 1520
</t>
        </r>
      </text>
    </comment>
    <comment ref="Q200" authorId="0" shapeId="0" xr:uid="{00000000-0006-0000-0000-00009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媽生日 2000
</t>
        </r>
      </text>
    </comment>
    <comment ref="H202" authorId="0" shapeId="0" xr:uid="{00000000-0006-0000-0000-00009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etag 400</t>
        </r>
      </text>
    </comment>
    <comment ref="I202" authorId="0" shapeId="0" xr:uid="{00000000-0006-0000-0000-00009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瓦斯費 628</t>
        </r>
      </text>
    </comment>
    <comment ref="M202" authorId="0" shapeId="0" xr:uid="{00000000-0006-0000-0000-00009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加油 1343</t>
        </r>
      </text>
    </comment>
    <comment ref="I204" authorId="0" shapeId="0" xr:uid="{00000000-0006-0000-0000-00009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衡科學課 5867
</t>
        </r>
      </text>
    </comment>
    <comment ref="H212" authorId="0" shapeId="0" xr:uid="{00000000-0006-0000-0000-00009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禎軒 1150</t>
        </r>
      </text>
    </comment>
    <comment ref="M212" authorId="0" shapeId="0" xr:uid="{00000000-0006-0000-0000-00009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聚餐</t>
        </r>
        <r>
          <rPr>
            <sz val="9"/>
            <color indexed="81"/>
            <rFont val="Tahoma"/>
            <family val="2"/>
          </rPr>
          <t>with Dad(</t>
        </r>
        <r>
          <rPr>
            <sz val="9"/>
            <color indexed="81"/>
            <rFont val="細明體"/>
            <family val="3"/>
            <charset val="136"/>
          </rPr>
          <t>玖仰)</t>
        </r>
        <r>
          <rPr>
            <sz val="9"/>
            <color indexed="81"/>
            <rFont val="Tahoma"/>
            <family val="2"/>
          </rPr>
          <t xml:space="preserve"> 1666</t>
        </r>
      </text>
    </comment>
    <comment ref="Q212" authorId="0" shapeId="0" xr:uid="{00000000-0006-0000-0000-00009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媽生日蛋糕 759</t>
        </r>
      </text>
    </comment>
    <comment ref="F218" authorId="0" shapeId="0" xr:uid="{00000000-0006-0000-0000-00009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Nespresso 2290</t>
        </r>
      </text>
    </comment>
    <comment ref="F219" authorId="0" shapeId="0" xr:uid="{00000000-0006-0000-0000-00009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修包包 200</t>
        </r>
      </text>
    </comment>
    <comment ref="I219" authorId="0" shapeId="0" xr:uid="{00000000-0006-0000-0000-00009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769</t>
        </r>
      </text>
    </comment>
    <comment ref="M219" authorId="0" shapeId="0" xr:uid="{00000000-0006-0000-0000-00009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959</t>
        </r>
      </text>
    </comment>
    <comment ref="G220" authorId="0" shapeId="0" xr:uid="{00000000-0006-0000-0000-00009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瓦斯費 200</t>
        </r>
      </text>
    </comment>
    <comment ref="M220" authorId="0" shapeId="0" xr:uid="{00000000-0006-0000-0000-0000A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手錶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漱口水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膠帶+雅高(MOMO) 
</t>
        </r>
      </text>
    </comment>
    <comment ref="Q220" authorId="0" shapeId="0" xr:uid="{00000000-0006-0000-0000-0000A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21" authorId="0" shapeId="0" xr:uid="{00000000-0006-0000-0000-0000A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加油 1471</t>
        </r>
      </text>
    </comment>
    <comment ref="Q221" authorId="0" shapeId="0" xr:uid="{00000000-0006-0000-0000-0000A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979
電話費688</t>
        </r>
      </text>
    </comment>
    <comment ref="F222" authorId="0" shapeId="0" xr:uid="{00000000-0006-0000-0000-0000A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F223" authorId="0" shapeId="0" xr:uid="{00000000-0006-0000-0000-0000A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網球 1800+1800
打實鼓 850
蟲換土 460</t>
        </r>
      </text>
    </comment>
    <comment ref="K225" authorId="0" shapeId="0" xr:uid="{00000000-0006-0000-0000-0000A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詹記 2132</t>
        </r>
      </text>
    </comment>
    <comment ref="O225" authorId="0" shapeId="0" xr:uid="{00000000-0006-0000-0000-0000A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levis 1250
</t>
        </r>
      </text>
    </comment>
    <comment ref="F226" authorId="0" shapeId="0" xr:uid="{00000000-0006-0000-0000-0000A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帽子 1000</t>
        </r>
      </text>
    </comment>
    <comment ref="O226" authorId="0" shapeId="0" xr:uid="{00000000-0006-0000-0000-0000A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Levis 2250
</t>
        </r>
      </text>
    </comment>
    <comment ref="O227" authorId="0" shapeId="0" xr:uid="{00000000-0006-0000-0000-0000A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聖誕禮物 2000
</t>
        </r>
      </text>
    </comment>
    <comment ref="O228" authorId="0" shapeId="0" xr:uid="{00000000-0006-0000-0000-0000A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聖誕禮物 2000
</t>
        </r>
      </text>
    </comment>
    <comment ref="O229" authorId="0" shapeId="0" xr:uid="{00000000-0006-0000-0000-0000A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聖誕禮物 2500
uniqlo 1870</t>
        </r>
      </text>
    </comment>
    <comment ref="F230" authorId="0" shapeId="0" xr:uid="{00000000-0006-0000-0000-0000A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基隆夜市 1000</t>
        </r>
      </text>
    </comment>
    <comment ref="F231" authorId="0" shapeId="0" xr:uid="{00000000-0006-0000-0000-0000A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聖誕聚餐</t>
        </r>
        <r>
          <rPr>
            <sz val="9"/>
            <color indexed="81"/>
            <rFont val="Tahoma"/>
            <family val="2"/>
          </rPr>
          <t xml:space="preserve"> 2408</t>
        </r>
      </text>
    </comment>
    <comment ref="E243" authorId="0" shapeId="0" xr:uid="{00000000-0006-0000-0000-0000A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房價</t>
        </r>
        <r>
          <rPr>
            <sz val="9"/>
            <color indexed="81"/>
            <rFont val="Tahoma"/>
            <family val="2"/>
          </rPr>
          <t>tatal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丁純蘭</author>
  </authors>
  <commentList>
    <comment ref="F2" authorId="0" shapeId="0" xr:uid="{00000000-0006-0000-0100-00000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iphone14</t>
        </r>
        <r>
          <rPr>
            <sz val="9"/>
            <color indexed="81"/>
            <rFont val="細明體"/>
            <family val="3"/>
            <charset val="136"/>
          </rPr>
          <t xml:space="preserve"> 34800+2000
</t>
        </r>
      </text>
    </comment>
    <comment ref="O2" authorId="0" shapeId="0" xr:uid="{00000000-0006-0000-0100-00000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外套</t>
        </r>
        <r>
          <rPr>
            <sz val="9"/>
            <color indexed="81"/>
            <rFont val="Tahoma"/>
            <family val="2"/>
          </rPr>
          <t xml:space="preserve"> 9500
</t>
        </r>
      </text>
    </comment>
    <comment ref="F3" authorId="0" shapeId="0" xr:uid="{00000000-0006-0000-0100-00000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衡學費 45465
列印 66</t>
        </r>
      </text>
    </comment>
    <comment ref="H10" authorId="0" shapeId="0" xr:uid="{00000000-0006-0000-0100-00000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中華電信 55
家用網路 1728</t>
        </r>
      </text>
    </comment>
    <comment ref="I10" authorId="0" shapeId="0" xr:uid="{00000000-0006-0000-0100-00000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Nancy</t>
        </r>
        <r>
          <rPr>
            <sz val="9"/>
            <color indexed="81"/>
            <rFont val="細明體"/>
            <family val="3"/>
            <charset val="136"/>
          </rPr>
          <t>手機費 607</t>
        </r>
      </text>
    </comment>
    <comment ref="G11" authorId="0" shapeId="0" xr:uid="{00000000-0006-0000-0100-00000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咖啡膠囊</t>
        </r>
      </text>
    </comment>
    <comment ref="H11" authorId="0" shapeId="0" xr:uid="{00000000-0006-0000-0100-00000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欣欣天然氣 496
</t>
        </r>
      </text>
    </comment>
    <comment ref="Q11" authorId="0" shapeId="0" xr:uid="{00000000-0006-0000-0100-00000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第四台 1497
hola棉被 1580</t>
        </r>
      </text>
    </comment>
    <comment ref="Q12" authorId="0" shapeId="0" xr:uid="{00000000-0006-0000-0100-00000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手機費用 597
</t>
        </r>
      </text>
    </comment>
    <comment ref="H14" authorId="0" shapeId="0" xr:uid="{00000000-0006-0000-0100-00000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中華電信</t>
        </r>
        <r>
          <rPr>
            <sz val="9"/>
            <color indexed="81"/>
            <rFont val="Tahoma"/>
            <family val="2"/>
          </rPr>
          <t xml:space="preserve"> 724+69</t>
        </r>
      </text>
    </comment>
    <comment ref="F16" authorId="0" shapeId="0" xr:uid="{00000000-0006-0000-0100-00000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衡籃球課 1500+300
頂尖科學 900
表演 2000</t>
        </r>
      </text>
    </comment>
    <comment ref="H16" authorId="0" shapeId="0" xr:uid="{00000000-0006-0000-0100-00000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志清桌遊社團</t>
        </r>
        <r>
          <rPr>
            <sz val="9"/>
            <color indexed="81"/>
            <rFont val="Tahoma"/>
            <family val="2"/>
          </rPr>
          <t xml:space="preserve"> 2215
</t>
        </r>
      </text>
    </comment>
    <comment ref="O17" authorId="0" shapeId="0" xr:uid="{00000000-0006-0000-0100-00000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外套 9500</t>
        </r>
      </text>
    </comment>
    <comment ref="H20" authorId="0" shapeId="0" xr:uid="{00000000-0006-0000-0100-00000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石川 520(1120)
Marcus 1176</t>
        </r>
      </text>
    </comment>
    <comment ref="F21" authorId="0" shapeId="0" xr:uid="{00000000-0006-0000-0100-00000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翰打鼓課 16800-1750</t>
        </r>
      </text>
    </comment>
    <comment ref="H21" authorId="0" shapeId="0" xr:uid="{00000000-0006-0000-0100-00001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樂譜資料夾 170</t>
        </r>
      </text>
    </comment>
    <comment ref="H22" authorId="0" shapeId="0" xr:uid="{00000000-0006-0000-0100-00001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手機殼 168</t>
        </r>
      </text>
    </comment>
    <comment ref="J23" authorId="0" shapeId="0" xr:uid="{00000000-0006-0000-0100-00001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壽司郎 1100
</t>
        </r>
      </text>
    </comment>
    <comment ref="Q24" authorId="0" shapeId="0" xr:uid="{00000000-0006-0000-0100-00001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保費 40508</t>
        </r>
      </text>
    </comment>
    <comment ref="F25" authorId="0" shapeId="0" xr:uid="{00000000-0006-0000-0100-00001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租腳踏車 90+150</t>
        </r>
      </text>
    </comment>
    <comment ref="Q25" authorId="0" shapeId="0" xr:uid="{00000000-0006-0000-0100-00001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老媽紅包 12000</t>
        </r>
      </text>
    </comment>
    <comment ref="H26" authorId="0" shapeId="0" xr:uid="{00000000-0006-0000-0100-00001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MUJI</t>
        </r>
        <r>
          <rPr>
            <sz val="9"/>
            <color indexed="81"/>
            <rFont val="細明體"/>
            <family val="3"/>
            <charset val="136"/>
          </rPr>
          <t>衣服+襪子*3 534+249</t>
        </r>
      </text>
    </comment>
    <comment ref="H27" authorId="0" shapeId="0" xr:uid="{00000000-0006-0000-0100-00001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衡羽絨外套 990</t>
        </r>
      </text>
    </comment>
    <comment ref="I27" authorId="0" shapeId="0" xr:uid="{00000000-0006-0000-0100-00001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Muji </t>
        </r>
        <r>
          <rPr>
            <sz val="9"/>
            <color indexed="81"/>
            <rFont val="細明體"/>
            <family val="3"/>
            <charset val="136"/>
          </rPr>
          <t xml:space="preserve">襪子+噴霧頭 1040
</t>
        </r>
      </text>
    </comment>
    <comment ref="J27" authorId="0" shapeId="0" xr:uid="{00000000-0006-0000-0100-00001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兒童漱口水 790</t>
        </r>
      </text>
    </comment>
    <comment ref="F28" authorId="0" shapeId="0" xr:uid="{00000000-0006-0000-0100-00001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燈泡 596</t>
        </r>
      </text>
    </comment>
    <comment ref="H28" authorId="0" shapeId="0" xr:uid="{00000000-0006-0000-0100-00001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1275
水費 368
瓦斯費 538
市話 140</t>
        </r>
      </text>
    </comment>
    <comment ref="H30" authorId="0" shapeId="0" xr:uid="{00000000-0006-0000-0100-00001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勝克敏 200</t>
        </r>
      </text>
    </comment>
    <comment ref="Q30" authorId="0" shapeId="0" xr:uid="{00000000-0006-0000-0100-00001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房租 10500
電話費 596
</t>
        </r>
      </text>
    </comment>
    <comment ref="H31" authorId="0" shapeId="0" xr:uid="{00000000-0006-0000-0100-00001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</t>
        </r>
        <r>
          <rPr>
            <sz val="9"/>
            <color indexed="81"/>
            <rFont val="細明體"/>
            <family val="3"/>
            <charset val="136"/>
          </rPr>
          <t xml:space="preserve"> 118292
電動車政府補助(不含工業局)20300
</t>
        </r>
      </text>
    </comment>
    <comment ref="O31" authorId="0" shapeId="0" xr:uid="{00000000-0006-0000-0100-00001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TypeC 11000
</t>
        </r>
        <r>
          <rPr>
            <sz val="9"/>
            <color indexed="81"/>
            <rFont val="細明體"/>
            <family val="3"/>
            <charset val="136"/>
          </rPr>
          <t>日本行請同學糖果 1100</t>
        </r>
      </text>
    </comment>
    <comment ref="F32" authorId="0" shapeId="0" xr:uid="{00000000-0006-0000-0100-00002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景美醫院 230
勝克敏液 240</t>
        </r>
      </text>
    </comment>
    <comment ref="H33" authorId="0" shapeId="0" xr:uid="{00000000-0006-0000-0100-00002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手機殼</t>
        </r>
        <r>
          <rPr>
            <sz val="9"/>
            <color indexed="81"/>
            <rFont val="Tahoma"/>
            <family val="2"/>
          </rPr>
          <t xml:space="preserve"> 130</t>
        </r>
      </text>
    </comment>
    <comment ref="M34" authorId="0" shapeId="0" xr:uid="{00000000-0006-0000-0100-00002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滾吧 1200</t>
        </r>
      </text>
    </comment>
    <comment ref="O34" authorId="0" shapeId="0" xr:uid="{00000000-0006-0000-0100-00002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costco 4700</t>
        </r>
      </text>
    </comment>
    <comment ref="F37" authorId="0" shapeId="0" xr:uid="{00000000-0006-0000-0100-00002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寶可夢 60
寶可夢卡 200</t>
        </r>
      </text>
    </comment>
    <comment ref="G37" authorId="0" shapeId="0" xr:uid="{00000000-0006-0000-0100-00002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三井SEGA 200</t>
        </r>
      </text>
    </comment>
    <comment ref="H37" authorId="0" shapeId="0" xr:uid="{00000000-0006-0000-0100-00002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屁屁偵探漫畫 474</t>
        </r>
      </text>
    </comment>
    <comment ref="F38" authorId="0" shapeId="0" xr:uid="{00000000-0006-0000-0100-00002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耿鬼存錢筒</t>
        </r>
        <r>
          <rPr>
            <sz val="9"/>
            <color indexed="81"/>
            <rFont val="Tahoma"/>
            <family val="2"/>
          </rPr>
          <t xml:space="preserve"> 899
</t>
        </r>
      </text>
    </comment>
    <comment ref="H38" authorId="0" shapeId="0" xr:uid="{00000000-0006-0000-0100-00002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牌照稅 11230</t>
        </r>
      </text>
    </comment>
    <comment ref="F40" authorId="0" shapeId="0" xr:uid="{00000000-0006-0000-0100-00002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0" authorId="0" shapeId="0" xr:uid="{00000000-0006-0000-0100-00002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威秀 40
</t>
        </r>
      </text>
    </comment>
    <comment ref="M42" authorId="0" shapeId="0" xr:uid="{00000000-0006-0000-0100-00002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大安運動中心桌球 100
</t>
        </r>
      </text>
    </comment>
    <comment ref="Q43" authorId="0" shapeId="0" xr:uid="{00000000-0006-0000-0100-00002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保費 40508</t>
        </r>
      </text>
    </comment>
    <comment ref="F45" authorId="0" shapeId="0" xr:uid="{00000000-0006-0000-0100-00002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TH-6 30650
</t>
        </r>
        <r>
          <rPr>
            <sz val="9"/>
            <color indexed="81"/>
            <rFont val="細明體"/>
            <family val="3"/>
            <charset val="136"/>
          </rPr>
          <t>大自然科學課 7000-567</t>
        </r>
      </text>
    </comment>
    <comment ref="F46" authorId="0" shapeId="0" xr:uid="{00000000-0006-0000-0100-00002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日本分期 10000
暑假花蓮行訂金 2000
台灣昆蟲館刺蝟課 1000</t>
        </r>
      </text>
    </comment>
    <comment ref="M46" authorId="0" shapeId="0" xr:uid="{00000000-0006-0000-0100-00002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清邁機票
日本機票分期 10000
清邁大象行 3114</t>
        </r>
      </text>
    </comment>
    <comment ref="O46" authorId="0" shapeId="0" xr:uid="{00000000-0006-0000-0100-00003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馬力歐電影 1306
</t>
        </r>
      </text>
    </comment>
    <comment ref="Q49" authorId="0" shapeId="0" xr:uid="{00000000-0006-0000-0100-00003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房租 10500
電費 1157
亞太電話費 596</t>
        </r>
      </text>
    </comment>
    <comment ref="F50" authorId="0" shapeId="0" xr:uid="{00000000-0006-0000-0100-00003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
1/1</t>
        </r>
        <r>
          <rPr>
            <b/>
            <sz val="9"/>
            <color indexed="81"/>
            <rFont val="細明體"/>
            <family val="3"/>
            <charset val="136"/>
          </rPr>
          <t>大溪遊</t>
        </r>
        <r>
          <rPr>
            <b/>
            <sz val="9"/>
            <color indexed="81"/>
            <rFont val="Tahoma"/>
            <family val="2"/>
          </rPr>
          <t>with</t>
        </r>
        <r>
          <rPr>
            <b/>
            <sz val="9"/>
            <color indexed="81"/>
            <rFont val="細明體"/>
            <family val="3"/>
            <charset val="136"/>
          </rPr>
          <t xml:space="preserve">姿君家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過年國內旅遊住宿 24320
  -嘉義亮點 
  -台南有方公寓 </t>
        </r>
      </text>
    </comment>
    <comment ref="H50" authorId="0" shapeId="0" xr:uid="{00000000-0006-0000-0100-00003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阿立海</t>
        </r>
        <r>
          <rPr>
            <sz val="9"/>
            <color indexed="81"/>
            <rFont val="Tahoma"/>
            <family val="2"/>
          </rPr>
          <t xml:space="preserve">buffet 5665
</t>
        </r>
        <r>
          <rPr>
            <sz val="9"/>
            <color indexed="81"/>
            <rFont val="細明體"/>
            <family val="3"/>
            <charset val="136"/>
          </rPr>
          <t xml:space="preserve">滿月圓 260
日本料理with 東允 1364
</t>
        </r>
      </text>
    </comment>
    <comment ref="I50" authorId="0" shapeId="0" xr:uid="{00000000-0006-0000-0100-00003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迷克夏 125
加油 1249</t>
        </r>
      </text>
    </comment>
    <comment ref="F51" authorId="0" shapeId="0" xr:uid="{00000000-0006-0000-0100-00003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停車</t>
        </r>
        <r>
          <rPr>
            <sz val="9"/>
            <color indexed="81"/>
            <rFont val="Tahoma"/>
            <family val="2"/>
          </rPr>
          <t xml:space="preserve"> 240
</t>
        </r>
        <r>
          <rPr>
            <sz val="9"/>
            <color indexed="81"/>
            <rFont val="細明體"/>
            <family val="3"/>
            <charset val="136"/>
          </rPr>
          <t>罰單 1600</t>
        </r>
      </text>
    </comment>
    <comment ref="H51" authorId="0" shapeId="0" xr:uid="{00000000-0006-0000-0100-00003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中華電信 557+605</t>
        </r>
      </text>
    </comment>
    <comment ref="F52" authorId="0" shapeId="0" xr:uid="{00000000-0006-0000-0100-00003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日本分期 10000</t>
        </r>
      </text>
    </comment>
    <comment ref="M52" authorId="0" shapeId="0" xr:uid="{00000000-0006-0000-0100-00003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清邁機票
日本機票分期 10000
</t>
        </r>
      </text>
    </comment>
    <comment ref="O53" authorId="0" shapeId="0" xr:uid="{00000000-0006-0000-0100-00003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聚餐</t>
        </r>
        <r>
          <rPr>
            <sz val="9"/>
            <color indexed="81"/>
            <rFont val="Tahoma"/>
            <family val="2"/>
          </rPr>
          <t>with</t>
        </r>
        <r>
          <rPr>
            <sz val="9"/>
            <color indexed="81"/>
            <rFont val="細明體"/>
            <family val="3"/>
            <charset val="136"/>
          </rPr>
          <t>金門王 1800</t>
        </r>
      </text>
    </comment>
    <comment ref="M55" authorId="0" shapeId="0" xr:uid="{00000000-0006-0000-0100-00003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旅平險 1182*2
</t>
        </r>
      </text>
    </comment>
    <comment ref="F57" authorId="0" shapeId="0" xr:uid="{00000000-0006-0000-0100-00003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alex</t>
        </r>
        <r>
          <rPr>
            <sz val="9"/>
            <color indexed="81"/>
            <rFont val="細明體"/>
            <family val="3"/>
            <charset val="136"/>
          </rPr>
          <t xml:space="preserve">看牙 80
</t>
        </r>
      </text>
    </comment>
    <comment ref="F59" authorId="0" shapeId="0" xr:uid="{00000000-0006-0000-0100-00003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alex</t>
        </r>
        <r>
          <rPr>
            <sz val="9"/>
            <color indexed="81"/>
            <rFont val="細明體"/>
            <family val="3"/>
            <charset val="136"/>
          </rPr>
          <t>剪頭髮 400</t>
        </r>
      </text>
    </comment>
    <comment ref="F60" authorId="0" shapeId="0" xr:uid="{00000000-0006-0000-0100-00003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日本行旅費</t>
        </r>
        <r>
          <rPr>
            <sz val="9"/>
            <color indexed="81"/>
            <rFont val="Tahoma"/>
            <family val="2"/>
          </rPr>
          <t xml:space="preserve"> 70000
</t>
        </r>
        <r>
          <rPr>
            <sz val="9"/>
            <color indexed="81"/>
            <rFont val="細明體"/>
            <family val="3"/>
            <charset val="136"/>
          </rPr>
          <t xml:space="preserve">南寮腳踏車 1400
</t>
        </r>
      </text>
    </comment>
    <comment ref="L60" authorId="0" shapeId="0" xr:uid="{00000000-0006-0000-0100-00003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東京迪士尼 5620</t>
        </r>
      </text>
    </comment>
    <comment ref="M60" authorId="0" shapeId="0" xr:uid="{00000000-0006-0000-0100-00003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東京機票 74878
住宿 68802</t>
        </r>
      </text>
    </comment>
    <comment ref="O60" authorId="0" shapeId="0" xr:uid="{00000000-0006-0000-0100-00004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立木津巴士</t>
        </r>
        <r>
          <rPr>
            <sz val="9"/>
            <color indexed="81"/>
            <rFont val="Tahoma"/>
            <family val="2"/>
          </rPr>
          <t xml:space="preserve"> 8055</t>
        </r>
      </text>
    </comment>
    <comment ref="F61" authorId="0" shapeId="0" xr:uid="{00000000-0006-0000-0100-00004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日本分期 10000</t>
        </r>
      </text>
    </comment>
    <comment ref="H61" authorId="0" shapeId="0" xr:uid="{00000000-0006-0000-0100-00004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璿翰護照 900
</t>
        </r>
      </text>
    </comment>
    <comment ref="M61" authorId="0" shapeId="0" xr:uid="{00000000-0006-0000-0100-00004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清邁機票
日本機票分期 10000
</t>
        </r>
      </text>
    </comment>
    <comment ref="Q62" authorId="0" shapeId="0" xr:uid="{00000000-0006-0000-0100-00004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保費 40508</t>
        </r>
      </text>
    </comment>
    <comment ref="Q63" authorId="0" shapeId="0" xr:uid="{00000000-0006-0000-0100-00004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拜小韋 2000</t>
        </r>
      </text>
    </comment>
    <comment ref="H64" authorId="0" shapeId="0" xr:uid="{00000000-0006-0000-0100-00004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</t>
        </r>
        <r>
          <rPr>
            <sz val="9"/>
            <color indexed="81"/>
            <rFont val="細明體"/>
            <family val="3"/>
            <charset val="136"/>
          </rPr>
          <t xml:space="preserve"> 118292
</t>
        </r>
      </text>
    </comment>
    <comment ref="M65" authorId="0" shapeId="0" xr:uid="{00000000-0006-0000-0100-00004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翰生日蛋糕</t>
        </r>
        <r>
          <rPr>
            <sz val="9"/>
            <color indexed="81"/>
            <rFont val="Tahoma"/>
            <family val="2"/>
          </rPr>
          <t xml:space="preserve"> 840</t>
        </r>
      </text>
    </comment>
    <comment ref="F66" authorId="0" shapeId="0" xr:uid="{00000000-0006-0000-0100-00004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 xml:space="preserve">月安親 3200
安親保額 3000
國語文競試 100
動物園 60+5
</t>
        </r>
      </text>
    </comment>
    <comment ref="H66" authorId="0" shapeId="0" xr:uid="{00000000-0006-0000-0100-00004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動物園 60*2+5*2
</t>
        </r>
      </text>
    </comment>
    <comment ref="H68" authorId="0" shapeId="0" xr:uid="{00000000-0006-0000-0100-00004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Ikea 866</t>
        </r>
      </text>
    </comment>
    <comment ref="Q68" authorId="0" shapeId="0" xr:uid="{00000000-0006-0000-0100-00004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房租 10500
第四台 1465</t>
        </r>
      </text>
    </comment>
    <comment ref="F71" authorId="0" shapeId="0" xr:uid="{00000000-0006-0000-0100-00004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衡舞蹈律動 6200
圍棋 7250</t>
        </r>
      </text>
    </comment>
    <comment ref="H71" authorId="0" shapeId="0" xr:uid="{00000000-0006-0000-0100-00004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打電動 125</t>
        </r>
      </text>
    </comment>
    <comment ref="M73" authorId="0" shapeId="0" xr:uid="{00000000-0006-0000-0100-00004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腳踏車 5248</t>
        </r>
      </text>
    </comment>
    <comment ref="M76" authorId="0" shapeId="0" xr:uid="{00000000-0006-0000-0100-00004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腳踏車配件 218
</t>
        </r>
      </text>
    </comment>
    <comment ref="M77" authorId="0" shapeId="0" xr:uid="{00000000-0006-0000-0100-00005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指緣油 199
</t>
        </r>
      </text>
    </comment>
    <comment ref="F78" authorId="0" shapeId="0" xr:uid="{00000000-0006-0000-0100-00005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打氣球 400
新山燒肉 1260</t>
        </r>
      </text>
    </comment>
    <comment ref="H78" authorId="0" shapeId="0" xr:uid="{00000000-0006-0000-0100-00005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紀念品 400+400
飲料 110
燒餅 460
天文館半日遊 260(400)</t>
        </r>
      </text>
    </comment>
    <comment ref="M78" authorId="0" shapeId="0" xr:uid="{00000000-0006-0000-0100-00005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清邁大象 3114</t>
        </r>
      </text>
    </comment>
    <comment ref="F79" authorId="0" shapeId="0" xr:uid="{00000000-0006-0000-0100-00005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1" authorId="0" shapeId="0" xr:uid="{00000000-0006-0000-0100-00005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白板筆 174</t>
        </r>
      </text>
    </comment>
    <comment ref="M81" authorId="0" shapeId="0" xr:uid="{00000000-0006-0000-0100-00005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漱口水 1069</t>
        </r>
      </text>
    </comment>
    <comment ref="Q81" authorId="0" shapeId="0" xr:uid="{00000000-0006-0000-0100-00005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保費 40508</t>
        </r>
      </text>
    </comment>
    <comment ref="M85" authorId="0" shapeId="0" xr:uid="{00000000-0006-0000-0100-00005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葬壽司 890
HAMA壽司 840
上水璞石 1460(2211)</t>
        </r>
      </text>
    </comment>
    <comment ref="F86" authorId="0" shapeId="0" xr:uid="{00000000-0006-0000-0100-00005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剪髮400</t>
        </r>
      </text>
    </comment>
    <comment ref="M86" authorId="0" shapeId="0" xr:uid="{00000000-0006-0000-0100-00005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藍光眼鏡 2480</t>
        </r>
      </text>
    </comment>
    <comment ref="H87" authorId="0" shapeId="0" xr:uid="{00000000-0006-0000-0100-00005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378
電費 942
室話 61</t>
        </r>
      </text>
    </comment>
    <comment ref="M87" authorId="0" shapeId="0" xr:uid="{00000000-0006-0000-0100-00005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電池</t>
        </r>
        <r>
          <rPr>
            <sz val="9"/>
            <color indexed="81"/>
            <rFont val="Tahoma"/>
            <family val="2"/>
          </rPr>
          <t xml:space="preserve"> 250</t>
        </r>
      </text>
    </comment>
    <comment ref="Q87" authorId="0" shapeId="0" xr:uid="{00000000-0006-0000-0100-00005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房租 10500
電費 724</t>
        </r>
      </text>
    </comment>
    <comment ref="H88" authorId="0" shapeId="0" xr:uid="{00000000-0006-0000-0100-00005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 599
加油 1292</t>
        </r>
      </text>
    </comment>
    <comment ref="Q88" authorId="0" shapeId="0" xr:uid="{00000000-0006-0000-0100-00005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 597</t>
        </r>
      </text>
    </comment>
    <comment ref="F89" authorId="0" shapeId="0" xr:uid="{00000000-0006-0000-0100-00006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樂高差價 450</t>
        </r>
      </text>
    </comment>
    <comment ref="F90" authorId="0" shapeId="0" xr:uid="{00000000-0006-0000-0100-00006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手做課 900
TH保額 5000
</t>
        </r>
      </text>
    </comment>
    <comment ref="I90" authorId="0" shapeId="0" xr:uid="{00000000-0006-0000-0100-00006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打擊樂節</t>
        </r>
        <r>
          <rPr>
            <sz val="9"/>
            <color indexed="81"/>
            <rFont val="Tahoma"/>
            <family val="2"/>
          </rPr>
          <t xml:space="preserve"> 2720</t>
        </r>
      </text>
    </comment>
    <comment ref="F91" authorId="0" shapeId="0" xr:uid="{00000000-0006-0000-0100-00006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牙套</t>
        </r>
        <r>
          <rPr>
            <sz val="9"/>
            <color indexed="81"/>
            <rFont val="Tahoma"/>
            <family val="2"/>
          </rPr>
          <t>4000</t>
        </r>
      </text>
    </comment>
    <comment ref="O92" authorId="0" shapeId="0" xr:uid="{00000000-0006-0000-0100-00006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
Gerge jensen 12500</t>
        </r>
      </text>
    </comment>
    <comment ref="M93" authorId="0" shapeId="0" xr:uid="{00000000-0006-0000-0100-00006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短褲 1340
</t>
        </r>
      </text>
    </comment>
    <comment ref="O94" authorId="0" shapeId="0" xr:uid="{00000000-0006-0000-0100-00006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Sega 200
</t>
        </r>
      </text>
    </comment>
    <comment ref="O95" authorId="0" shapeId="0" xr:uid="{00000000-0006-0000-0100-00006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Sega 200
</t>
        </r>
      </text>
    </comment>
    <comment ref="Q96" authorId="0" shapeId="0" xr:uid="{00000000-0006-0000-0100-00006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母親節紅包 2000</t>
        </r>
      </text>
    </comment>
    <comment ref="F97" authorId="0" shapeId="0" xr:uid="{00000000-0006-0000-0100-00006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日本分期 10000
陸羽松 1250
香腸 360
宣原 1695</t>
        </r>
      </text>
    </comment>
    <comment ref="F98" authorId="0" shapeId="0" xr:uid="{00000000-0006-0000-0100-00006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康乃馨花 200
母親節蛋糕 483</t>
        </r>
      </text>
    </comment>
    <comment ref="I98" authorId="0" shapeId="0" xr:uid="{00000000-0006-0000-0100-00006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母親節下午茶 870
</t>
        </r>
      </text>
    </comment>
    <comment ref="M98" authorId="0" shapeId="0" xr:uid="{00000000-0006-0000-0100-00006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母親節聚餐 2477</t>
        </r>
      </text>
    </comment>
    <comment ref="H99" authorId="0" shapeId="0" xr:uid="{00000000-0006-0000-0100-00006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所得稅</t>
        </r>
        <r>
          <rPr>
            <sz val="9"/>
            <color indexed="81"/>
            <rFont val="Tahoma"/>
            <family val="2"/>
          </rPr>
          <t xml:space="preserve"> 302 (</t>
        </r>
        <r>
          <rPr>
            <sz val="9"/>
            <color indexed="81"/>
            <rFont val="細明體"/>
            <family val="3"/>
            <charset val="136"/>
          </rPr>
          <t>全盈</t>
        </r>
        <r>
          <rPr>
            <sz val="9"/>
            <color indexed="81"/>
            <rFont val="Tahoma"/>
            <family val="2"/>
          </rPr>
          <t xml:space="preserve">+giving)
</t>
        </r>
        <r>
          <rPr>
            <sz val="9"/>
            <color indexed="81"/>
            <rFont val="細明體"/>
            <family val="3"/>
            <charset val="136"/>
          </rPr>
          <t>房屋稅 7102</t>
        </r>
      </text>
    </comment>
    <comment ref="Q100" authorId="0" shapeId="0" xr:uid="{00000000-0006-0000-0100-00006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保費 40508</t>
        </r>
      </text>
    </comment>
    <comment ref="F101" authorId="0" shapeId="0" xr:uid="{00000000-0006-0000-0100-00006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所得稅</t>
        </r>
        <r>
          <rPr>
            <sz val="9"/>
            <color indexed="81"/>
            <rFont val="Tahoma"/>
            <family val="2"/>
          </rPr>
          <t xml:space="preserve"> 20001(</t>
        </r>
        <r>
          <rPr>
            <sz val="9"/>
            <color indexed="81"/>
            <rFont val="細明體"/>
            <family val="3"/>
            <charset val="136"/>
          </rPr>
          <t>悠游付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H101" authorId="0" shapeId="0" xr:uid="{00000000-0006-0000-0100-00007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</t>
        </r>
        <r>
          <rPr>
            <sz val="9"/>
            <color indexed="81"/>
            <rFont val="細明體"/>
            <family val="3"/>
            <charset val="136"/>
          </rPr>
          <t xml:space="preserve"> 118292
</t>
        </r>
      </text>
    </comment>
    <comment ref="F104" authorId="0" shapeId="0" xr:uid="{00000000-0006-0000-0100-00007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大稻埕貴賓 1351
</t>
        </r>
      </text>
    </comment>
    <comment ref="Q106" authorId="0" shapeId="0" xr:uid="{00000000-0006-0000-0100-00007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房租 10500
</t>
        </r>
      </text>
    </comment>
    <comment ref="I107" authorId="0" shapeId="0" xr:uid="{00000000-0006-0000-0100-00007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ETC 400</t>
        </r>
      </text>
    </comment>
    <comment ref="Q107" authorId="0" shapeId="0" xr:uid="{00000000-0006-0000-0100-00007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 599</t>
        </r>
      </text>
    </comment>
    <comment ref="F108" authorId="0" shapeId="0" xr:uid="{00000000-0006-0000-0100-00007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TH</t>
        </r>
        <r>
          <rPr>
            <sz val="9"/>
            <color indexed="81"/>
            <rFont val="細明體"/>
            <family val="3"/>
            <charset val="136"/>
          </rPr>
          <t>保額</t>
        </r>
        <r>
          <rPr>
            <sz val="9"/>
            <color indexed="81"/>
            <rFont val="Tahoma"/>
            <family val="2"/>
          </rPr>
          <t xml:space="preserve"> 3000
</t>
        </r>
        <r>
          <rPr>
            <sz val="9"/>
            <color indexed="81"/>
            <rFont val="細明體"/>
            <family val="3"/>
            <charset val="136"/>
          </rPr>
          <t>幼稚園保額 5000</t>
        </r>
      </text>
    </comment>
    <comment ref="F110" authorId="0" shapeId="0" xr:uid="{00000000-0006-0000-0100-00007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過敏藥 180</t>
        </r>
      </text>
    </comment>
    <comment ref="O111" authorId="0" shapeId="0" xr:uid="{00000000-0006-0000-0100-00007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gentle monster
</t>
        </r>
      </text>
    </comment>
    <comment ref="F116" authorId="0" shapeId="0" xr:uid="{00000000-0006-0000-0100-00007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日本分期 10000</t>
        </r>
      </text>
    </comment>
    <comment ref="I116" authorId="0" shapeId="0" xr:uid="{00000000-0006-0000-0100-00007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清邁網卡225(449)</t>
        </r>
      </text>
    </comment>
    <comment ref="M116" authorId="0" shapeId="0" xr:uid="{00000000-0006-0000-0100-00007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清邁機票
日本機票分期 10000
桃園機場接送(清邁) 600</t>
        </r>
      </text>
    </comment>
    <comment ref="H118" authorId="0" shapeId="0" xr:uid="{00000000-0006-0000-0100-00007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所得稅</t>
        </r>
        <r>
          <rPr>
            <sz val="9"/>
            <color indexed="81"/>
            <rFont val="Tahoma"/>
            <family val="2"/>
          </rPr>
          <t xml:space="preserve"> 30000(</t>
        </r>
        <r>
          <rPr>
            <sz val="9"/>
            <color indexed="81"/>
            <rFont val="細明體"/>
            <family val="3"/>
            <charset val="136"/>
          </rPr>
          <t>全盈+@gogo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H120" authorId="0" shapeId="0" xr:uid="{00000000-0006-0000-0100-00007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</t>
        </r>
        <r>
          <rPr>
            <sz val="9"/>
            <color indexed="81"/>
            <rFont val="細明體"/>
            <family val="3"/>
            <charset val="136"/>
          </rPr>
          <t xml:space="preserve"> 118292
</t>
        </r>
      </text>
    </comment>
    <comment ref="Q120" authorId="0" shapeId="0" xr:uid="{00000000-0006-0000-0100-00007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屏東土地罰金
</t>
        </r>
      </text>
    </comment>
    <comment ref="I123" authorId="0" shapeId="0" xr:uid="{00000000-0006-0000-0100-00007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雞胸肉 2425+2475</t>
        </r>
      </text>
    </comment>
    <comment ref="M123" authorId="0" shapeId="0" xr:uid="{00000000-0006-0000-0100-00007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小山甜點558(2169)
豆町村 2726
布納咖啡 1617</t>
        </r>
      </text>
    </comment>
    <comment ref="F124" authorId="0" shapeId="0" xr:uid="{00000000-0006-0000-0100-00008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兩小剪髮 600
</t>
        </r>
      </text>
    </comment>
    <comment ref="H125" authorId="0" shapeId="0" xr:uid="{00000000-0006-0000-0100-00008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家用網路 1767
電費 1046
水費 378</t>
        </r>
      </text>
    </comment>
    <comment ref="Q125" authorId="0" shapeId="0" xr:uid="{00000000-0006-0000-0100-00008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房租 10500
第四台 1500</t>
        </r>
      </text>
    </comment>
    <comment ref="F126" authorId="0" shapeId="0" xr:uid="{00000000-0006-0000-0100-00008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洗大頭照 200
攀岩 200
迪士尼 447</t>
        </r>
      </text>
    </comment>
    <comment ref="O126" authorId="0" shapeId="0" xr:uid="{00000000-0006-0000-0100-00008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游泳圈 698</t>
        </r>
      </text>
    </comment>
    <comment ref="F128" authorId="0" shapeId="0" xr:uid="{00000000-0006-0000-0100-00008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昆重營 5500
志清課後 8685
木柵國小網球營 3210
</t>
        </r>
      </text>
    </comment>
    <comment ref="M128" authorId="0" shapeId="0" xr:uid="{00000000-0006-0000-0100-00008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卓越盃報名 700</t>
        </r>
      </text>
    </comment>
    <comment ref="O128" authorId="0" shapeId="0" xr:uid="{00000000-0006-0000-0100-00008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Decathlon 1947</t>
        </r>
      </text>
    </comment>
    <comment ref="H129" authorId="0" shapeId="0" xr:uid="{00000000-0006-0000-0100-00008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勝克敏 900</t>
        </r>
      </text>
    </comment>
    <comment ref="F130" authorId="0" shapeId="0" xr:uid="{00000000-0006-0000-0100-00008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去硬皮 250
</t>
        </r>
      </text>
    </comment>
    <comment ref="H130" authorId="0" shapeId="0" xr:uid="{00000000-0006-0000-0100-00008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980</t>
        </r>
      </text>
    </comment>
    <comment ref="M130" authorId="0" shapeId="0" xr:uid="{00000000-0006-0000-0100-00008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防曬 439</t>
        </r>
      </text>
    </comment>
    <comment ref="O130" authorId="0" shapeId="0" xr:uid="{00000000-0006-0000-0100-00008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haagendaze</t>
        </r>
        <r>
          <rPr>
            <sz val="9"/>
            <color indexed="81"/>
            <rFont val="細明體"/>
            <family val="3"/>
            <charset val="136"/>
          </rPr>
          <t xml:space="preserve">生日蛋糕 1980+99
</t>
        </r>
      </text>
    </comment>
    <comment ref="F131" authorId="0" shapeId="0" xr:uid="{00000000-0006-0000-0100-00008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pandora</t>
        </r>
        <r>
          <rPr>
            <sz val="9"/>
            <color indexed="81"/>
            <rFont val="細明體"/>
            <family val="3"/>
            <charset val="136"/>
          </rPr>
          <t>修理 1300</t>
        </r>
      </text>
    </comment>
    <comment ref="H131" authorId="0" shapeId="0" xr:uid="{00000000-0006-0000-0100-00008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980
H&amp;M </t>
        </r>
        <r>
          <rPr>
            <sz val="9"/>
            <color indexed="81"/>
            <rFont val="細明體"/>
            <family val="3"/>
            <charset val="136"/>
          </rPr>
          <t>短褲</t>
        </r>
      </text>
    </comment>
    <comment ref="O131" authorId="0" shapeId="0" xr:uid="{00000000-0006-0000-0100-00008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590
</t>
        </r>
      </text>
    </comment>
    <comment ref="O132" authorId="0" shapeId="0" xr:uid="{00000000-0006-0000-0100-00009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380
</t>
        </r>
      </text>
    </comment>
    <comment ref="O133" authorId="0" shapeId="0" xr:uid="{00000000-0006-0000-0100-00009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380
</t>
        </r>
        <r>
          <rPr>
            <sz val="9"/>
            <color indexed="81"/>
            <rFont val="細明體"/>
            <family val="3"/>
            <charset val="136"/>
          </rPr>
          <t>旋風</t>
        </r>
        <r>
          <rPr>
            <sz val="9"/>
            <color indexed="81"/>
            <rFont val="Tahoma"/>
            <family val="2"/>
          </rPr>
          <t>spin 1190</t>
        </r>
      </text>
    </comment>
    <comment ref="F134" authorId="0" shapeId="0" xr:uid="{00000000-0006-0000-0100-00009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丁丁樂園 150
碰碰車 200
大新店游泳池 385</t>
        </r>
      </text>
    </comment>
    <comment ref="O134" authorId="0" shapeId="0" xr:uid="{00000000-0006-0000-0100-00009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日本購物</t>
        </r>
        <r>
          <rPr>
            <sz val="9"/>
            <color indexed="81"/>
            <rFont val="Tahoma"/>
            <family val="2"/>
          </rPr>
          <t>(Vicky</t>
        </r>
        <r>
          <rPr>
            <sz val="9"/>
            <color indexed="81"/>
            <rFont val="細明體"/>
            <family val="3"/>
            <charset val="136"/>
          </rPr>
          <t xml:space="preserve">日本行) 15000
</t>
        </r>
      </text>
    </comment>
    <comment ref="F135" authorId="0" shapeId="0" xr:uid="{00000000-0006-0000-0100-00009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日本分期 10000
裘兒艾克 2000+9700
泰簽分期 2400
大新店游泳池 760+385</t>
        </r>
      </text>
    </comment>
    <comment ref="H135" authorId="0" shapeId="0" xr:uid="{00000000-0006-0000-0100-00009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花蓮賞鯨</t>
        </r>
        <r>
          <rPr>
            <sz val="9"/>
            <color indexed="81"/>
            <rFont val="Tahoma"/>
            <family val="2"/>
          </rPr>
          <t xml:space="preserve">  1168
</t>
        </r>
        <r>
          <rPr>
            <sz val="9"/>
            <color indexed="81"/>
            <rFont val="細明體"/>
            <family val="3"/>
            <charset val="136"/>
          </rPr>
          <t>叢林飛索 1200+496</t>
        </r>
      </text>
    </comment>
    <comment ref="I135" authorId="0" shapeId="0" xr:uid="{00000000-0006-0000-0100-00009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曾記麻糬</t>
        </r>
        <r>
          <rPr>
            <sz val="9"/>
            <color indexed="81"/>
            <rFont val="Tahoma"/>
            <family val="2"/>
          </rPr>
          <t xml:space="preserve"> 691</t>
        </r>
      </text>
    </comment>
    <comment ref="M135" authorId="0" shapeId="0" xr:uid="{00000000-0006-0000-0100-00009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清邁機票
日本機票分期 10000
</t>
        </r>
      </text>
    </comment>
    <comment ref="O135" authorId="0" shapeId="0" xr:uid="{00000000-0006-0000-0100-00009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花蓮賞鯨 1048
</t>
        </r>
      </text>
    </comment>
    <comment ref="F136" authorId="0" shapeId="0" xr:uid="{00000000-0006-0000-0100-00009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金門王聚餐 2015</t>
        </r>
      </text>
    </comment>
    <comment ref="I136" authorId="0" shapeId="0" xr:uid="{00000000-0006-0000-0100-00009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極醬 3182</t>
        </r>
      </text>
    </comment>
    <comment ref="M136" authorId="0" shapeId="0" xr:uid="{00000000-0006-0000-0100-00009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原素食府 1217</t>
        </r>
      </text>
    </comment>
    <comment ref="H137" authorId="0" shapeId="0" xr:uid="{00000000-0006-0000-0100-00009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所得稅 29999
燃料稅 6180</t>
        </r>
      </text>
    </comment>
    <comment ref="F139" authorId="0" shapeId="0" xr:uid="{00000000-0006-0000-0100-00009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機車罰單 600
</t>
        </r>
      </text>
    </comment>
    <comment ref="H139" authorId="0" shapeId="0" xr:uid="{00000000-0006-0000-0100-00009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</t>
        </r>
        <r>
          <rPr>
            <sz val="9"/>
            <color indexed="81"/>
            <rFont val="細明體"/>
            <family val="3"/>
            <charset val="136"/>
          </rPr>
          <t xml:space="preserve"> 118292
</t>
        </r>
      </text>
    </comment>
    <comment ref="Q139" authorId="0" shapeId="0" xr:uid="{00000000-0006-0000-0100-00009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590
</t>
        </r>
      </text>
    </comment>
    <comment ref="H144" authorId="0" shapeId="0" xr:uid="{00000000-0006-0000-0100-0000A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中華電信 60
電費 1948
瓦斯費 459</t>
        </r>
      </text>
    </comment>
    <comment ref="O144" authorId="0" shapeId="0" xr:uid="{00000000-0006-0000-0100-0000A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牙菌斑液 245</t>
        </r>
      </text>
    </comment>
    <comment ref="Q144" authorId="0" shapeId="0" xr:uid="{00000000-0006-0000-0100-0000A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房租 10500
電費 1025
曉韋拜拜 2000</t>
        </r>
      </text>
    </comment>
    <comment ref="H145" authorId="0" shapeId="0" xr:uid="{00000000-0006-0000-0100-0000A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手機膜 117
台灣之星 616</t>
        </r>
      </text>
    </comment>
    <comment ref="M145" authorId="0" shapeId="0" xr:uid="{00000000-0006-0000-0100-0000A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機車雨衣 389
手機架 176
強制險 1059</t>
        </r>
      </text>
    </comment>
    <comment ref="Q145" authorId="0" shapeId="0" xr:uid="{00000000-0006-0000-0100-0000A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亞太 596</t>
        </r>
      </text>
    </comment>
    <comment ref="F146" authorId="0" shapeId="0" xr:uid="{00000000-0006-0000-0100-0000A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大班學費 48495</t>
        </r>
      </text>
    </comment>
    <comment ref="F147" authorId="0" shapeId="0" xr:uid="{00000000-0006-0000-0100-0000A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eye</t>
        </r>
        <r>
          <rPr>
            <sz val="9"/>
            <color indexed="81"/>
            <rFont val="細明體"/>
            <family val="3"/>
            <charset val="136"/>
          </rPr>
          <t>上大自然 7860
打鼓課 18000/26堂
昆蟲產房 580</t>
        </r>
      </text>
    </comment>
    <comment ref="F148" authorId="0" shapeId="0" xr:uid="{00000000-0006-0000-0100-0000A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翰看醫生</t>
        </r>
      </text>
    </comment>
    <comment ref="M149" authorId="0" shapeId="0" xr:uid="{00000000-0006-0000-0100-0000A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AF 2410</t>
        </r>
      </text>
    </comment>
    <comment ref="O149" authorId="0" shapeId="0" xr:uid="{00000000-0006-0000-0100-0000A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NIKE</t>
        </r>
        <r>
          <rPr>
            <sz val="9"/>
            <color indexed="81"/>
            <rFont val="細明體"/>
            <family val="3"/>
            <charset val="136"/>
          </rPr>
          <t xml:space="preserve">鞋
</t>
        </r>
      </text>
    </comment>
    <comment ref="O150" authorId="0" shapeId="0" xr:uid="{00000000-0006-0000-0100-0000A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NIKE</t>
        </r>
        <r>
          <rPr>
            <sz val="9"/>
            <color indexed="81"/>
            <rFont val="細明體"/>
            <family val="3"/>
            <charset val="136"/>
          </rPr>
          <t xml:space="preserve">鞋
</t>
        </r>
      </text>
    </comment>
    <comment ref="M151" authorId="0" shapeId="0" xr:uid="{00000000-0006-0000-0100-0000A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AF 1200
</t>
        </r>
      </text>
    </comment>
    <comment ref="O151" authorId="0" shapeId="0" xr:uid="{00000000-0006-0000-0100-0000A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NIKE</t>
        </r>
        <r>
          <rPr>
            <sz val="9"/>
            <color indexed="81"/>
            <rFont val="細明體"/>
            <family val="3"/>
            <charset val="136"/>
          </rPr>
          <t xml:space="preserve">鞋
</t>
        </r>
      </text>
    </comment>
    <comment ref="M153" authorId="0" shapeId="0" xr:uid="{00000000-0006-0000-0100-0000A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SAGA 200
</t>
        </r>
      </text>
    </comment>
    <comment ref="O153" authorId="0" shapeId="0" xr:uid="{00000000-0006-0000-0100-0000A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日本購物</t>
        </r>
        <r>
          <rPr>
            <sz val="9"/>
            <color indexed="81"/>
            <rFont val="Tahoma"/>
            <family val="2"/>
          </rPr>
          <t>(Vicky</t>
        </r>
        <r>
          <rPr>
            <sz val="9"/>
            <color indexed="81"/>
            <rFont val="細明體"/>
            <family val="3"/>
            <charset val="136"/>
          </rPr>
          <t xml:space="preserve">日本行) 15000
</t>
        </r>
      </text>
    </comment>
    <comment ref="F154" authorId="0" shapeId="0" xr:uid="{00000000-0006-0000-0100-0000B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泰簽分期</t>
        </r>
        <r>
          <rPr>
            <sz val="9"/>
            <color indexed="81"/>
            <rFont val="Tahoma"/>
            <family val="2"/>
          </rPr>
          <t xml:space="preserve"> 2400
</t>
        </r>
        <r>
          <rPr>
            <sz val="9"/>
            <color indexed="81"/>
            <rFont val="細明體"/>
            <family val="3"/>
            <charset val="136"/>
          </rPr>
          <t>飛索 3730+496+1200
換泰銖 17952</t>
        </r>
      </text>
    </comment>
    <comment ref="H154" authorId="0" shapeId="0" xr:uid="{00000000-0006-0000-0100-0000B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手套 120
清邁機場接送 348
ZIRA SPA</t>
        </r>
      </text>
    </comment>
    <comment ref="M154" authorId="0" shapeId="0" xr:uid="{00000000-0006-0000-0100-0000B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清邁機票分期 5532
清邁住宿估計 6875
花連Piatto 1100
</t>
        </r>
      </text>
    </comment>
    <comment ref="O154" authorId="0" shapeId="0" xr:uid="{00000000-0006-0000-0100-0000B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清邁夜間動物園門票 1527</t>
        </r>
      </text>
    </comment>
    <comment ref="F155" authorId="0" shapeId="0" xr:uid="{00000000-0006-0000-0100-0000B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紅葉蛋糕 780</t>
        </r>
      </text>
    </comment>
    <comment ref="H156" authorId="0" shapeId="0" xr:uid="{00000000-0006-0000-0100-0000B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所得稅 19001
勞健保 5409</t>
        </r>
      </text>
    </comment>
    <comment ref="H158" authorId="0" shapeId="0" xr:uid="{00000000-0006-0000-0100-0000B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</t>
        </r>
        <r>
          <rPr>
            <sz val="9"/>
            <color indexed="81"/>
            <rFont val="細明體"/>
            <family val="3"/>
            <charset val="136"/>
          </rPr>
          <t xml:space="preserve"> 118292
</t>
        </r>
      </text>
    </comment>
    <comment ref="Q158" authorId="0" shapeId="0" xr:uid="{00000000-0006-0000-0100-0000B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NIKE</t>
        </r>
        <r>
          <rPr>
            <sz val="9"/>
            <color indexed="81"/>
            <rFont val="細明體"/>
            <family val="3"/>
            <charset val="136"/>
          </rPr>
          <t>鞋</t>
        </r>
      </text>
    </comment>
    <comment ref="F159" authorId="0" shapeId="0" xr:uid="{00000000-0006-0000-0100-0000B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學費與RF</t>
        </r>
      </text>
    </comment>
    <comment ref="F162" authorId="0" shapeId="0" xr:uid="{00000000-0006-0000-0100-0000B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男子組剪髮 1000</t>
        </r>
      </text>
    </comment>
    <comment ref="F163" authorId="0" shapeId="0" xr:uid="{00000000-0006-0000-0100-0000B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修熱水器 1200</t>
        </r>
      </text>
    </comment>
    <comment ref="H163" authorId="0" shapeId="0" xr:uid="{00000000-0006-0000-0100-0000B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 600</t>
        </r>
      </text>
    </comment>
    <comment ref="Q163" authorId="0" shapeId="0" xr:uid="{00000000-0006-0000-0100-0000B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房租 10500
</t>
        </r>
      </text>
    </comment>
    <comment ref="H164" authorId="0" shapeId="0" xr:uid="{00000000-0006-0000-0100-0000B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</t>
        </r>
        <r>
          <rPr>
            <sz val="9"/>
            <color indexed="81"/>
            <rFont val="細明體"/>
            <family val="3"/>
            <charset val="136"/>
          </rPr>
          <t xml:space="preserve">保養 455
雨衣 490
</t>
        </r>
      </text>
    </comment>
    <comment ref="O164" authorId="0" shapeId="0" xr:uid="{00000000-0006-0000-0100-0000B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藍波保養 21000
</t>
        </r>
      </text>
    </comment>
    <comment ref="F166" authorId="0" shapeId="0" xr:uid="{00000000-0006-0000-0100-0000B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破銅爛鐵 3840
TH-7 29650
何嘉仁才藝課(樂高/科學/圍棋) 22250
科學課 5867
網球社團 2243
吉他 800</t>
        </r>
      </text>
    </comment>
    <comment ref="F167" authorId="0" shapeId="0" xr:uid="{00000000-0006-0000-0100-0000C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8" authorId="0" shapeId="0" xr:uid="{00000000-0006-0000-0100-0000C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牙齒打釘子 2000</t>
        </r>
      </text>
    </comment>
    <comment ref="H168" authorId="0" shapeId="0" xr:uid="{00000000-0006-0000-0100-0000C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髮夾 54</t>
        </r>
      </text>
    </comment>
    <comment ref="O172" authorId="0" shapeId="0" xr:uid="{00000000-0006-0000-0100-0000C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日本購物</t>
        </r>
        <r>
          <rPr>
            <sz val="9"/>
            <color indexed="81"/>
            <rFont val="Tahoma"/>
            <family val="2"/>
          </rPr>
          <t>(Vicky</t>
        </r>
        <r>
          <rPr>
            <sz val="9"/>
            <color indexed="81"/>
            <rFont val="細明體"/>
            <family val="3"/>
            <charset val="136"/>
          </rPr>
          <t>日本行) 15000
US分期 5000/20000</t>
        </r>
      </text>
    </comment>
    <comment ref="H175" authorId="0" shapeId="0" xr:uid="{00000000-0006-0000-0100-0000C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健保費</t>
        </r>
        <r>
          <rPr>
            <sz val="9"/>
            <color indexed="81"/>
            <rFont val="Tahoma"/>
            <family val="2"/>
          </rPr>
          <t xml:space="preserve"> 3384</t>
        </r>
      </text>
    </comment>
    <comment ref="H176" authorId="0" shapeId="0" xr:uid="{00000000-0006-0000-0100-0000C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勞保費 2020</t>
        </r>
      </text>
    </comment>
    <comment ref="H177" authorId="0" shapeId="0" xr:uid="{00000000-0006-0000-0100-0000C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</t>
        </r>
        <r>
          <rPr>
            <sz val="9"/>
            <color indexed="81"/>
            <rFont val="細明體"/>
            <family val="3"/>
            <charset val="136"/>
          </rPr>
          <t xml:space="preserve"> 118292
</t>
        </r>
      </text>
    </comment>
    <comment ref="F182" authorId="0" shapeId="0" xr:uid="{00000000-0006-0000-0100-0000C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昆蟲食物+水苔 360
</t>
        </r>
      </text>
    </comment>
    <comment ref="H182" authorId="0" shapeId="0" xr:uid="{00000000-0006-0000-0100-0000C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瓦斯費 298</t>
        </r>
      </text>
    </comment>
    <comment ref="O182" authorId="0" shapeId="0" xr:uid="{00000000-0006-0000-0100-0000C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網路 1750</t>
        </r>
      </text>
    </comment>
    <comment ref="Q182" authorId="0" shapeId="0" xr:uid="{00000000-0006-0000-0100-0000C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房租 10500
水費 892
第四台 1500</t>
        </r>
      </text>
    </comment>
    <comment ref="I183" authorId="0" shapeId="0" xr:uid="{00000000-0006-0000-0100-0000C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台灣之星手機費 599</t>
        </r>
      </text>
    </comment>
    <comment ref="O183" authorId="0" shapeId="0" xr:uid="{00000000-0006-0000-0100-0000C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藍波保養 10000</t>
        </r>
      </text>
    </comment>
    <comment ref="F184" authorId="0" shapeId="0" xr:uid="{00000000-0006-0000-0100-0000C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翰志清學費 1600+3465</t>
        </r>
      </text>
    </comment>
    <comment ref="H184" authorId="0" shapeId="0" xr:uid="{00000000-0006-0000-0100-0000C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翰志清學費 1600+3465</t>
        </r>
      </text>
    </comment>
    <comment ref="F187" authorId="0" shapeId="0" xr:uid="{00000000-0006-0000-0100-0000C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罰單</t>
        </r>
      </text>
    </comment>
    <comment ref="O188" authorId="0" shapeId="0" xr:uid="{00000000-0006-0000-0100-0000D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七龍珠公仔
Covernant衣服 1450
</t>
        </r>
      </text>
    </comment>
    <comment ref="F189" authorId="0" shapeId="0" xr:uid="{00000000-0006-0000-0100-0000D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卡牌</t>
        </r>
      </text>
    </comment>
    <comment ref="O189" authorId="0" shapeId="0" xr:uid="{00000000-0006-0000-0100-0000D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七龍珠公仔
GU衣服 500</t>
        </r>
      </text>
    </comment>
    <comment ref="F190" authorId="0" shapeId="0" xr:uid="{00000000-0006-0000-0100-0000D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卡牌</t>
        </r>
      </text>
    </comment>
    <comment ref="O190" authorId="0" shapeId="0" xr:uid="{00000000-0006-0000-0100-0000D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七龍珠公仔</t>
        </r>
      </text>
    </comment>
    <comment ref="F191" authorId="0" shapeId="0" xr:uid="{00000000-0006-0000-0100-0000D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昆蟲館住宿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 xml:space="preserve">做標本 400
</t>
        </r>
      </text>
    </comment>
    <comment ref="O191" authorId="0" shapeId="0" xr:uid="{00000000-0006-0000-0100-0000D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US分期 5000/20000</t>
        </r>
      </text>
    </comment>
    <comment ref="F192" authorId="0" shapeId="0" xr:uid="{00000000-0006-0000-0100-0000D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釜山</t>
        </r>
        <r>
          <rPr>
            <sz val="9"/>
            <color indexed="81"/>
            <rFont val="Tahoma"/>
            <family val="2"/>
          </rPr>
          <t>pass 5948</t>
        </r>
      </text>
    </comment>
    <comment ref="H192" authorId="0" shapeId="0" xr:uid="{00000000-0006-0000-0100-0000D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釜山機票</t>
        </r>
        <r>
          <rPr>
            <sz val="9"/>
            <color indexed="81"/>
            <rFont val="Tahoma"/>
            <family val="2"/>
          </rPr>
          <t xml:space="preserve"> 27460
</t>
        </r>
        <r>
          <rPr>
            <sz val="9"/>
            <color indexed="81"/>
            <rFont val="細明體"/>
            <family val="3"/>
            <charset val="136"/>
          </rPr>
          <t>韓國暢遊券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機場接送 866+1629
天空膠囊 1451
sealife 2464
住宿 26618</t>
        </r>
      </text>
    </comment>
    <comment ref="I192" authorId="0" shapeId="0" xr:uid="{00000000-0006-0000-0100-0000D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DJB</t>
        </r>
        <r>
          <rPr>
            <sz val="9"/>
            <color indexed="81"/>
            <rFont val="細明體"/>
            <family val="3"/>
            <charset val="136"/>
          </rPr>
          <t xml:space="preserve">網卡 620*2+130
</t>
        </r>
      </text>
    </comment>
    <comment ref="J192" authorId="0" shapeId="0" xr:uid="{00000000-0006-0000-0100-0000D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保險 576</t>
        </r>
      </text>
    </comment>
    <comment ref="M192" authorId="0" shapeId="0" xr:uid="{00000000-0006-0000-0100-0000D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釜山機票 27460
機場接送加時 200
</t>
        </r>
      </text>
    </comment>
    <comment ref="H193" authorId="0" shapeId="0" xr:uid="{00000000-0006-0000-0100-0000D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衡生日蛋糕 1150</t>
        </r>
      </text>
    </comment>
    <comment ref="Q193" authorId="0" shapeId="0" xr:uid="{00000000-0006-0000-0100-0000D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小阿姨來台北聚餐 2000
</t>
        </r>
      </text>
    </comment>
    <comment ref="H194" authorId="0" shapeId="0" xr:uid="{00000000-0006-0000-0100-0000D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健保費</t>
        </r>
        <r>
          <rPr>
            <sz val="9"/>
            <color indexed="81"/>
            <rFont val="Tahoma"/>
            <family val="2"/>
          </rPr>
          <t xml:space="preserve"> 3389</t>
        </r>
      </text>
    </comment>
    <comment ref="H201" authorId="0" shapeId="0" xr:uid="{00000000-0006-0000-0100-0000D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375
電費 2130
中華電信 605</t>
        </r>
      </text>
    </comment>
    <comment ref="I201" authorId="0" shapeId="0" xr:uid="{00000000-0006-0000-0100-0000E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</t>
        </r>
        <r>
          <rPr>
            <sz val="9"/>
            <color indexed="81"/>
            <rFont val="Tahoma"/>
            <family val="2"/>
          </rPr>
          <t xml:space="preserve"> 600</t>
        </r>
      </text>
    </comment>
    <comment ref="Q201" authorId="0" shapeId="0" xr:uid="{00000000-0006-0000-0100-0000E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房租 10500
亞太 596+596
電費 863
</t>
        </r>
      </text>
    </comment>
    <comment ref="M203" authorId="0" shapeId="0" xr:uid="{00000000-0006-0000-0100-0000E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給小學生看的</t>
        </r>
        <r>
          <rPr>
            <sz val="9"/>
            <color indexed="81"/>
            <rFont val="Tahoma"/>
            <family val="2"/>
          </rPr>
          <t>AI</t>
        </r>
        <r>
          <rPr>
            <sz val="9"/>
            <color indexed="81"/>
            <rFont val="細明體"/>
            <family val="3"/>
            <charset val="136"/>
          </rPr>
          <t>課 306</t>
        </r>
      </text>
    </comment>
    <comment ref="F204" authorId="0" shapeId="0" xr:uid="{00000000-0006-0000-0100-0000E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翰吉他課 6400
stand 780</t>
        </r>
      </text>
    </comment>
    <comment ref="O207" authorId="0" shapeId="0" xr:uid="{00000000-0006-0000-0100-0000E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</t>
        </r>
      </text>
    </comment>
    <comment ref="O208" authorId="0" shapeId="0" xr:uid="{00000000-0006-0000-0100-0000E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</t>
        </r>
        <r>
          <rPr>
            <sz val="9"/>
            <color indexed="81"/>
            <rFont val="細明體"/>
            <family val="3"/>
            <charset val="136"/>
          </rPr>
          <t xml:space="preserve">發熱內衣
</t>
        </r>
      </text>
    </comment>
    <comment ref="F210" authorId="0" shapeId="0" xr:uid="{00000000-0006-0000-0100-0000E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DHL 760</t>
        </r>
      </text>
    </comment>
    <comment ref="O210" authorId="0" shapeId="0" xr:uid="{00000000-0006-0000-0100-0000E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US分期 5000/20000</t>
        </r>
      </text>
    </comment>
    <comment ref="F211" authorId="0" shapeId="0" xr:uid="{00000000-0006-0000-0100-0000E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伴手禮 2100</t>
        </r>
      </text>
    </comment>
    <comment ref="L211" authorId="0" shapeId="0" xr:uid="{00000000-0006-0000-0100-0000E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 xml:space="preserve">馬祖行機票 14366
</t>
        </r>
      </text>
    </comment>
    <comment ref="H212" authorId="0" shapeId="0" xr:uid="{00000000-0006-0000-0100-0000E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嗎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細明體"/>
            <family val="3"/>
            <charset val="136"/>
          </rPr>
          <t>青 慶生 2793
蛋糕 779</t>
        </r>
      </text>
    </comment>
    <comment ref="H213" authorId="0" shapeId="0" xr:uid="{00000000-0006-0000-0100-0000E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健保費</t>
        </r>
        <r>
          <rPr>
            <sz val="9"/>
            <color indexed="81"/>
            <rFont val="Tahoma"/>
            <family val="2"/>
          </rPr>
          <t xml:space="preserve"> 3384
</t>
        </r>
        <r>
          <rPr>
            <sz val="9"/>
            <color indexed="81"/>
            <rFont val="細明體"/>
            <family val="3"/>
            <charset val="136"/>
          </rPr>
          <t>地價稅 1954</t>
        </r>
      </text>
    </comment>
    <comment ref="H214" authorId="0" shapeId="0" xr:uid="{00000000-0006-0000-0100-0000E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車險分期 5861
</t>
        </r>
      </text>
    </comment>
    <comment ref="M214" authorId="0" shapeId="0" xr:uid="{00000000-0006-0000-0100-0000E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兩小保險</t>
        </r>
        <r>
          <rPr>
            <sz val="9"/>
            <color indexed="81"/>
            <rFont val="Tahoma"/>
            <family val="2"/>
          </rPr>
          <t xml:space="preserve"> 2959*2</t>
        </r>
      </text>
    </comment>
    <comment ref="H220" authorId="0" shapeId="0" xr:uid="{00000000-0006-0000-0100-0000E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市話 280
台灣之星 599
中華電話費 603
電費 1091
第四台 1756</t>
        </r>
      </text>
    </comment>
    <comment ref="Q220" authorId="0" shapeId="0" xr:uid="{00000000-0006-0000-0100-0000E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房租 10500
水費 445</t>
        </r>
      </text>
    </comment>
    <comment ref="F222" authorId="0" shapeId="0" xr:uid="{00000000-0006-0000-0100-0000F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 xml:space="preserve">幼兒園保額 5000
</t>
        </r>
      </text>
    </comment>
    <comment ref="M222" authorId="0" shapeId="0" xr:uid="{00000000-0006-0000-0100-0000F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螢光筆 75</t>
        </r>
      </text>
    </comment>
    <comment ref="F223" authorId="0" shapeId="0" xr:uid="{00000000-0006-0000-0100-0000F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科學課 5867</t>
        </r>
      </text>
    </comment>
    <comment ref="H224" authorId="0" shapeId="0" xr:uid="{00000000-0006-0000-0100-0000F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勝克敏液 450
</t>
        </r>
      </text>
    </comment>
    <comment ref="M225" authorId="0" shapeId="0" xr:uid="{00000000-0006-0000-0100-0000F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聖誕禮物 637</t>
        </r>
      </text>
    </comment>
    <comment ref="Q225" authorId="0" shapeId="0" xr:uid="{00000000-0006-0000-0100-0000F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爸內衣 590*4</t>
        </r>
      </text>
    </comment>
    <comment ref="O226" authorId="0" shapeId="0" xr:uid="{00000000-0006-0000-0100-0000F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降落傘褲 1290</t>
        </r>
      </text>
    </comment>
    <comment ref="F229" authorId="0" shapeId="0" xr:uid="{00000000-0006-0000-0100-0000F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爬爬客 720</t>
        </r>
      </text>
    </comment>
    <comment ref="O229" authorId="0" shapeId="0" xr:uid="{00000000-0006-0000-0100-0000F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US分期 5000/20000</t>
        </r>
      </text>
    </comment>
    <comment ref="F231" authorId="0" shapeId="0" xr:uid="{00000000-0006-0000-0100-0000F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國王派 440</t>
        </r>
      </text>
    </comment>
    <comment ref="M231" authorId="0" shapeId="0" xr:uid="{00000000-0006-0000-0100-0000F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聖誕聚餐 1221
</t>
        </r>
      </text>
    </comment>
    <comment ref="H233" authorId="0" shapeId="0" xr:uid="{00000000-0006-0000-0100-0000F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車險分期 6000
</t>
        </r>
      </text>
    </comment>
    <comment ref="Q233" authorId="0" shapeId="0" xr:uid="{00000000-0006-0000-0100-0000F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國泰保險分期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丁純蘭</author>
  </authors>
  <commentList>
    <comment ref="F2" authorId="0" shapeId="0" xr:uid="{00000000-0006-0000-0200-00000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iphone14</t>
        </r>
        <r>
          <rPr>
            <sz val="9"/>
            <color indexed="81"/>
            <rFont val="細明體"/>
            <family val="3"/>
            <charset val="136"/>
          </rPr>
          <t xml:space="preserve"> 34800+2000
</t>
        </r>
      </text>
    </comment>
    <comment ref="F3" authorId="0" shapeId="0" xr:uid="{00000000-0006-0000-0200-00000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衡學費 45465
列印 66</t>
        </r>
      </text>
    </comment>
    <comment ref="Q10" authorId="0" shapeId="0" xr:uid="{00000000-0006-0000-0200-00000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朝慶爸衣服 1700</t>
        </r>
      </text>
    </comment>
    <comment ref="F11" authorId="0" shapeId="0" xr:uid="{00000000-0006-0000-0200-00000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大安文山 1767
水費 347</t>
        </r>
      </text>
    </comment>
    <comment ref="H11" authorId="0" shapeId="0" xr:uid="{00000000-0006-0000-0200-00000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1270</t>
        </r>
      </text>
    </comment>
    <comment ref="Q11" authorId="0" shapeId="0" xr:uid="{00000000-0006-0000-0200-00000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社宅租金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押金</t>
        </r>
        <r>
          <rPr>
            <sz val="9"/>
            <color indexed="81"/>
            <rFont val="Tahoma"/>
            <family val="2"/>
          </rPr>
          <t xml:space="preserve"> 9374*2+15
</t>
        </r>
        <r>
          <rPr>
            <sz val="9"/>
            <color indexed="81"/>
            <rFont val="細明體"/>
            <family val="3"/>
            <charset val="136"/>
          </rPr>
          <t>押金沒收 11000
冰箱 6990/3
第四台移機 800
電費 1169
第四台費用 1500</t>
        </r>
      </text>
    </comment>
    <comment ref="G12" authorId="0" shapeId="0" xr:uid="{00000000-0006-0000-0200-00000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汽車鍍膜+洗車 12998</t>
        </r>
      </text>
    </comment>
    <comment ref="H12" authorId="0" shapeId="0" xr:uid="{00000000-0006-0000-0200-00000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Etag </t>
        </r>
        <r>
          <rPr>
            <sz val="9"/>
            <color indexed="81"/>
            <rFont val="細明體"/>
            <family val="3"/>
            <charset val="136"/>
          </rPr>
          <t xml:space="preserve">自動儲值 400
</t>
        </r>
      </text>
    </comment>
    <comment ref="M12" authorId="0" shapeId="0" xr:uid="{00000000-0006-0000-0200-00000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台灣大哥大電話費 1310
gogoro 529</t>
        </r>
      </text>
    </comment>
    <comment ref="F13" authorId="0" shapeId="0" xr:uid="{00000000-0006-0000-0200-00000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1.2</t>
        </r>
        <r>
          <rPr>
            <sz val="9"/>
            <color indexed="81"/>
            <rFont val="細明體"/>
            <family val="3"/>
            <charset val="136"/>
          </rPr>
          <t xml:space="preserve">月安親月費 15000
安親保額 3000*2
英文保額 5000*2
</t>
        </r>
      </text>
    </comment>
    <comment ref="F14" authorId="0" shapeId="0" xr:uid="{00000000-0006-0000-0200-00000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網球拍 5000
冬令營 1995+1728</t>
        </r>
      </text>
    </comment>
    <comment ref="F21" authorId="0" shapeId="0" xr:uid="{00000000-0006-0000-0200-00000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海豚搬宜蘭出遊訂金 4240
異想新世界 2031
</t>
        </r>
      </text>
    </comment>
    <comment ref="J21" authorId="0" shapeId="0" xr:uid="{00000000-0006-0000-0200-00000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1/27</t>
        </r>
        <r>
          <rPr>
            <sz val="9"/>
            <color indexed="81"/>
            <rFont val="細明體"/>
            <family val="3"/>
            <charset val="136"/>
          </rPr>
          <t>住宿 8686*+2998*=11684
1/28住宿 12060
1/29住宿 3982*+6709*+8100=18791
未付20160
已付22375
共42535</t>
        </r>
      </text>
    </comment>
    <comment ref="P21" authorId="0" shapeId="0" xr:uid="{00000000-0006-0000-0200-00000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藏壽司 610</t>
        </r>
      </text>
    </comment>
    <comment ref="Q25" authorId="0" shapeId="0" xr:uid="{00000000-0006-0000-0200-00000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朝慶爸媽過年紅包 12000*2-3600*4
</t>
        </r>
      </text>
    </comment>
    <comment ref="I30" authorId="0" shapeId="0" xr:uid="{00000000-0006-0000-0200-00001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1051</t>
        </r>
      </text>
    </comment>
    <comment ref="Q30" authorId="0" shapeId="0" xr:uid="{00000000-0006-0000-0200-00001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冰箱</t>
        </r>
        <r>
          <rPr>
            <sz val="9"/>
            <color indexed="81"/>
            <rFont val="Tahoma"/>
            <family val="2"/>
          </rPr>
          <t xml:space="preserve"> 6990/3</t>
        </r>
      </text>
    </comment>
    <comment ref="Q31" authorId="0" shapeId="0" xr:uid="{00000000-0006-0000-0200-00001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立榮機票 981</t>
        </r>
      </text>
    </comment>
    <comment ref="F32" authorId="0" shapeId="0" xr:uid="{00000000-0006-0000-0200-00001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衡英文</t>
        </r>
      </text>
    </comment>
    <comment ref="I33" authorId="0" shapeId="0" xr:uid="{00000000-0006-0000-0200-00001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社團 2857
科學 5867</t>
        </r>
      </text>
    </comment>
    <comment ref="M35" authorId="0" shapeId="0" xr:uid="{00000000-0006-0000-0200-00001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看電影(美國隊長) 671</t>
        </r>
      </text>
    </comment>
    <comment ref="O39" authorId="0" shapeId="0" xr:uid="{00000000-0006-0000-0200-00001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浴袍 512</t>
        </r>
      </text>
    </comment>
    <comment ref="F40" authorId="0" shapeId="0" xr:uid="{00000000-0006-0000-0200-00001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浮潛面鏡+防曬褲+防水包 2658
換匯 1200*32.8</t>
        </r>
      </text>
    </comment>
    <comment ref="H40" authorId="0" shapeId="0" xr:uid="{00000000-0006-0000-0200-00001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宿霧住宿 3575+57
</t>
        </r>
      </text>
    </comment>
    <comment ref="I40" authorId="0" shapeId="0" xr:uid="{00000000-0006-0000-0200-00001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簽證 1350
機場接送 600
網路 796
超市購物 3168</t>
        </r>
      </text>
    </comment>
    <comment ref="M40" authorId="0" shapeId="0" xr:uid="{00000000-0006-0000-0200-00001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簽證</t>
        </r>
        <r>
          <rPr>
            <sz val="9"/>
            <color indexed="81"/>
            <rFont val="Tahoma"/>
            <family val="2"/>
          </rPr>
          <t xml:space="preserve">1250+1250+1234
</t>
        </r>
        <r>
          <rPr>
            <sz val="9"/>
            <color indexed="81"/>
            <rFont val="細明體"/>
            <family val="3"/>
            <charset val="136"/>
          </rPr>
          <t>機票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手續費</t>
        </r>
        <r>
          <rPr>
            <sz val="9"/>
            <color indexed="81"/>
            <rFont val="Tahoma"/>
            <family val="2"/>
          </rPr>
          <t>26734+401
OceanJet</t>
        </r>
        <r>
          <rPr>
            <sz val="9"/>
            <color indexed="81"/>
            <rFont val="細明體"/>
            <family val="3"/>
            <charset val="136"/>
          </rPr>
          <t>船票 1236*2
住宿 7617+4219
防水殼 959
變壓器 490</t>
        </r>
      </text>
    </comment>
    <comment ref="F44" authorId="0" shapeId="0" xr:uid="{00000000-0006-0000-0200-00001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同事彌月禮 600</t>
        </r>
      </text>
    </comment>
    <comment ref="I47" authorId="0" shapeId="0" xr:uid="{00000000-0006-0000-0200-00001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法朋 880</t>
        </r>
      </text>
    </comment>
    <comment ref="F49" authorId="0" shapeId="0" xr:uid="{00000000-0006-0000-0200-00001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417</t>
        </r>
      </text>
    </comment>
    <comment ref="H49" authorId="0" shapeId="0" xr:uid="{00000000-0006-0000-0200-00001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瓦斯費 324</t>
        </r>
      </text>
    </comment>
    <comment ref="Q49" authorId="0" shapeId="0" xr:uid="{00000000-0006-0000-0200-00001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冰箱</t>
        </r>
        <r>
          <rPr>
            <sz val="9"/>
            <color indexed="81"/>
            <rFont val="Tahoma"/>
            <family val="2"/>
          </rPr>
          <t xml:space="preserve"> 6990/3</t>
        </r>
      </text>
    </comment>
    <comment ref="F51" authorId="0" shapeId="0" xr:uid="{00000000-0006-0000-0200-00002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翰英文 31100
Size5籃球  400
營養午餐費用 4614+1471</t>
        </r>
      </text>
    </comment>
    <comment ref="G51" authorId="0" shapeId="0" xr:uid="{00000000-0006-0000-0200-00002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蝦皮文具</t>
        </r>
        <r>
          <rPr>
            <sz val="9"/>
            <color indexed="81"/>
            <rFont val="Tahoma"/>
            <family val="2"/>
          </rPr>
          <t xml:space="preserve"> 264</t>
        </r>
      </text>
    </comment>
    <comment ref="I51" authorId="0" shapeId="0" xr:uid="{00000000-0006-0000-0200-00002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翰衡學費 1472+1531
</t>
        </r>
      </text>
    </comment>
    <comment ref="F52" authorId="0" shapeId="0" xr:uid="{00000000-0006-0000-0200-00002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陳安如 8000
游泳試上 450
衡打鼓 18000</t>
        </r>
      </text>
    </comment>
    <comment ref="M57" authorId="0" shapeId="0" xr:uid="{00000000-0006-0000-0200-00002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</t>
        </r>
        <r>
          <rPr>
            <sz val="9"/>
            <color indexed="81"/>
            <rFont val="細明體"/>
            <family val="3"/>
            <charset val="136"/>
          </rPr>
          <t xml:space="preserve">幣
</t>
        </r>
      </text>
    </comment>
    <comment ref="I59" authorId="0" shapeId="0" xr:uid="{00000000-0006-0000-0200-00002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星宇世界卡 3000</t>
        </r>
      </text>
    </comment>
    <comment ref="I60" authorId="0" shapeId="0" xr:uid="{00000000-0006-0000-0200-00002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翰生日蛋糕 880
</t>
        </r>
      </text>
    </comment>
    <comment ref="Q63" authorId="0" shapeId="0" xr:uid="{00000000-0006-0000-0200-00002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拜小韋 3000
</t>
        </r>
      </text>
    </comment>
    <comment ref="F68" authorId="0" shapeId="0" xr:uid="{00000000-0006-0000-0200-00002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電費 821
</t>
        </r>
      </text>
    </comment>
    <comment ref="H68" authorId="0" shapeId="0" xr:uid="{00000000-0006-0000-0200-00002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網路 1767
瓦斯費 538</t>
        </r>
      </text>
    </comment>
    <comment ref="Q68" authorId="0" shapeId="0" xr:uid="{00000000-0006-0000-0200-00002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 xml:space="preserve">第四台 1500
瓦斯費 514
</t>
        </r>
      </text>
    </comment>
    <comment ref="H69" authorId="0" shapeId="0" xr:uid="{00000000-0006-0000-0200-00002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中油 1003
gogoro保養 785+65</t>
        </r>
      </text>
    </comment>
    <comment ref="O69" authorId="0" shapeId="0" xr:uid="{00000000-0006-0000-0200-00002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罰單 2400</t>
        </r>
      </text>
    </comment>
    <comment ref="H70" authorId="0" shapeId="0" xr:uid="{00000000-0006-0000-0200-00002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考私中+閱讀測驗 1015-338
</t>
        </r>
      </text>
    </comment>
    <comment ref="I71" authorId="0" shapeId="0" xr:uid="{00000000-0006-0000-0200-00002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爵士鼓檢定 1850+1650
</t>
        </r>
      </text>
    </comment>
    <comment ref="H72" authorId="0" shapeId="0" xr:uid="{00000000-0006-0000-0200-00003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馬偕消化科 1170</t>
        </r>
      </text>
    </comment>
    <comment ref="Q72" authorId="0" shapeId="0" xr:uid="{00000000-0006-0000-0200-00003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媽骨科看診 1300
媽鈣片 700
</t>
        </r>
      </text>
    </comment>
    <comment ref="F78" authorId="0" shapeId="0" xr:uid="{00000000-0006-0000-0200-00003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尚佐桌游 600</t>
        </r>
      </text>
    </comment>
    <comment ref="M78" authorId="0" shapeId="0" xr:uid="{00000000-0006-0000-0200-00003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麥塊電影 1018
尚佐聚餐 1516
</t>
        </r>
      </text>
    </comment>
    <comment ref="G79" authorId="0" shapeId="0" xr:uid="{00000000-0006-0000-0200-00003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母親節聚餐 12919-2793</t>
        </r>
      </text>
    </comment>
    <comment ref="F80" authorId="0" shapeId="0" xr:uid="{00000000-0006-0000-0200-00003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並排停車罰單 2413</t>
        </r>
      </text>
    </comment>
    <comment ref="H80" authorId="0" shapeId="0" xr:uid="{00000000-0006-0000-0200-00003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牌照稅 11230</t>
        </r>
      </text>
    </comment>
    <comment ref="F82" authorId="0" shapeId="0" xr:uid="{00000000-0006-0000-0200-00003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小萱喬遷 1390</t>
        </r>
      </text>
    </comment>
    <comment ref="O85" authorId="0" shapeId="0" xr:uid="{00000000-0006-0000-0200-00003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新光 1395</t>
        </r>
      </text>
    </comment>
    <comment ref="F87" authorId="0" shapeId="0" xr:uid="{00000000-0006-0000-0200-00003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衛生紙與日用品 500</t>
        </r>
      </text>
    </comment>
    <comment ref="H87" authorId="0" shapeId="0" xr:uid="{00000000-0006-0000-0200-00003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378</t>
        </r>
      </text>
    </comment>
    <comment ref="Q87" authorId="0" shapeId="0" xr:uid="{00000000-0006-0000-0200-00003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336
電費 1513</t>
        </r>
      </text>
    </comment>
    <comment ref="M88" authorId="0" shapeId="0" xr:uid="{00000000-0006-0000-0200-00003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 520</t>
        </r>
      </text>
    </comment>
    <comment ref="F89" authorId="0" shapeId="0" xr:uid="{00000000-0006-0000-0200-00003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何嘉仁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細明體"/>
            <family val="3"/>
            <charset val="136"/>
          </rPr>
          <t>月夏令營訂金 2000</t>
        </r>
      </text>
    </comment>
    <comment ref="F96" authorId="0" shapeId="0" xr:uid="{00000000-0006-0000-0200-00003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薯條頭盔 405</t>
        </r>
      </text>
    </comment>
    <comment ref="F97" authorId="0" shapeId="0" xr:uid="{00000000-0006-0000-0200-00003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浮光民宿訂金 3000</t>
        </r>
      </text>
    </comment>
    <comment ref="H97" authorId="0" shapeId="0" xr:uid="{00000000-0006-0000-0200-00004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Okinawa
ticket 28371+10475</t>
        </r>
        <r>
          <rPr>
            <sz val="9"/>
            <color indexed="81"/>
            <rFont val="細明體"/>
            <family val="3"/>
            <charset val="136"/>
          </rPr>
          <t xml:space="preserve">
SUICA自動加值5次 636*5+9*5-43*5
愛電王 2083</t>
        </r>
      </text>
    </comment>
    <comment ref="I97" authorId="0" shapeId="0" xr:uid="{00000000-0006-0000-0200-00004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星野 4532
Cooju 10588
ANA 29600*0.22
回程機票 25000
機場接送 480+280
網卡 599</t>
        </r>
      </text>
    </comment>
    <comment ref="L97" authorId="0" shapeId="0" xr:uid="{00000000-0006-0000-0200-00004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SUICA</t>
        </r>
        <r>
          <rPr>
            <sz val="9"/>
            <color indexed="81"/>
            <rFont val="細明體"/>
            <family val="3"/>
            <charset val="136"/>
          </rPr>
          <t>自動加值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次</t>
        </r>
        <r>
          <rPr>
            <sz val="9"/>
            <color indexed="81"/>
            <rFont val="Tahoma"/>
            <family val="2"/>
          </rPr>
          <t xml:space="preserve"> 909</t>
        </r>
      </text>
    </comment>
    <comment ref="M97" authorId="0" shapeId="0" xr:uid="{00000000-0006-0000-0200-00004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加油 1331</t>
        </r>
      </text>
    </comment>
    <comment ref="O97" authorId="0" shapeId="0" xr:uid="{00000000-0006-0000-0200-00004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埔心牧場票券 1150
沖繩浮潛 7478
</t>
        </r>
      </text>
    </comment>
    <comment ref="G98" authorId="0" shapeId="0" xr:uid="{00000000-0006-0000-0200-00004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埔心牧場</t>
        </r>
        <r>
          <rPr>
            <sz val="9"/>
            <color indexed="81"/>
            <rFont val="Tahoma"/>
            <family val="2"/>
          </rPr>
          <t xml:space="preserve"> 1400</t>
        </r>
      </text>
    </comment>
    <comment ref="M98" authorId="0" shapeId="0" xr:uid="{00000000-0006-0000-0200-00004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埔心牧場 760</t>
        </r>
      </text>
    </comment>
    <comment ref="Q101" authorId="0" shapeId="0" xr:uid="{00000000-0006-0000-0200-00004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母親節禮金 2000
</t>
        </r>
      </text>
    </comment>
    <comment ref="H106" authorId="0" shapeId="0" xr:uid="{00000000-0006-0000-0200-00004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1077
瓦斯費 538</t>
        </r>
      </text>
    </comment>
    <comment ref="M106" authorId="0" shapeId="0" xr:uid="{00000000-0006-0000-0200-00004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電話費 1198</t>
        </r>
      </text>
    </comment>
    <comment ref="Q106" authorId="0" shapeId="0" xr:uid="{00000000-0006-0000-0200-00004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瓦斯費 402</t>
        </r>
      </text>
    </comment>
    <comment ref="M107" authorId="0" shapeId="0" xr:uid="{00000000-0006-0000-0200-00004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 529</t>
        </r>
      </text>
    </comment>
    <comment ref="F108" authorId="0" shapeId="0" xr:uid="{00000000-0006-0000-0200-00004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安親保額 3000+3000</t>
        </r>
      </text>
    </comment>
    <comment ref="H110" authorId="0" shapeId="0" xr:uid="{00000000-0006-0000-0200-00004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馬偕回診6/24 加值500</t>
        </r>
      </text>
    </comment>
    <comment ref="M110" authorId="0" shapeId="0" xr:uid="{00000000-0006-0000-0200-00004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勝客敏液*6
</t>
        </r>
      </text>
    </comment>
    <comment ref="G112" authorId="0" shapeId="0" xr:uid="{00000000-0006-0000-0200-00005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修鞋跟 1600
</t>
        </r>
      </text>
    </comment>
    <comment ref="O113" authorId="0" shapeId="0" xr:uid="{00000000-0006-0000-0200-00005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魯夫 710
</t>
        </r>
      </text>
    </comment>
    <comment ref="M116" authorId="0" shapeId="0" xr:uid="{00000000-0006-0000-0200-00005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Suica</t>
        </r>
        <r>
          <rPr>
            <sz val="9"/>
            <color indexed="81"/>
            <rFont val="細明體"/>
            <family val="3"/>
            <charset val="136"/>
          </rPr>
          <t>加值 815+12</t>
        </r>
      </text>
    </comment>
    <comment ref="O118" authorId="0" shapeId="0" xr:uid="{00000000-0006-0000-0200-00005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房屋稅 </t>
        </r>
        <r>
          <rPr>
            <sz val="9"/>
            <color indexed="81"/>
            <rFont val="Tahoma"/>
            <family val="2"/>
          </rPr>
          <t>34242+6937</t>
        </r>
      </text>
    </comment>
    <comment ref="Q120" authorId="0" shapeId="0" xr:uid="{00000000-0006-0000-0200-00005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阿彥生日禮金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吃飯</t>
        </r>
      </text>
    </comment>
    <comment ref="F124" authorId="0" shapeId="0" xr:uid="{00000000-0006-0000-0200-00005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迪卡農</t>
        </r>
        <r>
          <rPr>
            <sz val="9"/>
            <color indexed="81"/>
            <rFont val="Tahoma"/>
            <family val="2"/>
          </rPr>
          <t xml:space="preserve"> 600</t>
        </r>
      </text>
    </comment>
    <comment ref="M124" authorId="0" shapeId="0" xr:uid="{00000000-0006-0000-0200-00005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迪卡農</t>
        </r>
        <r>
          <rPr>
            <sz val="9"/>
            <color indexed="81"/>
            <rFont val="Tahoma"/>
            <family val="2"/>
          </rPr>
          <t xml:space="preserve"> 98</t>
        </r>
      </text>
    </comment>
    <comment ref="Q124" authorId="0" shapeId="0" xr:uid="{BE2B82E6-3BB1-4F36-8FE2-AA4B554742C5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老媽染髮 1000</t>
        </r>
      </text>
    </comment>
    <comment ref="H125" authorId="0" shapeId="0" xr:uid="{00000000-0006-0000-0200-00005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354
電話費 1376
網路 1767</t>
        </r>
      </text>
    </comment>
    <comment ref="Q125" authorId="0" shapeId="0" xr:uid="{00000000-0006-0000-0200-00005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永佳樂 1500
水費 361</t>
        </r>
      </text>
    </comment>
    <comment ref="H126" authorId="0" shapeId="0" xr:uid="{00000000-0006-0000-0200-00005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Etag 400
</t>
        </r>
        <r>
          <rPr>
            <sz val="9"/>
            <color indexed="81"/>
            <rFont val="細明體"/>
            <family val="3"/>
            <charset val="136"/>
          </rPr>
          <t>悠遊卡 500</t>
        </r>
      </text>
    </comment>
    <comment ref="M126" authorId="0" shapeId="0" xr:uid="{00000000-0006-0000-0200-00005A000000}">
      <text>
        <r>
          <rPr>
            <b/>
            <sz val="9"/>
            <color indexed="81"/>
            <rFont val="Tahoma"/>
            <family val="2"/>
          </rPr>
          <t>丁純蘭: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8" authorId="0" shapeId="0" xr:uid="{00000000-0006-0000-0200-00005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志清暑期 10100*2
</t>
        </r>
      </text>
    </comment>
    <comment ref="O130" authorId="0" shapeId="0" xr:uid="{00000000-0006-0000-0200-00005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生日禮物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蛋糕 3000</t>
        </r>
      </text>
    </comment>
    <comment ref="O131" authorId="0" shapeId="0" xr:uid="{00000000-0006-0000-0200-00005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Porter</t>
        </r>
        <r>
          <rPr>
            <sz val="9"/>
            <color indexed="81"/>
            <rFont val="細明體"/>
            <family val="3"/>
            <charset val="136"/>
          </rPr>
          <t xml:space="preserve">包包 6000
</t>
        </r>
      </text>
    </comment>
    <comment ref="O132" authorId="0" shapeId="0" xr:uid="{00000000-0006-0000-0200-00005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
Roblox</t>
        </r>
        <r>
          <rPr>
            <b/>
            <sz val="9"/>
            <color indexed="81"/>
            <rFont val="細明體"/>
            <family val="3"/>
            <charset val="136"/>
          </rPr>
          <t xml:space="preserve">玩偶 </t>
        </r>
      </text>
    </comment>
    <comment ref="O133" authorId="0" shapeId="0" xr:uid="{00000000-0006-0000-0200-00006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
Roblox</t>
        </r>
        <r>
          <rPr>
            <b/>
            <sz val="9"/>
            <color indexed="81"/>
            <rFont val="細明體"/>
            <family val="3"/>
            <charset val="136"/>
          </rPr>
          <t xml:space="preserve">玩偶 </t>
        </r>
      </text>
    </comment>
    <comment ref="O134" authorId="0" shapeId="0" xr:uid="{00000000-0006-0000-0200-00006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玩具 1004
卡盒 373</t>
        </r>
      </text>
    </comment>
    <comment ref="F135" authorId="0" shapeId="0" xr:uid="{00000000-0006-0000-0200-00006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南投葉子秘境兩日 14600
晚餐 790
</t>
        </r>
      </text>
    </comment>
    <comment ref="H135" authorId="0" shapeId="0" xr:uid="{00000000-0006-0000-0200-00006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5" authorId="0" shapeId="0" xr:uid="{00000000-0006-0000-0200-00006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台中住宿 3013+45
朝慶出差 24481</t>
        </r>
      </text>
    </comment>
    <comment ref="L135" authorId="0" shapeId="0" xr:uid="{00000000-0006-0000-0200-00006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檸檬塔+思康 1310
SUICA儲值 809*2+12*2
</t>
        </r>
      </text>
    </comment>
    <comment ref="M136" authorId="0" shapeId="0" xr:uid="{00000000-0006-0000-0200-00006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吃飯</t>
        </r>
        <r>
          <rPr>
            <sz val="9"/>
            <color indexed="81"/>
            <rFont val="Tahoma"/>
            <family val="2"/>
          </rPr>
          <t xml:space="preserve">with mon 1540
</t>
        </r>
      </text>
    </comment>
    <comment ref="O137" authorId="0" shapeId="0" xr:uid="{00000000-0006-0000-0200-00006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所得稅 67542</t>
        </r>
      </text>
    </comment>
    <comment ref="M139" authorId="0" shapeId="0" xr:uid="{00000000-0006-0000-0200-00006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俊男玩具 861</t>
        </r>
      </text>
    </comment>
    <comment ref="H144" authorId="0" shapeId="0" xr:uid="{00000000-0006-0000-0200-00006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電費 1949
水費  343
</t>
        </r>
      </text>
    </comment>
    <comment ref="Q144" authorId="0" shapeId="0" xr:uid="{00000000-0006-0000-0200-00006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瓦斯 538
</t>
        </r>
      </text>
    </comment>
    <comment ref="Q145" authorId="0" shapeId="0" xr:uid="{00000000-0006-0000-0200-00006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馬祖機票 981
修手機 1000
拜小韋 3000</t>
        </r>
      </text>
    </comment>
    <comment ref="F146" authorId="0" shapeId="0" xr:uid="{00000000-0006-0000-0200-00006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何嘉仁夏令營 18000
台大夏令營 9100
台新籃球營 1000
何嘉仁TH3保額 5000
何嘉仁TH3學費 29730
何嘉仁TH11學費 21800</t>
        </r>
      </text>
    </comment>
    <comment ref="F147" authorId="0" shapeId="0" xr:uid="{00000000-0006-0000-0200-00006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9-10</t>
        </r>
        <r>
          <rPr>
            <sz val="9"/>
            <color indexed="81"/>
            <rFont val="細明體"/>
            <family val="3"/>
            <charset val="136"/>
          </rPr>
          <t>游泳課程 6120</t>
        </r>
      </text>
    </comment>
    <comment ref="I147" authorId="0" shapeId="0" xr:uid="{00000000-0006-0000-0200-00006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卓越盃</t>
        </r>
      </text>
    </comment>
    <comment ref="O147" authorId="0" shapeId="0" xr:uid="{00000000-0006-0000-0200-00006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卓越盃</t>
        </r>
      </text>
    </comment>
    <comment ref="F149" authorId="0" shapeId="0" xr:uid="{00000000-0006-0000-0200-00007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行動電源 400</t>
        </r>
      </text>
    </comment>
    <comment ref="F154" authorId="0" shapeId="0" xr:uid="{00000000-0006-0000-0200-00007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游沅羲生日</t>
        </r>
        <r>
          <rPr>
            <sz val="9"/>
            <color indexed="81"/>
            <rFont val="Tahoma"/>
            <family val="2"/>
          </rPr>
          <t>party</t>
        </r>
      </text>
    </comment>
    <comment ref="H157" authorId="0" shapeId="0" xr:uid="{00000000-0006-0000-0200-00007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汽車強制險 739</t>
        </r>
      </text>
    </comment>
    <comment ref="O157" authorId="0" shapeId="0" xr:uid="{00000000-0006-0000-0200-00007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醫療保險</t>
        </r>
      </text>
    </comment>
    <comment ref="F158" authorId="0" shapeId="0" xr:uid="{00000000-0006-0000-0200-00007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心羽</t>
        </r>
        <r>
          <rPr>
            <sz val="9"/>
            <color indexed="81"/>
            <rFont val="Tahoma"/>
            <family val="2"/>
          </rPr>
          <t>baby 600</t>
        </r>
      </text>
    </comment>
    <comment ref="F162" authorId="0" shapeId="0" xr:uid="{00000000-0006-0000-0200-00007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男子組剪髮 1150
</t>
        </r>
      </text>
    </comment>
    <comment ref="G163" authorId="0" shapeId="0" xr:uid="{00000000-0006-0000-0200-00007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紙箱 388</t>
        </r>
      </text>
    </comment>
    <comment ref="H163" authorId="0" shapeId="0" xr:uid="{00000000-0006-0000-0200-00007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台灣之星 885
遠傳 688</t>
        </r>
      </text>
    </comment>
    <comment ref="I163" authorId="0" shapeId="0" xr:uid="{00000000-0006-0000-0200-00007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森活今網網路 8900</t>
        </r>
      </text>
    </comment>
    <comment ref="Q163" authorId="0" shapeId="0" xr:uid="{00000000-0006-0000-0200-00007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電話費 1376
電費 2531</t>
        </r>
      </text>
    </comment>
    <comment ref="F164" authorId="0" shapeId="0" xr:uid="{00000000-0006-0000-0200-00007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驗車 450</t>
        </r>
      </text>
    </comment>
    <comment ref="M164" authorId="0" shapeId="0" xr:uid="{00000000-0006-0000-0200-00007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 525</t>
        </r>
      </text>
    </comment>
    <comment ref="Q164" authorId="0" shapeId="0" xr:uid="{00000000-0006-0000-0200-00007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10/11-12</t>
        </r>
        <r>
          <rPr>
            <sz val="9"/>
            <color indexed="81"/>
            <rFont val="細明體"/>
            <family val="3"/>
            <charset val="136"/>
          </rPr>
          <t>花蓮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日遊 2000
立榮 981</t>
        </r>
      </text>
    </comment>
    <comment ref="F165" authorId="0" shapeId="0" xr:uid="{00000000-0006-0000-0200-00007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衡安親 6000
翰安親 4200
衡社團 5593
翰社團 3150
衡午餐+學費 1665+1996
翰午餐+學費 5284+1760
</t>
        </r>
      </text>
    </comment>
    <comment ref="F166" authorId="0" shapeId="0" xr:uid="{00000000-0006-0000-0200-00007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陳安如 9000</t>
        </r>
      </text>
    </comment>
    <comment ref="I167" authorId="0" shapeId="0" xr:uid="{00000000-0006-0000-0200-00007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勝克敏 324</t>
        </r>
      </text>
    </comment>
    <comment ref="Q167" authorId="0" shapeId="0" xr:uid="{00000000-0006-0000-0200-00008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復健先墊 2000</t>
        </r>
      </text>
    </comment>
    <comment ref="N172" authorId="0" shapeId="0" xr:uid="{00000000-0006-0000-0200-00008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有感筆電書</t>
        </r>
        <r>
          <rPr>
            <sz val="9"/>
            <color indexed="81"/>
            <rFont val="Tahoma"/>
            <family val="2"/>
          </rPr>
          <t xml:space="preserve"> 355</t>
        </r>
      </text>
    </comment>
    <comment ref="O181" authorId="0" shapeId="0" xr:uid="{B3672B23-E7F5-4273-BFC4-579ABD47D71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薄長袖 1670</t>
        </r>
      </text>
    </comment>
    <comment ref="H182" authorId="0" shapeId="0" xr:uid="{9235F7F0-4859-489F-B906-D3B6BC2CFED7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無限分享器 2174</t>
        </r>
      </text>
    </comment>
    <comment ref="I182" authorId="0" shapeId="0" xr:uid="{2AC6E035-3196-4661-A4A0-186C579A608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網路 589
電費 1974
今網寬坪 8900</t>
        </r>
      </text>
    </comment>
    <comment ref="M182" authorId="0" shapeId="0" xr:uid="{E96038F5-0D8E-46D1-BB25-3B93DF44903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IKEA 2717</t>
        </r>
      </text>
    </comment>
    <comment ref="Q182" authorId="0" shapeId="0" xr:uid="{E17C70D7-02A5-4F19-B7D8-E2229A705224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第四台 1500</t>
        </r>
      </text>
    </comment>
    <comment ref="M183" authorId="0" shapeId="0" xr:uid="{00000000-0006-0000-0200-00008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 719</t>
        </r>
      </text>
    </comment>
    <comment ref="F184" authorId="0" shapeId="0" xr:uid="{00000000-0006-0000-0200-00008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
翰安親 4200
參考書 812</t>
        </r>
      </text>
    </comment>
    <comment ref="F185" authorId="0" shapeId="0" xr:uid="{DDB3AF8C-71ED-496B-9C35-DC31A624227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陳安如 9000</t>
        </r>
      </text>
    </comment>
    <comment ref="Q186" authorId="0" shapeId="0" xr:uid="{B0B56713-822A-4F2E-9EFF-268F9F687C9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復健先墊 1000</t>
        </r>
      </text>
    </comment>
    <comment ref="O190" authorId="0" shapeId="0" xr:uid="{995EFD30-E573-4D50-86C5-93F4873E323E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衡生日禮物 799
</t>
        </r>
      </text>
    </comment>
    <comment ref="F192" authorId="0" shapeId="0" xr:uid="{00000000-0006-0000-0200-00008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SUICA</t>
        </r>
      </text>
    </comment>
    <comment ref="I192" authorId="0" shapeId="0" xr:uid="{00000000-0006-0000-0200-00008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華航機票 44338
住宿 42090
網卡 1152
</t>
        </r>
      </text>
    </comment>
    <comment ref="F193" authorId="0" shapeId="0" xr:uid="{7E17634F-22F6-4AAD-9A07-B90D9206D9A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成家小館 4200
衡生日蛋糕 1330</t>
        </r>
      </text>
    </comment>
    <comment ref="M195" authorId="0" shapeId="0" xr:uid="{5ADD925C-9277-4E00-B9AA-3B76C0FFF1F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兩小保險 2596</t>
        </r>
      </text>
    </comment>
    <comment ref="F199" authorId="0" shapeId="0" xr:uid="{A87A75A7-7142-4CF8-9984-D838FE8C3E0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milk 2079</t>
        </r>
      </text>
    </comment>
    <comment ref="I201" authorId="0" shapeId="0" xr:uid="{BBB17E8B-DABF-4314-ABAF-1D32AE7927C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2622</t>
        </r>
      </text>
    </comment>
    <comment ref="M201" authorId="0" shapeId="0" xr:uid="{5341EECE-AC3D-4109-9CA6-554A6FDC19C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衛生紙 864</t>
        </r>
      </text>
    </comment>
    <comment ref="P201" authorId="0" shapeId="0" xr:uid="{EDB97245-0576-4C13-82C0-95F2D5ADC534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326</t>
        </r>
      </text>
    </comment>
    <comment ref="Q201" authorId="0" shapeId="0" xr:uid="{D4F411E7-B42C-4DD2-8C5D-D17EDC591F5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瓦斯 301
電話費 1377</t>
        </r>
      </text>
    </comment>
    <comment ref="H202" authorId="0" shapeId="0" xr:uid="{8B1F5D78-4651-4CE9-BEB4-826F3171894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遠傳電話費 1216</t>
        </r>
      </text>
    </comment>
    <comment ref="I202" authorId="0" shapeId="0" xr:uid="{3A1D4154-38F3-4E7F-BDD7-6DBF831E01FE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遠傳易付卡 66</t>
        </r>
      </text>
    </comment>
    <comment ref="M202" authorId="0" shapeId="0" xr:uid="{75BAE67E-D2E3-433A-AD13-5DC93F18A40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 524</t>
        </r>
      </text>
    </comment>
    <comment ref="O202" authorId="0" shapeId="0" xr:uid="{4F1C6854-D187-4B64-9C6E-DAF8D4791DD5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儲值翰易付卡 100</t>
        </r>
      </text>
    </comment>
    <comment ref="F203" authorId="0" shapeId="0" xr:uid="{7D3551AE-A2AF-46F6-9ACE-6A05B43DD115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
翰安親 4700</t>
        </r>
      </text>
    </comment>
    <comment ref="I203" authorId="0" shapeId="0" xr:uid="{56EA6CE6-7A67-4695-8B29-DF9C312AC3B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翰畢業旅行 5986</t>
        </r>
      </text>
    </comment>
    <comment ref="F204" authorId="0" shapeId="0" xr:uid="{8B475CF0-840B-4778-A01C-767084B45C0D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衡科學 5867</t>
        </r>
      </text>
    </comment>
    <comment ref="Q204" authorId="0" shapeId="0" xr:uid="{ED22F946-4E8D-452E-8B72-B1F8C427667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媽生日禮金 2000</t>
        </r>
      </text>
    </comment>
    <comment ref="M205" authorId="0" shapeId="0" xr:uid="{8C02997D-9CEF-40DA-AB8A-EAF4E8766F3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勝克敏液 450
唇皰疹藥膏 225</t>
        </r>
      </text>
    </comment>
    <comment ref="I208" authorId="0" shapeId="0" xr:uid="{DD22DCEC-6D09-4C8E-9E68-FEAABDE12EB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roblox 330</t>
        </r>
      </text>
    </comment>
    <comment ref="I210" authorId="0" shapeId="0" xr:uid="{13B23965-729E-4C1D-847A-E691FAC74F3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玩具 1499</t>
        </r>
      </text>
    </comment>
    <comment ref="F211" authorId="0" shapeId="0" xr:uid="{00000000-0006-0000-0200-00008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樂隱 3000+4400</t>
        </r>
      </text>
    </comment>
    <comment ref="I212" authorId="0" shapeId="0" xr:uid="{A397535F-EB3B-4F6E-B779-B13BE62CF16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媽姐生日聚餐 2919</t>
        </r>
      </text>
    </comment>
    <comment ref="M212" authorId="0" shapeId="0" xr:uid="{B091C618-5FD9-4AB0-8060-8245C787A0F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阿力海訂金 9000</t>
        </r>
      </text>
    </comment>
    <comment ref="I213" authorId="0" shapeId="0" xr:uid="{1F1A1543-2A15-45D9-8051-57D261418297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奧迪保養</t>
        </r>
        <r>
          <rPr>
            <sz val="9"/>
            <color indexed="81"/>
            <rFont val="Tahoma"/>
            <family val="2"/>
          </rPr>
          <t xml:space="preserve"> 16019</t>
        </r>
      </text>
    </comment>
    <comment ref="Q214" authorId="0" shapeId="0" xr:uid="{67F5B24A-0B3E-4703-B79C-00DBF4CFA546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第一期 40508/12
</t>
        </r>
      </text>
    </comment>
    <comment ref="M218" authorId="0" shapeId="0" xr:uid="{DE159D62-2BDF-4173-B47B-395F0F8081E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金春喜 1109</t>
        </r>
      </text>
    </comment>
    <comment ref="F220" authorId="0" shapeId="0" xr:uid="{4AA600B8-E8D8-4EE0-A380-0ABE92A77573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棉被 1500禮券
</t>
        </r>
      </text>
    </comment>
    <comment ref="G220" authorId="0" shapeId="0" xr:uid="{29282B24-3DAC-4106-9E57-A52ADFDEEB0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被單 1004</t>
        </r>
      </text>
    </comment>
    <comment ref="I220" authorId="0" shapeId="0" xr:uid="{FD55A953-AD5C-4913-A8DA-80E1FB73B44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天然氣 290</t>
        </r>
      </text>
    </comment>
    <comment ref="M220" authorId="0" shapeId="0" xr:uid="{F29A06C2-CAAF-4555-A524-3EBE40AC1AF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TAMURA</t>
        </r>
        <r>
          <rPr>
            <sz val="9"/>
            <color indexed="81"/>
            <rFont val="細明體"/>
            <family val="3"/>
            <charset val="136"/>
          </rPr>
          <t>廁球 210</t>
        </r>
      </text>
    </comment>
    <comment ref="P220" authorId="0" shapeId="0" xr:uid="{699A63E2-A5F1-4850-9FB1-6BB174F1C95D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棉被 1180+刷卡
柔軟精 479
棉被 2380
icash自動加值 500</t>
        </r>
      </text>
    </comment>
    <comment ref="Q220" authorId="0" shapeId="0" xr:uid="{0DFCF41E-81F9-4367-BFFA-F11394D149D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1944
看醫生+協會會費
瓦斯費 290</t>
        </r>
      </text>
    </comment>
    <comment ref="M221" authorId="0" shapeId="0" xr:uid="{A4163870-4B06-40F5-B61C-EB06A3BF8F7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 529</t>
        </r>
      </text>
    </comment>
    <comment ref="F222" authorId="0" shapeId="0" xr:uid="{F468560C-71D6-4D28-966A-CA21D02BA1C6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
翰安親 4700</t>
        </r>
      </text>
    </comment>
    <comment ref="F223" authorId="0" shapeId="0" xr:uid="{AA13CE90-824B-4CD5-A16A-E8125227ED7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翰超修班 4500-2700
</t>
        </r>
      </text>
    </comment>
    <comment ref="M225" authorId="0" shapeId="0" xr:uid="{9B232AEC-FDC7-45AF-B94F-597EE51F0B3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磨豆機 1861</t>
        </r>
      </text>
    </comment>
    <comment ref="O225" authorId="0" shapeId="0" xr:uid="{8D066764-5640-4FAB-BD1C-5BAC0D80EFD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聖誕禮物 3500</t>
        </r>
      </text>
    </comment>
    <comment ref="P225" authorId="0" shapeId="0" xr:uid="{12127E46-1A66-4BA5-ACF2-6871DFF88DC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</t>
        </r>
        <r>
          <rPr>
            <sz val="9"/>
            <color indexed="81"/>
            <rFont val="細明體"/>
            <family val="3"/>
            <charset val="136"/>
          </rPr>
          <t xml:space="preserve">包包
</t>
        </r>
      </text>
    </comment>
    <comment ref="F226" authorId="0" shapeId="0" xr:uid="{FCA734F5-5E37-43B7-86F4-29E5081174B5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電動牙刷 4990
</t>
        </r>
      </text>
    </comment>
    <comment ref="G227" authorId="0" shapeId="0" xr:uid="{5898B284-3C31-4E65-AE6D-51A5BFFD4016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聖誕禮物 484
</t>
        </r>
      </text>
    </comment>
    <comment ref="M228" authorId="0" shapeId="0" xr:uid="{C35729B8-D4B7-4CC6-A428-58B702361BB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聖誕禮物 2412</t>
        </r>
      </text>
    </comment>
    <comment ref="P231" authorId="0" shapeId="0" xr:uid="{00D72482-5E1C-4531-B726-3C5B4F3BC0DD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海豚般</t>
        </r>
        <r>
          <rPr>
            <sz val="9"/>
            <color indexed="81"/>
            <rFont val="Tahoma"/>
            <family val="2"/>
          </rPr>
          <t>homeparty 2349</t>
        </r>
      </text>
    </comment>
    <comment ref="Q233" authorId="0" shapeId="0" xr:uid="{F79AE534-8E63-442C-AE87-166C37AA968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第二期 40508/12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丁純蘭</author>
  </authors>
  <commentList>
    <comment ref="F2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iphone14</t>
        </r>
        <r>
          <rPr>
            <sz val="9"/>
            <color indexed="81"/>
            <rFont val="細明體"/>
            <family val="3"/>
            <charset val="136"/>
          </rPr>
          <t xml:space="preserve"> 34800+2000
</t>
        </r>
      </text>
    </comment>
    <comment ref="O2" authorId="0" shapeId="0" xr:uid="{00000000-0006-0000-0300-00000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外套</t>
        </r>
        <r>
          <rPr>
            <sz val="9"/>
            <color indexed="81"/>
            <rFont val="Tahoma"/>
            <family val="2"/>
          </rPr>
          <t xml:space="preserve"> 9500
</t>
        </r>
      </text>
    </comment>
    <comment ref="F3" authorId="0" shapeId="0" xr:uid="{00000000-0006-0000-0300-00000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衡學費 45465
列印 66</t>
        </r>
      </text>
    </comment>
    <comment ref="I11" authorId="0" shapeId="0" xr:uid="{E91D7DA8-2363-48F7-A6C6-603D0B3D3855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萬隆水費</t>
        </r>
        <r>
          <rPr>
            <sz val="9"/>
            <color indexed="81"/>
            <rFont val="Tahoma"/>
            <family val="2"/>
          </rPr>
          <t xml:space="preserve"> 133
</t>
        </r>
        <r>
          <rPr>
            <sz val="9"/>
            <color indexed="81"/>
            <rFont val="細明體"/>
            <family val="3"/>
            <charset val="136"/>
          </rPr>
          <t xml:space="preserve">森活電費 2143
</t>
        </r>
      </text>
    </comment>
    <comment ref="J11" authorId="0" shapeId="0" xr:uid="{98BDF391-6631-4AF6-9C2A-5541A2CD61D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瓦斯 593</t>
        </r>
      </text>
    </comment>
    <comment ref="M11" authorId="0" shapeId="0" xr:uid="{4D1E81E2-37B0-49F0-8581-A37252D2ACA3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IKEA 3487</t>
        </r>
      </text>
    </comment>
    <comment ref="Q11" authorId="0" shapeId="0" xr:uid="{5273FFB2-EC92-4A48-82EB-CBA3598629D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959
阿彥暖腳墊 839
第四台 1500</t>
        </r>
      </text>
    </comment>
    <comment ref="H12" authorId="0" shapeId="0" xr:uid="{3E8DD950-2578-453A-B96F-FB3B96903053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手機費 1262</t>
        </r>
      </text>
    </comment>
    <comment ref="I12" authorId="0" shapeId="0" xr:uid="{A01F09DF-F1BE-451C-973A-52A63899566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奧迪換胎 13039</t>
        </r>
      </text>
    </comment>
    <comment ref="M12" authorId="0" shapeId="0" xr:uid="{65004ACF-FDF9-4B4A-82BB-AEF0E941818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 529</t>
        </r>
      </text>
    </comment>
    <comment ref="F13" authorId="0" shapeId="0" xr:uid="{6B102314-E3C3-4D70-A664-F5D7545FAB67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5100+1700
翰安親 3700
衡安親保額 3000
靜心招考 800
延平招考 900</t>
        </r>
      </text>
    </comment>
    <comment ref="J13" authorId="0" shapeId="0" xr:uid="{21BF7D67-90CE-47E0-9399-89DC03F8227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削鉛筆機 100
</t>
        </r>
      </text>
    </comment>
    <comment ref="F14" authorId="0" shapeId="0" xr:uid="{1EBB9E2F-835E-4AE0-8E12-72483245C74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打鼓課  18000
瑜珈課 250</t>
        </r>
      </text>
    </comment>
    <comment ref="F16" authorId="0" shapeId="0" xr:uid="{4A5ECA92-4598-4BB7-82A5-C56F6AAAE5D6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瑜珈磚 398</t>
        </r>
      </text>
    </comment>
    <comment ref="O21" authorId="0" shapeId="0" xr:uid="{00000000-0006-0000-0300-00000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alaska</t>
        </r>
        <r>
          <rPr>
            <sz val="9"/>
            <color indexed="81"/>
            <rFont val="細明體"/>
            <family val="3"/>
            <charset val="136"/>
          </rPr>
          <t xml:space="preserve">里程 50000
日月潭住宿 5060
</t>
        </r>
      </text>
    </comment>
    <comment ref="F23" authorId="0" shapeId="0" xr:uid="{F2C0ECB4-1288-4E92-BEFE-F5EA0930ACD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補稅 6336</t>
        </r>
      </text>
    </comment>
    <comment ref="F24" authorId="0" shapeId="0" xr:uid="{CF83F408-F82B-4028-8744-5EE4E716E61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火險 3815</t>
        </r>
      </text>
    </comment>
    <comment ref="F25" authorId="0" shapeId="0" xr:uid="{B07E7921-3CA7-4B3E-B03B-F08D7C4F77B4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小阿姨法朋</t>
        </r>
        <r>
          <rPr>
            <sz val="9"/>
            <color indexed="81"/>
            <rFont val="Tahoma"/>
            <family val="2"/>
          </rPr>
          <t xml:space="preserve"> 240</t>
        </r>
      </text>
    </comment>
    <comment ref="F28" authorId="0" shapeId="0" xr:uid="{763C2C46-1BE5-4FBA-BB1F-E1466C449EA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alex </t>
        </r>
        <r>
          <rPr>
            <sz val="9"/>
            <color indexed="81"/>
            <rFont val="細明體"/>
            <family val="3"/>
            <charset val="136"/>
          </rPr>
          <t>全家儲值</t>
        </r>
      </text>
    </comment>
    <comment ref="M30" authorId="0" shapeId="0" xr:uid="{ABA9067D-CA8F-4CAA-9C6C-200A8F14C0C7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電動牙刷刷頭</t>
        </r>
        <r>
          <rPr>
            <sz val="9"/>
            <color indexed="81"/>
            <rFont val="Tahoma"/>
            <family val="2"/>
          </rPr>
          <t xml:space="preserve"> 174</t>
        </r>
      </text>
    </comment>
    <comment ref="K31" authorId="0" shapeId="0" xr:uid="{962FEF12-6DCB-4F69-8486-F7495FBDD81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Teresa</t>
        </r>
        <r>
          <rPr>
            <sz val="9"/>
            <color indexed="81"/>
            <rFont val="細明體"/>
            <family val="3"/>
            <charset val="136"/>
          </rPr>
          <t xml:space="preserve">卡自動加值 500
</t>
        </r>
      </text>
    </comment>
    <comment ref="M31" authorId="0" shapeId="0" xr:uid="{4BC31213-7A9C-45A4-B0EE-A2C5A391D22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手機殼 765
gogoro 529</t>
        </r>
      </text>
    </comment>
    <comment ref="F33" authorId="0" shapeId="0" xr:uid="{3FD16418-5BCB-4D22-A3AF-3EB3DFC6B1E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TH</t>
        </r>
        <r>
          <rPr>
            <sz val="9"/>
            <color indexed="81"/>
            <rFont val="細明體"/>
            <family val="3"/>
            <charset val="136"/>
          </rPr>
          <t>保額 5000*2
大自然 5867</t>
        </r>
      </text>
    </comment>
    <comment ref="Q34" authorId="0" shapeId="0" xr:uid="{4BB0D68D-FCE2-47EB-84F0-F80B07DFEAC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醫療保險預支 3000
</t>
        </r>
      </text>
    </comment>
    <comment ref="M39" authorId="0" shapeId="0" xr:uid="{94AD96BA-9CE5-4D3C-A5AE-F8D86F3CB1D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蘿蔔刀 219</t>
        </r>
      </text>
    </comment>
    <comment ref="F40" authorId="0" shapeId="0" xr:uid="{22E6FE3A-A50D-471E-9D0C-CBEB300E071E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星野滑雪場教練費</t>
        </r>
        <r>
          <rPr>
            <sz val="9"/>
            <color indexed="81"/>
            <rFont val="Tahoma"/>
            <family val="2"/>
          </rPr>
          <t xml:space="preserve"> 5033
</t>
        </r>
        <r>
          <rPr>
            <sz val="9"/>
            <color indexed="81"/>
            <rFont val="細明體"/>
            <family val="3"/>
            <charset val="136"/>
          </rPr>
          <t>滑雪裝備護具 14300
雷射槍 2200</t>
        </r>
      </text>
    </comment>
    <comment ref="H40" authorId="0" shapeId="0" xr:uid="{188DB698-6A3B-4BB8-95B5-894346C63E5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Suica</t>
        </r>
        <r>
          <rPr>
            <sz val="9"/>
            <color indexed="81"/>
            <rFont val="細明體"/>
            <family val="3"/>
            <charset val="136"/>
          </rPr>
          <t>儲值 801+100
阿力海 9937-9000(預付)</t>
        </r>
      </text>
    </comment>
    <comment ref="I40" authorId="0" shapeId="0" xr:uid="{00000000-0006-0000-0300-00000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札幌回程 39948+599
札幌去程 54237-25000+813
星野度假村 48707+730
Columbia 雪鞋 3443+4688+51+70
美瑛住宿 7236*2+108*2-1804-27
Suica儲值 801+801
日山滑雪包班 7400
札幌住宿 (30000*2+36000*1)*0.2=19200
雪地卡丁車 2797+2814
機場接送大車加價 300*2
旭川札幌JR 1784</t>
        </r>
      </text>
    </comment>
    <comment ref="L40" authorId="0" shapeId="0" xr:uid="{D621982B-0FBE-4D34-9C88-CC2F69FD1A5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富邦旅平險 4310</t>
        </r>
      </text>
    </comment>
    <comment ref="M40" authorId="0" shapeId="0" xr:uid="{FF4CCB68-81E8-44C6-93A6-695433B08EE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網路 2144
星野滑雪場教練費 9251
內層手套 399
滑雪用品 1260
護腕+小孩護膝 1716
隱形眼鏡 800
口罩 231+107
過年台南住宿 12190
</t>
        </r>
      </text>
    </comment>
    <comment ref="O40" authorId="0" shapeId="0" xr:uid="{00000000-0006-0000-0300-00000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雪鏡 12000*0.206*2
手套 (5500*2+8000*1)*0.206+22.5*31
札幌星野車票 2101+1051
</t>
        </r>
      </text>
    </comment>
    <comment ref="P40" authorId="0" shapeId="0" xr:uid="{60CF64F2-A721-49F8-9E2A-2BADE904F09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手續費 226
</t>
        </r>
      </text>
    </comment>
    <comment ref="I44" authorId="0" shapeId="0" xr:uid="{C5198881-551D-4047-A32C-A728BDB494D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Alex </t>
        </r>
        <r>
          <rPr>
            <sz val="9"/>
            <color indexed="81"/>
            <rFont val="細明體"/>
            <family val="3"/>
            <charset val="136"/>
          </rPr>
          <t>出差 
飯店稅金 3908+40
活動費 31422
星宇航空機票 27947</t>
        </r>
      </text>
    </comment>
    <comment ref="F49" authorId="0" shapeId="0" xr:uid="{2BDDFFA2-DBCF-4E34-BFE2-19569709E4AE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管理費 5304+3326
</t>
        </r>
      </text>
    </comment>
    <comment ref="I49" authorId="0" shapeId="0" xr:uid="{87E27B93-7F09-4BE6-89EB-91CA39F21142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2784 /165
萬隆水費 126</t>
        </r>
      </text>
    </comment>
    <comment ref="P49" authorId="0" shapeId="0" xr:uid="{4E2DA272-C816-4674-9DE2-54DC09A0315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126</t>
        </r>
      </text>
    </comment>
    <comment ref="Q49" authorId="0" shapeId="0" xr:uid="{654C4CB0-1E05-4DCA-B82B-5CDEE34D61D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285</t>
        </r>
      </text>
    </comment>
    <comment ref="H50" authorId="0" shapeId="0" xr:uid="{7B1A98F9-B70C-4450-A2EC-8FCD9F500703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遠傳 1402</t>
        </r>
      </text>
    </comment>
    <comment ref="M50" authorId="0" shapeId="0" xr:uid="{9386F5E7-A483-43AB-AC84-4A934F5FF9E2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 525
</t>
        </r>
      </text>
    </comment>
    <comment ref="Q50" authorId="0" shapeId="0" xr:uid="{9598552E-F72C-4CC5-838D-2B51709174E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出遊 500</t>
        </r>
      </text>
    </comment>
    <comment ref="F51" authorId="0" shapeId="0" xr:uid="{25D7B270-F419-4D2C-8EEB-9ED3726A4C02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6500+2500-3000
再興制服費 14000</t>
        </r>
      </text>
    </comment>
    <comment ref="H51" authorId="0" shapeId="0" xr:uid="{3DDA53AE-BB3D-4648-AE80-896FBD2A0B9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學雜費</t>
        </r>
        <r>
          <rPr>
            <sz val="9"/>
            <color indexed="81"/>
            <rFont val="Tahoma"/>
            <family val="2"/>
          </rPr>
          <t xml:space="preserve"> 1751+1458+1636+4504</t>
        </r>
      </text>
    </comment>
    <comment ref="F52" authorId="0" shapeId="0" xr:uid="{83303B9B-A1F3-40DF-91B1-BC2BE1679AE2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何嘉仁英文  29730+21900
</t>
        </r>
      </text>
    </comment>
    <comment ref="H52" authorId="0" shapeId="0" xr:uid="{5D497066-62E9-48AA-988A-912F697B469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社團</t>
        </r>
        <r>
          <rPr>
            <sz val="9"/>
            <color indexed="81"/>
            <rFont val="Tahoma"/>
            <family val="2"/>
          </rPr>
          <t xml:space="preserve"> 5035+2930
</t>
        </r>
        <r>
          <rPr>
            <sz val="9"/>
            <color indexed="81"/>
            <rFont val="細明體"/>
            <family val="3"/>
            <charset val="136"/>
          </rPr>
          <t>課後班</t>
        </r>
        <r>
          <rPr>
            <sz val="9"/>
            <color indexed="81"/>
            <rFont val="Tahoma"/>
            <family val="2"/>
          </rPr>
          <t xml:space="preserve"> 3236
</t>
        </r>
      </text>
    </comment>
    <comment ref="Q53" authorId="0" shapeId="0" xr:uid="{6E4C84B8-DC27-41AF-B167-0BF4A42963D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保險理賠遊資 44 </t>
        </r>
      </text>
    </comment>
    <comment ref="Q58" authorId="0" shapeId="0" xr:uid="{4180BA01-9C4F-4434-8850-84AC8311DB57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小韋拜拜 3000</t>
        </r>
      </text>
    </comment>
    <comment ref="I63" authorId="0" shapeId="0" xr:uid="{58D6DCC6-240A-454D-8CDB-0B20A3856D87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星宇年費</t>
        </r>
        <r>
          <rPr>
            <sz val="9"/>
            <color indexed="81"/>
            <rFont val="Tahoma"/>
            <family val="2"/>
          </rPr>
          <t xml:space="preserve"> 6000</t>
        </r>
      </text>
    </comment>
    <comment ref="J67" authorId="0" shapeId="0" xr:uid="{AB533374-F12A-4756-8C79-EBC2E33ECA6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小孩運動鞋*2 2678</t>
        </r>
      </text>
    </comment>
    <comment ref="F68" authorId="0" shapeId="0" xr:uid="{447B44C4-16C5-402D-8E81-C5DAC195331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瓦斯費 200
管理費 9493+3326</t>
        </r>
      </text>
    </comment>
    <comment ref="I68" authorId="0" shapeId="0" xr:uid="{E8D8459D-B209-4427-8B46-8EDD74E7E7A2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117+1665
水費 473</t>
        </r>
      </text>
    </comment>
    <comment ref="Q68" authorId="0" shapeId="0" xr:uid="{88F9DCA8-D2A9-4737-914E-9D680B60182E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有線電視 1500
電費 1665</t>
        </r>
      </text>
    </comment>
    <comment ref="K69" authorId="0" shapeId="0" xr:uid="{5AA952F6-03A3-4780-9604-EAB348941CAD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Alex</t>
        </r>
        <r>
          <rPr>
            <sz val="9"/>
            <color indexed="81"/>
            <rFont val="細明體"/>
            <family val="3"/>
            <charset val="136"/>
          </rPr>
          <t>出差機場接送 1150</t>
        </r>
      </text>
    </comment>
    <comment ref="Q69" authorId="0" shapeId="0" xr:uid="{D07F5DB8-A8F1-4739-A23C-D3BDE7C08FC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電話費 1376</t>
        </r>
      </text>
    </comment>
    <comment ref="F70" authorId="0" shapeId="0" xr:uid="{CFD078E8-2B42-4C2F-A896-78A10F9B284E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  <comment ref="F71" authorId="0" shapeId="0" xr:uid="{B78D1C08-802F-47C0-B838-595254D6135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游泳課試上 300</t>
        </r>
      </text>
    </comment>
    <comment ref="F72" authorId="0" shapeId="0" xr:uid="{C1F9A790-7B1E-42B8-A5CF-85F106F6E6B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衡看醫生 250</t>
        </r>
      </text>
    </comment>
    <comment ref="Q77" authorId="0" shapeId="0" xr:uid="{978F4BCF-44DF-436E-B590-E1C87A8035C3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母親節紅包 2600
</t>
        </r>
      </text>
    </comment>
    <comment ref="Q79" authorId="0" shapeId="0" xr:uid="{405394BA-0A99-47AB-B07E-8F8B2D5C21C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母親節聚餐 2882-1000</t>
        </r>
      </text>
    </comment>
    <comment ref="P80" authorId="0" shapeId="0" xr:uid="{D1A42D1E-8DA2-4683-9B6E-E83EB999DA16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罰單
</t>
        </r>
      </text>
    </comment>
    <comment ref="I82" authorId="0" shapeId="0" xr:uid="{F91EDBE0-3F0F-4C3E-B2C7-A82902923AD5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NYNY HOTEL 3908+58+47933+718
google 31422+471
</t>
        </r>
        <r>
          <rPr>
            <sz val="9"/>
            <color indexed="81"/>
            <rFont val="細明體"/>
            <family val="3"/>
            <charset val="136"/>
          </rPr>
          <t>機票 27947
簽證 1284+19
購物+用餐+交通 60816</t>
        </r>
      </text>
    </comment>
    <comment ref="I87" authorId="0" shapeId="0" xr:uid="{994FB368-DF7D-42C3-9491-44FDB23D927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電費 2213
瓦斯費 634
</t>
        </r>
      </text>
    </comment>
    <comment ref="M87" authorId="0" shapeId="0" xr:uid="{DA360749-A598-4231-9CFA-FDD723BF795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衛生紙 767
GOGORO 401</t>
        </r>
      </text>
    </comment>
    <comment ref="Q87" authorId="0" shapeId="0" xr:uid="{69355375-0071-4D3E-8BD4-BE47CFDC2502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染髮 1300
電費 1079</t>
        </r>
      </text>
    </comment>
    <comment ref="H88" authorId="0" shapeId="0" xr:uid="{31C2EF84-CA24-469C-98EF-5C9E43144B94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手機費 1388
Etag 400
</t>
        </r>
      </text>
    </comment>
    <comment ref="F89" authorId="0" shapeId="0" xr:uid="{73C22BC8-7CD0-43A1-85E5-F91CA2297DD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衡安親 6500
八月暑營訂金 2000
</t>
        </r>
      </text>
    </comment>
    <comment ref="F90" authorId="0" shapeId="0" xr:uid="{AFB8D82D-0329-4BF3-9980-AEA555FD66E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璿翰科學營 7800
文山運動中心營隊 5130 </t>
        </r>
      </text>
    </comment>
    <comment ref="F91" authorId="0" shapeId="0" xr:uid="{94341B58-218A-4A62-9DA2-29A3FBF1036E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小朋友看眼科 500
      看牙   500</t>
        </r>
      </text>
    </comment>
    <comment ref="P91" authorId="0" shapeId="0" xr:uid="{C7023EF2-A287-418E-945B-119C17E1EE9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罰單</t>
        </r>
        <r>
          <rPr>
            <sz val="9"/>
            <color indexed="81"/>
            <rFont val="Tahoma"/>
            <family val="2"/>
          </rPr>
          <t xml:space="preserve"> 4000</t>
        </r>
      </text>
    </comment>
    <comment ref="M92" authorId="0" shapeId="0" xr:uid="{5CD79169-340F-4469-BDF5-756F3D907A7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看電影</t>
        </r>
        <r>
          <rPr>
            <sz val="9"/>
            <color indexed="81"/>
            <rFont val="Tahoma"/>
            <family val="2"/>
          </rPr>
          <t xml:space="preserve">with </t>
        </r>
        <r>
          <rPr>
            <sz val="9"/>
            <color indexed="81"/>
            <rFont val="細明體"/>
            <family val="3"/>
            <charset val="136"/>
          </rPr>
          <t xml:space="preserve">姿君
</t>
        </r>
      </text>
    </comment>
    <comment ref="P92" authorId="0" shapeId="0" xr:uid="{B37BE043-9D7C-46E8-BF24-C63AB097012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母親節禮物</t>
        </r>
        <r>
          <rPr>
            <sz val="9"/>
            <color indexed="81"/>
            <rFont val="Tahoma"/>
            <family val="2"/>
          </rPr>
          <t xml:space="preserve"> 5000</t>
        </r>
      </text>
    </comment>
    <comment ref="H97" authorId="0" shapeId="0" xr:uid="{4AEBE4DF-1198-4147-9E49-6BB4B255BDE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香港里程票稅金 7240
香港回程 11510
香港住宿
香港迪士尼 2857</t>
        </r>
      </text>
    </comment>
    <comment ref="I97" authorId="0" shapeId="0" xr:uid="{E9694CA1-F57A-49BE-ABE4-355E98F5623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灝美公寓5/3 5099
機場到迪士尼 1333
</t>
        </r>
      </text>
    </comment>
    <comment ref="J97" authorId="0" shapeId="0" xr:uid="{D3C9D789-B698-441A-8DDE-9E43F9F24C42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迪士尼</t>
        </r>
        <r>
          <rPr>
            <sz val="9"/>
            <color indexed="81"/>
            <rFont val="Tahoma"/>
            <family val="2"/>
          </rPr>
          <t xml:space="preserve"> 5685
</t>
        </r>
        <r>
          <rPr>
            <sz val="9"/>
            <color indexed="81"/>
            <rFont val="細明體"/>
            <family val="3"/>
            <charset val="136"/>
          </rPr>
          <t xml:space="preserve">迪士尼兒童餐*2 868
</t>
        </r>
      </text>
    </comment>
    <comment ref="K97" authorId="0" shapeId="0" xr:uid="{372CC953-82FE-4094-81FB-231E31336FD5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台灣機場接送加價 600</t>
        </r>
      </text>
    </comment>
    <comment ref="M97" authorId="0" shapeId="0" xr:uid="{7DFC5812-FBB4-4376-9DD5-9DBD002D2ACD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灝美公寓5/1-5/3 12947
香港迪士尼 2243
迪士尼猜券 1230</t>
        </r>
      </text>
    </comment>
    <comment ref="O97" authorId="0" shapeId="0" xr:uid="{81584CD3-B8E1-4BE0-88E3-BC1BE60466C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迪士尼探索家 5771</t>
        </r>
      </text>
    </comment>
    <comment ref="F98" authorId="0" shapeId="0" xr:uid="{FCE2F52B-6E5F-46F0-B39F-6AF08F74579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母親節花束</t>
        </r>
        <r>
          <rPr>
            <sz val="9"/>
            <color indexed="81"/>
            <rFont val="Tahoma"/>
            <family val="2"/>
          </rPr>
          <t xml:space="preserve"> 300</t>
        </r>
      </text>
    </comment>
    <comment ref="P98" authorId="0" shapeId="0" xr:uid="{C3AA6898-E31C-40F4-AC2E-CEB96AFD60C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母親節蛋糕</t>
        </r>
        <r>
          <rPr>
            <sz val="9"/>
            <color indexed="81"/>
            <rFont val="Tahoma"/>
            <family val="2"/>
          </rPr>
          <t xml:space="preserve"> 700</t>
        </r>
      </text>
    </comment>
    <comment ref="P99" authorId="0" shapeId="0" xr:uid="{682ECCEB-4944-41CE-B52D-FF5629C7C112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房屋稅 6853</t>
        </r>
      </text>
    </comment>
    <comment ref="H101" authorId="0" shapeId="0" xr:uid="{D2DC571B-E279-4F47-AD10-16A34D262414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姿君新家禮物 12880-6440</t>
        </r>
      </text>
    </comment>
    <comment ref="J104" authorId="0" shapeId="0" xr:uid="{0974AE48-59E0-4D54-B552-C9867FC77306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全家咖啡</t>
        </r>
        <r>
          <rPr>
            <sz val="9"/>
            <color indexed="81"/>
            <rFont val="Tahoma"/>
            <family val="2"/>
          </rPr>
          <t>60</t>
        </r>
        <r>
          <rPr>
            <sz val="9"/>
            <color indexed="81"/>
            <rFont val="細明體"/>
            <family val="3"/>
            <charset val="136"/>
          </rPr>
          <t>杯 1950</t>
        </r>
      </text>
    </comment>
    <comment ref="Q104" authorId="0" shapeId="0" xr:uid="{F3562960-5022-4718-8262-C18DAB4E4163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看醫生 1000
看醫生 1000</t>
        </r>
      </text>
    </comment>
    <comment ref="H105" authorId="0" shapeId="0" xr:uid="{FF1420F0-D736-457D-B156-043FACBF8732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皮革修護 490</t>
        </r>
      </text>
    </comment>
    <comment ref="I106" authorId="0" shapeId="0" xr:uid="{557560D0-0042-4DFF-9A7B-569EDB1AF54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494
電費 158</t>
        </r>
      </text>
    </comment>
    <comment ref="M106" authorId="0" shapeId="0" xr:uid="{47E000CF-E915-4A63-AD23-E2E3E764D9A6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發泡錠 198
洗碗粉 1399
掃地機零件 684</t>
        </r>
      </text>
    </comment>
    <comment ref="Q106" authorId="0" shapeId="0" xr:uid="{DF8D3A7D-956B-4B39-80B0-1A250BCC2313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瓦斯費 746</t>
        </r>
      </text>
    </comment>
    <comment ref="R106" authorId="0" shapeId="0" xr:uid="{8ED5BF7A-1919-44AB-B3AA-3F43DBB416E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玻璃杯 226</t>
        </r>
      </text>
    </comment>
    <comment ref="J107" authorId="0" shapeId="0" xr:uid="{9B17568B-C561-4CFA-9BEF-5422C63F4D7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加油1545</t>
        </r>
      </text>
    </comment>
    <comment ref="K107" authorId="0" shapeId="0" xr:uid="{17D0ABFF-7701-491E-A2BE-3E3A51BAC45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加油 1588</t>
        </r>
      </text>
    </comment>
    <comment ref="M107" authorId="0" shapeId="0" xr:uid="{2FE136C6-B80C-4008-8ADD-3D110440524D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 529
</t>
        </r>
        <r>
          <rPr>
            <sz val="9"/>
            <color indexed="81"/>
            <rFont val="細明體"/>
            <family val="3"/>
            <charset val="136"/>
          </rPr>
          <t>衡墨鏡</t>
        </r>
        <r>
          <rPr>
            <sz val="9"/>
            <color indexed="81"/>
            <rFont val="Tahoma"/>
            <family val="2"/>
          </rPr>
          <t xml:space="preserve"> 698</t>
        </r>
      </text>
    </comment>
    <comment ref="Q107" authorId="0" shapeId="0" xr:uid="{A6422A67-6F61-4E6F-B48C-8BBA745C4F34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太陽眼鏡 493</t>
        </r>
      </text>
    </comment>
    <comment ref="F108" authorId="0" shapeId="0" xr:uid="{183A2777-F87B-492E-8D2E-E9C8A47CED5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
下學期安親保娥 3000
IPAD貼膜 790
修手錶 200</t>
        </r>
      </text>
    </comment>
    <comment ref="H108" authorId="0" shapeId="0" xr:uid="{111B313D-7A55-44D6-8107-BF384C5470E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IPAD 9999</t>
        </r>
      </text>
    </comment>
    <comment ref="M108" authorId="0" shapeId="0" xr:uid="{33650B59-FD2D-424F-8EEF-5BFC10206687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觸控筆</t>
        </r>
        <r>
          <rPr>
            <sz val="9"/>
            <color indexed="81"/>
            <rFont val="Tahoma"/>
            <family val="2"/>
          </rPr>
          <t xml:space="preserve"> 1290</t>
        </r>
      </text>
    </comment>
    <comment ref="F109" authorId="0" shapeId="0" xr:uid="{7A0BB210-2CE4-4707-A4BA-B709E276373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大自然 5867
志清桌球營 2571
跆拳道檢定 1000</t>
        </r>
      </text>
    </comment>
    <comment ref="Q110" authorId="0" shapeId="0" xr:uid="{A20D7796-C02D-4A35-A38A-9328BF6B214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申請光碟 400</t>
        </r>
      </text>
    </comment>
    <comment ref="F112" authorId="0" shapeId="0" xr:uid="{664539BB-C6BE-4FD0-86C4-B5C56DE2C353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瑜珈 450</t>
        </r>
      </text>
    </comment>
    <comment ref="H112" authorId="0" shapeId="0" xr:uid="{53E0300A-5428-4048-A2E2-A8366B068FD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皮革修補膏 490</t>
        </r>
      </text>
    </comment>
    <comment ref="H113" authorId="0" shapeId="0" xr:uid="{078D410C-4242-435A-8201-396A486C95A6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IPAD 11 9999
</t>
        </r>
      </text>
    </comment>
    <comment ref="M117" authorId="0" shapeId="0" xr:uid="{0329BE77-6C3B-4859-A3F1-7E1C9DDF1FB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阿彥李哥生日蛋糕 850</t>
        </r>
      </text>
    </comment>
    <comment ref="Q119" authorId="0" shapeId="0" xr:uid="{F6C978E1-E4DD-4DE4-B27D-A9EB583CE5F5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第二期 40508/12
</t>
        </r>
      </text>
    </comment>
    <comment ref="F125" authorId="0" shapeId="0" xr:uid="{DBE126F7-BE56-4877-B10D-C86D0ED9A9F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萬隆水費 154</t>
        </r>
      </text>
    </comment>
    <comment ref="H125" authorId="0" shapeId="0" xr:uid="{D7CBD5BF-F769-48A7-A9C8-A97C4ED7948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停車費 160*4*4</t>
        </r>
      </text>
    </comment>
    <comment ref="I125" authorId="0" shapeId="0" xr:uid="{6768ECE7-90F2-40BC-BA16-DC7EE82CF217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4156</t>
        </r>
      </text>
    </comment>
    <comment ref="Q125" authorId="0" shapeId="0" xr:uid="{AB15904F-0BC4-4717-A55C-06FD4516F61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手機費1376</t>
        </r>
      </text>
    </comment>
    <comment ref="H126" authorId="0" shapeId="0" xr:uid="{5A9B563B-2D6A-4271-9651-8D4A9FFBEBE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加油 1474
手機費 1411</t>
        </r>
      </text>
    </comment>
    <comment ref="F127" authorId="0" shapeId="0" xr:uid="{001C0F15-4812-4CA2-ACD8-A33DF0EDF85D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TH</t>
        </r>
        <r>
          <rPr>
            <sz val="9"/>
            <color indexed="81"/>
            <rFont val="細明體"/>
            <family val="3"/>
            <charset val="136"/>
          </rPr>
          <t>保額 5000</t>
        </r>
      </text>
    </comment>
    <comment ref="F128" authorId="0" shapeId="0" xr:uid="{AFE9F758-7530-4DD0-8264-9604391C5BCE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細明體"/>
            <family val="3"/>
            <charset val="136"/>
          </rPr>
          <t>月成發 1000</t>
        </r>
      </text>
    </comment>
    <comment ref="I128" authorId="0" shapeId="0" xr:uid="{AEA3BCA4-8235-46D2-BADF-C1FEA633DD55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Dulingo 5000</t>
        </r>
      </text>
    </comment>
    <comment ref="F135" authorId="0" shapeId="0" xr:uid="{23F155B2-EEF3-453D-B163-2DF9A02F98FE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海豚班畢旅水泥角 2000</t>
        </r>
      </text>
    </comment>
    <comment ref="H135" authorId="0" shapeId="0" xr:uid="{84EE8880-D82D-4FD0-B212-73F86012B286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京都住宿</t>
        </r>
        <r>
          <rPr>
            <sz val="9"/>
            <color indexed="81"/>
            <rFont val="Tahoma"/>
            <family val="2"/>
          </rPr>
          <t xml:space="preserve"> 13459
</t>
        </r>
        <r>
          <rPr>
            <sz val="9"/>
            <color indexed="81"/>
            <rFont val="細明體"/>
            <family val="3"/>
            <charset val="136"/>
          </rPr>
          <t>環球影城快通 4129+4127+4127
豪華版關西周遊券 2669
豐橋住宿 2924</t>
        </r>
      </text>
    </comment>
    <comment ref="I135" authorId="0" shapeId="0" xr:uid="{45CFE7C2-684F-491C-8D18-7F27F1892245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香港回程+大阪去程 22679/2
回程星宇機票 12707+13951
富士山住宿 15532
豐橋飯店 2924
HOTEL IMAGINE 11156+167
本丸御殿 478
二條城+二支丸 636
寄行李 630
Kaba水陸兩用車 1777+26+2962+44
京都豐橋新幹線 26085*0.21
Section L 19003
KABA 2204</t>
        </r>
      </text>
    </comment>
    <comment ref="J135" authorId="0" shapeId="0" xr:uid="{0EC5FAD4-57A9-4F0D-ABE5-5EEFF31677D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關西豪華版*2 5558
三鳩亭 7527</t>
        </r>
      </text>
    </comment>
    <comment ref="K135" authorId="0" shapeId="0" xr:uid="{40CA7E04-5238-4E82-A3F1-39351F355B9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保津川遊船 2678</t>
        </r>
      </text>
    </comment>
    <comment ref="M135" authorId="0" shapeId="0" xr:uid="{33F7AFE0-A86F-4BD4-A3ED-96CB1D0E5E53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環球影城快通</t>
        </r>
        <r>
          <rPr>
            <sz val="9"/>
            <color indexed="81"/>
            <rFont val="Tahoma"/>
            <family val="2"/>
          </rPr>
          <t xml:space="preserve"> 4129
</t>
        </r>
        <r>
          <rPr>
            <sz val="9"/>
            <color indexed="81"/>
            <rFont val="細明體"/>
            <family val="3"/>
            <charset val="136"/>
          </rPr>
          <t>豪華版關西周遊券</t>
        </r>
        <r>
          <rPr>
            <sz val="9"/>
            <color indexed="81"/>
            <rFont val="Tahoma"/>
            <family val="2"/>
          </rPr>
          <t xml:space="preserve"> 2669</t>
        </r>
      </text>
    </comment>
    <comment ref="P135" authorId="0" shapeId="0" xr:uid="{FDD5DAFA-6B7B-43F5-A873-8DCBE9FD777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Liber hotel osaka 18697-3000+280
</t>
        </r>
        <r>
          <rPr>
            <sz val="9"/>
            <color indexed="81"/>
            <rFont val="細明體"/>
            <family val="3"/>
            <charset val="136"/>
          </rPr>
          <t xml:space="preserve">富士山租車 2694
</t>
        </r>
      </text>
    </comment>
    <comment ref="R135" authorId="0" shapeId="0" xr:uid="{7FF675E0-0E79-4A65-831B-B019C06DE10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機場接送 975+775
</t>
        </r>
      </text>
    </comment>
    <comment ref="H136" authorId="0" shapeId="0" xr:uid="{863B1C04-B92F-49C9-A06D-D7D3318E77E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媽聚餐 913
</t>
        </r>
      </text>
    </comment>
    <comment ref="Q138" authorId="0" shapeId="0" xr:uid="{34C904C6-FB80-4222-8D09-A38707742BB2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第二期 40508/12
</t>
        </r>
      </text>
    </comment>
    <comment ref="H139" authorId="0" shapeId="0" xr:uid="{2FFFCD04-2346-4E62-B262-5A38749D574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</t>
        </r>
        <r>
          <rPr>
            <sz val="9"/>
            <color indexed="81"/>
            <rFont val="細明體"/>
            <family val="3"/>
            <charset val="136"/>
          </rPr>
          <t xml:space="preserve">保養+皮帶 </t>
        </r>
        <r>
          <rPr>
            <sz val="9"/>
            <color indexed="81"/>
            <rFont val="Tahoma"/>
            <family val="2"/>
          </rPr>
          <t xml:space="preserve">2241
</t>
        </r>
      </text>
    </comment>
    <comment ref="F144" authorId="0" shapeId="0" xr:uid="{367208BF-9D2A-453D-9488-0DEE0358218D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電費66</t>
        </r>
      </text>
    </comment>
    <comment ref="F146" authorId="0" shapeId="0" xr:uid="{38D43302-77DA-41C8-BB6D-2938F0FB949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參考書 800</t>
        </r>
      </text>
    </comment>
    <comment ref="K146" authorId="0" shapeId="0" xr:uid="{8A5E276F-9091-422E-A7AD-D622D838A905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璿翰暑營 910+5739</t>
        </r>
      </text>
    </comment>
    <comment ref="F147" authorId="0" shapeId="0" xr:uid="{A5E3E94F-6797-4770-89B2-4602AC58CA0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何嘉仁暑期營 21000</t>
        </r>
      </text>
    </comment>
    <comment ref="O151" authorId="0" shapeId="0" xr:uid="{F7CF73EC-28A4-46E4-A927-6482BB6E42CB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爆豪 1500</t>
        </r>
      </text>
    </comment>
    <comment ref="M152" authorId="0" shapeId="0" xr:uid="{C47497F7-09B9-4BDE-B0FF-32683C50434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轟焦棟 2149</t>
        </r>
      </text>
    </comment>
    <comment ref="K157" authorId="0" shapeId="0" xr:uid="{6AFAD5D2-7ED2-4BE1-9DEB-F3524EA4214E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汽車強制險 739</t>
        </r>
      </text>
    </comment>
    <comment ref="Q157" authorId="0" shapeId="0" xr:uid="{0253123C-4147-4BEE-8074-FC9E348D66B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第二期 40508/12
</t>
        </r>
      </text>
    </comment>
    <comment ref="Q158" authorId="0" shapeId="0" xr:uid="{47227ABE-E4D6-4200-A677-AC48505C37C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拜小韋 3000
拜小韋 1000</t>
        </r>
      </text>
    </comment>
    <comment ref="F165" authorId="0" shapeId="0" xr:uid="{40C8254D-D81B-45D5-A5AC-520FECDAB3E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  <comment ref="K165" authorId="0" shapeId="0" xr:uid="{54748EB2-99D2-4619-8B78-C867D6C503A5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再興學費分期</t>
        </r>
      </text>
    </comment>
    <comment ref="Q176" authorId="0" shapeId="0" xr:uid="{B4E1AB59-AAEA-4786-84F4-0A1C2A5CCC42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第二期 40508/12
</t>
        </r>
      </text>
    </comment>
    <comment ref="F184" authorId="0" shapeId="0" xr:uid="{A2E3E65D-6BD0-4E00-8388-A483EF33037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  <comment ref="K184" authorId="0" shapeId="0" xr:uid="{36247CB7-2D8A-4A40-8F79-96B12C01439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再興學費分期</t>
        </r>
      </text>
    </comment>
    <comment ref="Q195" authorId="0" shapeId="0" xr:uid="{6DCCD94D-5D70-4CA6-B1D3-01B2F9C57EA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第二期 40508/12
</t>
        </r>
      </text>
    </comment>
    <comment ref="F203" authorId="0" shapeId="0" xr:uid="{D09A26AF-DBA0-4F33-AFF6-529B76B2C9D7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  <comment ref="K203" authorId="0" shapeId="0" xr:uid="{A9BFA82B-2198-4C7C-A83D-6BB2FB3C5418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再興學費分期</t>
        </r>
      </text>
    </comment>
    <comment ref="Q214" authorId="0" shapeId="0" xr:uid="{2FF8B4AB-59F4-4ECB-927E-76803FA26B1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第二期 40508/12
</t>
        </r>
      </text>
    </comment>
    <comment ref="F222" authorId="0" shapeId="0" xr:uid="{3398759D-DB4C-4B8A-B421-64AE54182387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丁純蘭</author>
  </authors>
  <commentList>
    <comment ref="F2" authorId="0" shapeId="0" xr:uid="{90491D19-6CB9-43EA-B48A-B6D62BDE6A96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iphone14</t>
        </r>
        <r>
          <rPr>
            <sz val="9"/>
            <color indexed="81"/>
            <rFont val="細明體"/>
            <family val="3"/>
            <charset val="136"/>
          </rPr>
          <t xml:space="preserve"> 34800+2000
</t>
        </r>
      </text>
    </comment>
    <comment ref="O2" authorId="0" shapeId="0" xr:uid="{6A9CD73D-1112-4988-9D2B-E5820FBE2B2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外套</t>
        </r>
        <r>
          <rPr>
            <sz val="9"/>
            <color indexed="81"/>
            <rFont val="Tahoma"/>
            <family val="2"/>
          </rPr>
          <t xml:space="preserve"> 9500
</t>
        </r>
      </text>
    </comment>
    <comment ref="F3" authorId="0" shapeId="0" xr:uid="{C1556DB3-B5C3-4114-8B2F-A0206B650D87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衡學費 45465
列印 66</t>
        </r>
      </text>
    </comment>
    <comment ref="F21" authorId="0" shapeId="0" xr:uid="{E4C68C65-3935-49DB-AFAE-3EC76099083D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朝慶去程機票 2267</t>
        </r>
      </text>
    </comment>
    <comment ref="I21" authorId="0" shapeId="0" xr:uid="{AF1FFB73-861D-4D2C-A324-6DEC07C18354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台北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>東京里程票稅金 2098
阿拉斯加票稅金 32+396+944</t>
        </r>
      </text>
    </comment>
    <comment ref="K21" authorId="0" shapeId="0" xr:uid="{D4A148D8-7956-4C63-B8FC-9C886B4C13E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台北東京華航機票 26766</t>
        </r>
      </text>
    </comment>
    <comment ref="M21" authorId="0" shapeId="0" xr:uid="{5B152CA1-9BD5-49A3-B814-0169B0B66C8D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朝慶回程機票 6979</t>
        </r>
      </text>
    </comment>
    <comment ref="F51" authorId="0" shapeId="0" xr:uid="{6EAC0991-9D11-441E-9A9C-EB2AE9B39A9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  <comment ref="F70" authorId="0" shapeId="0" xr:uid="{0AE9F623-35B2-4599-BF5D-4D8E158E2F9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  <comment ref="F89" authorId="0" shapeId="0" xr:uid="{D62E9D39-899A-477A-BC4C-5BFDF1E8EC6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  <comment ref="H97" authorId="0" shapeId="0" xr:uid="{4C16FCE8-F76F-4E02-A0DB-33217762B899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香港里程票稅金 7240
香港回程 11510</t>
        </r>
      </text>
    </comment>
    <comment ref="F108" authorId="0" shapeId="0" xr:uid="{0876D237-0A32-43B1-BBD3-7BB63627EBB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  <comment ref="Q119" authorId="0" shapeId="0" xr:uid="{CEF55F64-8431-4CB4-A18E-95F322943601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第二期 40508/12
</t>
        </r>
      </text>
    </comment>
    <comment ref="I135" authorId="0" shapeId="0" xr:uid="{215BBE39-9286-4497-9433-3291F123C49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香港回程+大阪去程 22679/2
回程星宇機票 12707+13951</t>
        </r>
      </text>
    </comment>
    <comment ref="Q138" authorId="0" shapeId="0" xr:uid="{715F3D6A-1EF6-43BA-919B-A4E124BE28BA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第二期 40508/12
</t>
        </r>
      </text>
    </comment>
    <comment ref="Q157" authorId="0" shapeId="0" xr:uid="{039E49AE-EDA3-43A0-9C9F-5E3FBD7519E4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第二期 40508/12
</t>
        </r>
      </text>
    </comment>
    <comment ref="F165" authorId="0" shapeId="0" xr:uid="{5831F6E5-B556-490C-9DC6-271A59D546B7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  <comment ref="Q176" authorId="0" shapeId="0" xr:uid="{A8FB734B-D8EA-41DF-8464-546B0A382BF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第二期 40508/12
</t>
        </r>
      </text>
    </comment>
    <comment ref="F184" authorId="0" shapeId="0" xr:uid="{3E44F2F4-7315-4E2B-A848-26410AE1B43C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  <comment ref="Q195" authorId="0" shapeId="0" xr:uid="{15D42D74-6D66-4826-BA65-AFD6EF1D3D4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第二期 40508/12
</t>
        </r>
      </text>
    </comment>
    <comment ref="F203" authorId="0" shapeId="0" xr:uid="{03B04B06-6F7D-4B70-A97B-1CAA84A73813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  <comment ref="F222" authorId="0" shapeId="0" xr:uid="{1112DD4D-3DDD-46E5-8963-DB2EDA389C0F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衡安親 6500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丁純蘭</author>
  </authors>
  <commentList>
    <comment ref="F2" authorId="0" shapeId="0" xr:uid="{00000000-0006-0000-0400-00000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iphone14</t>
        </r>
        <r>
          <rPr>
            <sz val="9"/>
            <color indexed="81"/>
            <rFont val="細明體"/>
            <family val="3"/>
            <charset val="136"/>
          </rPr>
          <t xml:space="preserve"> 34800+2000
</t>
        </r>
      </text>
    </comment>
    <comment ref="O2" authorId="0" shapeId="0" xr:uid="{00000000-0006-0000-0400-00000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外套</t>
        </r>
        <r>
          <rPr>
            <sz val="9"/>
            <color indexed="81"/>
            <rFont val="Tahoma"/>
            <family val="2"/>
          </rPr>
          <t xml:space="preserve"> 9500
</t>
        </r>
      </text>
    </comment>
    <comment ref="F3" authorId="0" shapeId="0" xr:uid="{00000000-0006-0000-0400-00000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衡學費 45465
列印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丁純蘭</author>
  </authors>
  <commentList>
    <comment ref="F2" authorId="0" shapeId="0" xr:uid="{00000000-0006-0000-0600-00000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屁屁偵探*10 1850
</t>
        </r>
      </text>
    </comment>
    <comment ref="F6" authorId="0" shapeId="0" xr:uid="{00000000-0006-0000-0600-00000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寶可夢 60
寶可夢卡 200</t>
        </r>
      </text>
    </comment>
    <comment ref="G6" authorId="0" shapeId="0" xr:uid="{00000000-0006-0000-0600-00000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三井SEGA 200</t>
        </r>
      </text>
    </comment>
    <comment ref="H6" authorId="0" shapeId="0" xr:uid="{00000000-0006-0000-0600-00000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屁屁偵探漫畫 474</t>
        </r>
      </text>
    </comment>
    <comment ref="F7" authorId="0" shapeId="0" xr:uid="{00000000-0006-0000-0600-00000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VIVI</t>
        </r>
        <r>
          <rPr>
            <sz val="9"/>
            <color indexed="81"/>
            <rFont val="細明體"/>
            <family val="3"/>
            <charset val="136"/>
          </rPr>
          <t>弄瓦之喜
三子剪髮 910
牛軋糖 900</t>
        </r>
      </text>
    </comment>
    <comment ref="G8" authorId="0" shapeId="0" xr:uid="{00000000-0006-0000-0600-00000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咖啡膠囊</t>
        </r>
      </text>
    </comment>
    <comment ref="H8" authorId="0" shapeId="0" xr:uid="{00000000-0006-0000-0600-00000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欣欣天然氣 496
</t>
        </r>
      </text>
    </comment>
    <comment ref="F9" authorId="0" shapeId="0" xr:uid="{00000000-0006-0000-0600-00000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
Alex</t>
        </r>
        <r>
          <rPr>
            <sz val="9"/>
            <color indexed="81"/>
            <rFont val="細明體"/>
            <family val="3"/>
            <charset val="136"/>
          </rPr>
          <t>電話 488
黑鑽卡升級費用 975
市話 70</t>
        </r>
      </text>
    </comment>
    <comment ref="I9" authorId="0" shapeId="0" xr:uid="{00000000-0006-0000-0600-00000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 1143</t>
        </r>
      </text>
    </comment>
    <comment ref="Q9" authorId="0" shapeId="0" xr:uid="{00000000-0006-0000-0600-00000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3079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8500
</t>
        </r>
        <r>
          <rPr>
            <sz val="9"/>
            <color indexed="81"/>
            <rFont val="細明體"/>
            <family val="3"/>
            <charset val="136"/>
          </rPr>
          <t>台灣之星 514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第四台 1500
手機殼 279</t>
        </r>
      </text>
    </comment>
    <comment ref="F10" authorId="0" shapeId="0" xr:uid="{00000000-0006-0000-0600-00000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洗車 1300</t>
        </r>
      </text>
    </comment>
    <comment ref="F11" authorId="0" shapeId="0" xr:uid="{00000000-0006-0000-0600-00000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costco 2229
(</t>
        </r>
        <r>
          <rPr>
            <sz val="9"/>
            <color indexed="81"/>
            <rFont val="細明體"/>
            <family val="3"/>
            <charset val="136"/>
          </rPr>
          <t>堅果/鮮奶/貝果/炸海苔/洋芋片)
勝王 580
全家咖啡 1688</t>
        </r>
      </text>
    </comment>
    <comment ref="H11" authorId="0" shapeId="0" xr:uid="{00000000-0006-0000-0600-00000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麵包 140
全聯 563</t>
        </r>
      </text>
    </comment>
    <comment ref="I11" authorId="0" shapeId="0" xr:uid="{00000000-0006-0000-0600-00000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全家咖啡 1688</t>
        </r>
      </text>
    </comment>
    <comment ref="J11" authorId="0" shapeId="0" xr:uid="{00000000-0006-0000-0600-00000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藏壽司 830
滾吧 1213
乾杯 1734
</t>
        </r>
      </text>
    </comment>
    <comment ref="F14" authorId="0" shapeId="0" xr:uid="{00000000-0006-0000-0600-00001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翰翰鞋 529
看牙 80
健康檢查 400
迪卡農4617
helmet shield 300
過碳酸鈉 225
翰翰鞋 883
陳威看手 480
衡衡鞋 999
修摩托車 1200
定型液 249
衡看皮膚科 200
打流感疫苗 300
</t>
        </r>
      </text>
    </comment>
    <comment ref="H14" authorId="0" shapeId="0" xr:uid="{00000000-0006-0000-0600-00001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大國藥妝 2441
服務費 36
打流感 100
過碳酸鈉 225
衛生棉 99</t>
        </r>
      </text>
    </comment>
    <comment ref="I14" authorId="0" shapeId="0" xr:uid="{00000000-0006-0000-0600-00001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威猛先生清香凍 125
魔鬼氈 20
漱口水 532
衛生紙 534</t>
        </r>
      </text>
    </comment>
    <comment ref="F15" authorId="0" shapeId="0" xr:uid="{00000000-0006-0000-0600-00001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小班保額 5000</t>
        </r>
      </text>
    </comment>
    <comment ref="H15" authorId="0" shapeId="0" xr:uid="{00000000-0006-0000-0600-00001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翰下學期社團</t>
        </r>
        <r>
          <rPr>
            <sz val="9"/>
            <color indexed="81"/>
            <rFont val="Tahoma"/>
            <family val="2"/>
          </rPr>
          <t xml:space="preserve"> 1810
</t>
        </r>
      </text>
    </comment>
    <comment ref="F16" authorId="0" shapeId="0" xr:uid="{00000000-0006-0000-0600-00001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手機殼 446
運動褲 400
Lowersfarm 1880</t>
        </r>
      </text>
    </comment>
    <comment ref="G16" authorId="0" shapeId="0" xr:uid="{00000000-0006-0000-0600-00001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做臉 2022
</t>
        </r>
      </text>
    </comment>
    <comment ref="H16" authorId="0" shapeId="0" xr:uid="{00000000-0006-0000-0600-00001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Mango 990
</t>
        </r>
      </text>
    </comment>
    <comment ref="F17" authorId="0" shapeId="0" xr:uid="{00000000-0006-0000-0600-00001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手機殼 446
運動褲 1090</t>
        </r>
      </text>
    </comment>
    <comment ref="H17" authorId="0" shapeId="0" xr:uid="{00000000-0006-0000-0600-00001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muji jacket 840
</t>
        </r>
      </text>
    </comment>
    <comment ref="F18" authorId="0" shapeId="0" xr:uid="{00000000-0006-0000-0600-00001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發光彈弓 75</t>
        </r>
      </text>
    </comment>
    <comment ref="H18" authorId="0" shapeId="0" xr:uid="{00000000-0006-0000-0600-00001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pika pojama
pokemon Go 300
</t>
        </r>
      </text>
    </comment>
    <comment ref="I18" authorId="0" shapeId="0" xr:uid="{00000000-0006-0000-0600-00001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魔幻陀螺</t>
        </r>
        <r>
          <rPr>
            <sz val="9"/>
            <color indexed="81"/>
            <rFont val="Tahoma"/>
            <family val="2"/>
          </rPr>
          <t xml:space="preserve"> 499</t>
        </r>
      </text>
    </comment>
    <comment ref="F19" authorId="0" shapeId="0" xr:uid="{00000000-0006-0000-0600-00001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發光彈弓 75</t>
        </r>
      </text>
    </comment>
    <comment ref="H19" authorId="0" shapeId="0" xr:uid="{00000000-0006-0000-0600-00001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pika pojama
</t>
        </r>
        <r>
          <rPr>
            <sz val="9"/>
            <color indexed="81"/>
            <rFont val="細明體"/>
            <family val="3"/>
            <charset val="136"/>
          </rPr>
          <t>魔幻陀螺 499</t>
        </r>
      </text>
    </comment>
    <comment ref="I19" authorId="0" shapeId="0" xr:uid="{00000000-0006-0000-0600-00001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魔幻陀螺</t>
        </r>
        <r>
          <rPr>
            <sz val="9"/>
            <color indexed="81"/>
            <rFont val="Tahoma"/>
            <family val="2"/>
          </rPr>
          <t xml:space="preserve"> 499</t>
        </r>
      </text>
    </comment>
    <comment ref="F20" authorId="0" shapeId="0" xr:uid="{00000000-0006-0000-0600-00002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12"/>
            <color indexed="81"/>
            <rFont val="細明體"/>
            <family val="3"/>
            <charset val="136"/>
          </rPr>
          <t xml:space="preserve">露營拖車 1490
日式碗盤 1900
煙火 40
</t>
        </r>
      </text>
    </comment>
    <comment ref="H20" authorId="0" shapeId="0" xr:uid="{00000000-0006-0000-0600-00002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電池 78</t>
        </r>
      </text>
    </comment>
    <comment ref="I20" authorId="0" shapeId="0" xr:uid="{00000000-0006-0000-0600-00002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Switch</t>
        </r>
        <r>
          <rPr>
            <sz val="9"/>
            <color indexed="81"/>
            <rFont val="細明體"/>
            <family val="3"/>
            <charset val="136"/>
          </rPr>
          <t xml:space="preserve">盒套 299
愛奇藝 30
</t>
        </r>
      </text>
    </comment>
    <comment ref="Q20" authorId="0" shapeId="0" xr:uid="{00000000-0006-0000-0600-00002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muji</t>
        </r>
        <r>
          <rPr>
            <sz val="9"/>
            <color indexed="81"/>
            <rFont val="細明體"/>
            <family val="3"/>
            <charset val="136"/>
          </rPr>
          <t>美華外套</t>
        </r>
        <r>
          <rPr>
            <sz val="9"/>
            <color indexed="81"/>
            <rFont val="Tahoma"/>
            <family val="2"/>
          </rPr>
          <t xml:space="preserve"> 740
</t>
        </r>
        <r>
          <rPr>
            <sz val="9"/>
            <color indexed="81"/>
            <rFont val="細明體"/>
            <family val="3"/>
            <charset val="136"/>
          </rPr>
          <t>阿彥</t>
        </r>
        <r>
          <rPr>
            <sz val="9"/>
            <color indexed="81"/>
            <rFont val="Tahoma"/>
            <family val="2"/>
          </rPr>
          <t>uniqlo</t>
        </r>
        <r>
          <rPr>
            <sz val="9"/>
            <color indexed="81"/>
            <rFont val="細明體"/>
            <family val="3"/>
            <charset val="136"/>
          </rPr>
          <t>外套</t>
        </r>
        <r>
          <rPr>
            <sz val="9"/>
            <color indexed="81"/>
            <rFont val="Tahoma"/>
            <family val="2"/>
          </rPr>
          <t xml:space="preserve"> 1990
</t>
        </r>
        <r>
          <rPr>
            <sz val="9"/>
            <color indexed="81"/>
            <rFont val="細明體"/>
            <family val="3"/>
            <charset val="136"/>
          </rPr>
          <t>老媽手機殼 279</t>
        </r>
      </text>
    </comment>
    <comment ref="F22" authorId="0" shapeId="0" xr:uid="{00000000-0006-0000-0600-00002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麥當勞</t>
        </r>
        <r>
          <rPr>
            <sz val="9"/>
            <color indexed="81"/>
            <rFont val="Tahoma"/>
            <family val="2"/>
          </rPr>
          <t>withDad 1361</t>
        </r>
      </text>
    </comment>
    <comment ref="H22" authorId="0" shapeId="0" xr:uid="{00000000-0006-0000-0600-00002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Pizza hut with mom</t>
        </r>
      </text>
    </comment>
    <comment ref="F23" authorId="0" shapeId="0" xr:uid="{00000000-0006-0000-0600-00002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3078</t>
        </r>
      </text>
    </comment>
    <comment ref="F25" authorId="0" shapeId="0" xr:uid="{00000000-0006-0000-0600-00002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宏茵生baby</t>
        </r>
      </text>
    </comment>
    <comment ref="I25" authorId="0" shapeId="0" xr:uid="{00000000-0006-0000-0600-00002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紅豆糕</t>
        </r>
        <r>
          <rPr>
            <sz val="9"/>
            <color indexed="81"/>
            <rFont val="Tahoma"/>
            <family val="2"/>
          </rPr>
          <t>for ching 635</t>
        </r>
      </text>
    </comment>
    <comment ref="Q25" authorId="0" shapeId="0" xr:uid="{00000000-0006-0000-0600-00002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爸媽紅包 12000+8000
偉哲萱萱 2000*2
朝慶爸媽 20000</t>
        </r>
      </text>
    </comment>
    <comment ref="I26" authorId="0" shapeId="0" xr:uid="{00000000-0006-0000-0600-00002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小一下學雜費 1025+1284
</t>
        </r>
      </text>
    </comment>
    <comment ref="F28" authorId="0" shapeId="0" xr:uid="{00000000-0006-0000-0600-00002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
Alex</t>
        </r>
        <r>
          <rPr>
            <sz val="9"/>
            <color indexed="81"/>
            <rFont val="細明體"/>
            <family val="3"/>
            <charset val="136"/>
          </rPr>
          <t xml:space="preserve">電話 488
</t>
        </r>
      </text>
    </comment>
    <comment ref="H28" authorId="0" shapeId="0" xr:uid="{00000000-0006-0000-0600-00002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電費 1112
</t>
        </r>
      </text>
    </comment>
    <comment ref="Q28" authorId="0" shapeId="0" xr:uid="{00000000-0006-0000-0600-00002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3079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8500
</t>
        </r>
        <r>
          <rPr>
            <sz val="9"/>
            <color indexed="81"/>
            <rFont val="細明體"/>
            <family val="3"/>
            <charset val="136"/>
          </rPr>
          <t>電費 873
電話費 594</t>
        </r>
      </text>
    </comment>
    <comment ref="I29" authorId="0" shapeId="0" xr:uid="{00000000-0006-0000-0600-00002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Etag 400
</t>
        </r>
      </text>
    </comment>
    <comment ref="F30" authorId="0" shapeId="0" xr:uid="{00000000-0006-0000-0600-00002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肉圓 600</t>
        </r>
      </text>
    </comment>
    <comment ref="H30" authorId="0" shapeId="0" xr:uid="{00000000-0006-0000-0600-00003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全聯 534
</t>
        </r>
      </text>
    </comment>
    <comment ref="I30" authorId="0" shapeId="0" xr:uid="{00000000-0006-0000-0600-00003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司康 385
</t>
        </r>
      </text>
    </comment>
    <comment ref="J30" authorId="0" shapeId="0" xr:uid="{00000000-0006-0000-0600-00003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oggi 190
</t>
        </r>
        <r>
          <rPr>
            <sz val="9"/>
            <color indexed="81"/>
            <rFont val="細明體"/>
            <family val="3"/>
            <charset val="136"/>
          </rPr>
          <t>和食 587</t>
        </r>
      </text>
    </comment>
    <comment ref="L30" authorId="0" shapeId="0" xr:uid="{00000000-0006-0000-0600-00003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costco 3556</t>
        </r>
      </text>
    </comment>
    <comment ref="F33" authorId="0" shapeId="0" xr:uid="{00000000-0006-0000-0600-00003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三秒膠+鉛筆 91
</t>
        </r>
      </text>
    </comment>
    <comment ref="H33" authorId="0" shapeId="0" xr:uid="{00000000-0006-0000-0600-00003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ihouse bulb 679
lint roller 468</t>
        </r>
      </text>
    </comment>
    <comment ref="I33" authorId="0" shapeId="0" xr:uid="{00000000-0006-0000-0600-00003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模型膠 11
</t>
        </r>
      </text>
    </comment>
    <comment ref="J33" authorId="0" shapeId="0" xr:uid="{00000000-0006-0000-0600-00003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ahachan</t>
        </r>
        <r>
          <rPr>
            <sz val="9"/>
            <color indexed="81"/>
            <rFont val="細明體"/>
            <family val="3"/>
            <charset val="136"/>
          </rPr>
          <t>電動牙刷刷頭 220</t>
        </r>
      </text>
    </comment>
    <comment ref="F34" authorId="0" shapeId="0" xr:uid="{00000000-0006-0000-0600-00003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小班註冊費 33000
月費 11500
教材費 5615
活動費 2000
保額 -5000
2月餐費退 -454-131
兄弟優惠 -1650
安親費用 5000
TH-4 30450</t>
        </r>
      </text>
    </comment>
    <comment ref="F35" authorId="0" shapeId="0" xr:uid="{00000000-0006-0000-0600-00003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airpods</t>
        </r>
        <r>
          <rPr>
            <sz val="9"/>
            <color indexed="81"/>
            <rFont val="細明體"/>
            <family val="3"/>
            <charset val="136"/>
          </rPr>
          <t>耳機</t>
        </r>
      </text>
    </comment>
    <comment ref="L35" authorId="0" shapeId="0" xr:uid="{00000000-0006-0000-0600-00003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RhinoShield case(airpods air) 450</t>
        </r>
      </text>
    </comment>
    <comment ref="F37" authorId="0" shapeId="0" xr:uid="{00000000-0006-0000-0600-00003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路卡力歐 330
擴充票 700
</t>
        </r>
      </text>
    </comment>
    <comment ref="H37" authorId="0" shapeId="0" xr:uid="{00000000-0006-0000-0600-00003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假面騎士腰帶</t>
        </r>
        <r>
          <rPr>
            <sz val="9"/>
            <color indexed="81"/>
            <rFont val="Tahoma"/>
            <family val="2"/>
          </rPr>
          <t xml:space="preserve"> 601</t>
        </r>
      </text>
    </comment>
    <comment ref="F38" authorId="0" shapeId="0" xr:uid="{00000000-0006-0000-0600-00003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假面騎士腰帶</t>
        </r>
        <r>
          <rPr>
            <sz val="9"/>
            <color indexed="81"/>
            <rFont val="Tahoma"/>
            <family val="2"/>
          </rPr>
          <t xml:space="preserve"> 601</t>
        </r>
      </text>
    </comment>
    <comment ref="H38" authorId="0" shapeId="0" xr:uid="{00000000-0006-0000-0600-00003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假面騎士腰帶</t>
        </r>
        <r>
          <rPr>
            <sz val="9"/>
            <color indexed="81"/>
            <rFont val="Tahoma"/>
            <family val="2"/>
          </rPr>
          <t xml:space="preserve"> 601</t>
        </r>
      </text>
    </comment>
    <comment ref="I38" authorId="0" shapeId="0" xr:uid="{00000000-0006-0000-0600-00003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迫近龍 990</t>
        </r>
      </text>
    </comment>
    <comment ref="F39" authorId="0" shapeId="0" xr:uid="{00000000-0006-0000-0600-00004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煙火</t>
        </r>
        <r>
          <rPr>
            <sz val="9"/>
            <color indexed="81"/>
            <rFont val="Tahoma"/>
            <family val="2"/>
          </rPr>
          <t xml:space="preserve"> 370+570
</t>
        </r>
        <r>
          <rPr>
            <sz val="9"/>
            <color indexed="81"/>
            <rFont val="細明體"/>
            <family val="3"/>
            <charset val="136"/>
          </rPr>
          <t>刮刮樂 500
Jmart遊樂場 160</t>
        </r>
      </text>
    </comment>
    <comment ref="F40" authorId="0" shapeId="0" xr:uid="{00000000-0006-0000-0600-00004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烏來台車 260
新馬辣 2310
</t>
        </r>
      </text>
    </comment>
    <comment ref="G40" authorId="0" shapeId="0" xr:uid="{00000000-0006-0000-0600-00004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馥蘭朵 880</t>
        </r>
      </text>
    </comment>
    <comment ref="J40" authorId="0" shapeId="0" xr:uid="{00000000-0006-0000-0600-00004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肉浪1879
米炭火 2213(4426)
瑞莎塔 1606</t>
        </r>
      </text>
    </comment>
    <comment ref="F42" authorId="0" shapeId="0" xr:uid="{00000000-0006-0000-0600-00004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3078</t>
        </r>
      </text>
    </comment>
    <comment ref="H42" authorId="0" shapeId="0" xr:uid="{00000000-0006-0000-0600-00004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牌照稅</t>
        </r>
        <r>
          <rPr>
            <sz val="9"/>
            <color indexed="81"/>
            <rFont val="Tahoma"/>
            <family val="2"/>
          </rPr>
          <t xml:space="preserve"> 11230</t>
        </r>
      </text>
    </comment>
    <comment ref="F47" authorId="0" shapeId="0" xr:uid="{00000000-0006-0000-0600-00004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</t>
        </r>
        <r>
          <rPr>
            <sz val="9"/>
            <color indexed="81"/>
            <rFont val="細明體"/>
            <family val="3"/>
            <charset val="136"/>
          </rPr>
          <t xml:space="preserve">
中華電信 70</t>
        </r>
      </text>
    </comment>
    <comment ref="H47" authorId="0" shapeId="0" xr:uid="{00000000-0006-0000-0600-00004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瓦斯費 538
水費 434+559
中華電信 617+488
</t>
        </r>
      </text>
    </comment>
    <comment ref="Q47" authorId="0" shapeId="0" xr:uid="{00000000-0006-0000-0600-00004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3065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8500
</t>
        </r>
        <r>
          <rPr>
            <sz val="9"/>
            <color indexed="81"/>
            <rFont val="細明體"/>
            <family val="3"/>
            <charset val="136"/>
          </rPr>
          <t>第四台 1500
台灣之星 506
電費 1012</t>
        </r>
      </text>
    </comment>
    <comment ref="F49" authorId="0" shapeId="0" xr:uid="{00000000-0006-0000-0600-00004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大盛豬排 1590</t>
        </r>
      </text>
    </comment>
    <comment ref="H49" authorId="0" shapeId="0" xr:uid="{00000000-0006-0000-0600-00004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滾吧 1101</t>
        </r>
      </text>
    </comment>
    <comment ref="J49" authorId="0" shapeId="0" xr:uid="{00000000-0006-0000-0600-00004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藏壽司 760</t>
        </r>
      </text>
    </comment>
    <comment ref="H51" authorId="0" shapeId="0" xr:uid="{00000000-0006-0000-0600-00004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奶粉 2380</t>
        </r>
      </text>
    </comment>
    <comment ref="F52" authorId="0" shapeId="0" xr:uid="{00000000-0006-0000-0600-00004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拉鍊夾 224
白膠   32
衡襪子 190</t>
        </r>
      </text>
    </comment>
    <comment ref="H52" authorId="0" shapeId="0" xr:uid="{00000000-0006-0000-0600-00004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曬衣夾 35
曬褲架 300</t>
        </r>
      </text>
    </comment>
    <comment ref="Q52" authorId="0" shapeId="0" xr:uid="{00000000-0006-0000-0600-00004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拜小韋 4000</t>
        </r>
      </text>
    </comment>
    <comment ref="F53" authorId="0" shapeId="0" xr:uid="{00000000-0006-0000-0600-00005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志清學費 1316+1160
安親教材費 2000
衡科學課 7800
翰科學課 5200</t>
        </r>
      </text>
    </comment>
    <comment ref="F55" authorId="0" shapeId="0" xr:uid="{00000000-0006-0000-0600-00005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</t>
        </r>
        <r>
          <rPr>
            <sz val="9"/>
            <color indexed="81"/>
            <rFont val="細明體"/>
            <family val="3"/>
            <charset val="136"/>
          </rPr>
          <t>衣服</t>
        </r>
      </text>
    </comment>
    <comment ref="J55" authorId="0" shapeId="0" xr:uid="{00000000-0006-0000-0600-00005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Bershika 890(</t>
        </r>
        <r>
          <rPr>
            <sz val="9"/>
            <color indexed="81"/>
            <rFont val="細明體"/>
            <family val="3"/>
            <charset val="136"/>
          </rPr>
          <t>刷390)</t>
        </r>
      </text>
    </comment>
    <comment ref="H56" authorId="0" shapeId="0" xr:uid="{00000000-0006-0000-0600-00005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鎧武 150
Build腰帶+滿裝瓶 3575+54</t>
        </r>
      </text>
    </comment>
    <comment ref="F57" authorId="0" shapeId="0" xr:uid="{00000000-0006-0000-0600-00005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藏龍者 150
build腰帶+噴槍 2489
</t>
        </r>
      </text>
    </comment>
    <comment ref="H57" authorId="0" shapeId="0" xr:uid="{00000000-0006-0000-0600-00005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kamen rider driver 2489</t>
        </r>
      </text>
    </comment>
    <comment ref="F59" authorId="0" shapeId="0" xr:uid="{00000000-0006-0000-0600-00005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Foodpanda</t>
        </r>
        <r>
          <rPr>
            <sz val="9"/>
            <color indexed="81"/>
            <rFont val="細明體"/>
            <family val="3"/>
            <charset val="136"/>
          </rPr>
          <t>拉麵 323
廟口鴨香飯 650
家樂福 169
7-11冰棒 90</t>
        </r>
      </text>
    </comment>
    <comment ref="H59" authorId="0" shapeId="0" xr:uid="{00000000-0006-0000-0600-00005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串燒 330(130)
歐浮找餐 341(141)
飲料 195
悠遊卡加值 500
煙波 4498
博多天婦羅 869</t>
        </r>
      </text>
    </comment>
    <comment ref="F60" authorId="0" shapeId="0" xr:uid="{00000000-0006-0000-0600-00005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結婚紀念日-凱菲屋
紅葉蛋糕(翰生日) 940</t>
        </r>
      </text>
    </comment>
    <comment ref="H61" authorId="0" shapeId="0" xr:uid="{00000000-0006-0000-0600-00005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使用牌照稅 11230</t>
        </r>
      </text>
    </comment>
    <comment ref="F63" authorId="0" shapeId="0" xr:uid="{00000000-0006-0000-0600-00005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彌月禮物 480</t>
        </r>
      </text>
    </comment>
    <comment ref="H63" authorId="0" shapeId="0" xr:uid="{00000000-0006-0000-0600-00005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亞涵新家禮物</t>
        </r>
        <r>
          <rPr>
            <sz val="9"/>
            <color indexed="81"/>
            <rFont val="Tahoma"/>
            <family val="2"/>
          </rPr>
          <t xml:space="preserve"> 399
</t>
        </r>
        <r>
          <rPr>
            <sz val="9"/>
            <color indexed="81"/>
            <rFont val="細明體"/>
            <family val="3"/>
            <charset val="136"/>
          </rPr>
          <t>阿佩貝果餅乾 90</t>
        </r>
      </text>
    </comment>
    <comment ref="Q63" authorId="0" shapeId="0" xr:uid="{00000000-0006-0000-0600-00005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阿彥掃墓高鐵 540+910</t>
        </r>
      </text>
    </comment>
    <comment ref="F66" authorId="0" shapeId="0" xr:uid="{00000000-0006-0000-0600-00005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H66" authorId="0" shapeId="0" xr:uid="{00000000-0006-0000-0600-00005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739
Alex電話 488
市話 70
網路費用 1770
瓦斯費 764</t>
        </r>
      </text>
    </comment>
    <comment ref="Q66" authorId="0" shapeId="0" xr:uid="{00000000-0006-0000-0600-00005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3079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8500
</t>
        </r>
        <r>
          <rPr>
            <sz val="9"/>
            <color indexed="81"/>
            <rFont val="細明體"/>
            <family val="3"/>
            <charset val="136"/>
          </rPr>
          <t>台灣之星 458</t>
        </r>
      </text>
    </comment>
    <comment ref="I67" authorId="0" shapeId="0" xr:uid="{00000000-0006-0000-0600-00006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加油 1477</t>
        </r>
      </text>
    </comment>
    <comment ref="F68" authorId="0" shapeId="0" xr:uid="{00000000-0006-0000-0600-00006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MOMO 1800</t>
        </r>
      </text>
    </comment>
    <comment ref="O68" authorId="0" shapeId="0" xr:uid="{00000000-0006-0000-0600-00006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GURU 834</t>
        </r>
      </text>
    </comment>
    <comment ref="F71" authorId="0" shapeId="0" xr:uid="{00000000-0006-0000-0600-00006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全家特濃拿鐵80杯 2600
衡看眼科醫生 200</t>
        </r>
      </text>
    </comment>
    <comment ref="H71" authorId="0" shapeId="0" xr:uid="{00000000-0006-0000-0600-00006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電池 470
皮革油 155</t>
        </r>
      </text>
    </comment>
    <comment ref="F72" authorId="0" shapeId="0" xr:uid="{00000000-0006-0000-0600-00006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古亭站打真鼓 350+350
衡室內鞋 380</t>
        </r>
      </text>
    </comment>
    <comment ref="O72" authorId="0" shapeId="0" xr:uid="{00000000-0006-0000-0600-00006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翰衡</t>
        </r>
        <r>
          <rPr>
            <sz val="9"/>
            <color indexed="81"/>
            <rFont val="Tahoma"/>
            <family val="2"/>
          </rPr>
          <t>uniqlo underwear</t>
        </r>
      </text>
    </comment>
    <comment ref="F73" authorId="0" shapeId="0" xr:uid="{00000000-0006-0000-0600-00006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efun</t>
        </r>
        <r>
          <rPr>
            <sz val="9"/>
            <color indexed="81"/>
            <rFont val="細明體"/>
            <family val="3"/>
            <charset val="136"/>
          </rPr>
          <t>買書 315</t>
        </r>
      </text>
    </comment>
    <comment ref="F74" authorId="0" shapeId="0" xr:uid="{00000000-0006-0000-0600-00006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GU</t>
        </r>
        <r>
          <rPr>
            <sz val="9"/>
            <color indexed="81"/>
            <rFont val="細明體"/>
            <family val="3"/>
            <charset val="136"/>
          </rPr>
          <t>衣服*3 1570</t>
        </r>
      </text>
    </comment>
    <comment ref="F75" authorId="0" shapeId="0" xr:uid="{00000000-0006-0000-0600-00006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打寶可夢 100+150
efun買書 315</t>
        </r>
      </text>
    </comment>
    <comment ref="F76" authorId="0" shapeId="0" xr:uid="{00000000-0006-0000-0600-00006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打寶可夢</t>
        </r>
        <r>
          <rPr>
            <sz val="9"/>
            <color indexed="81"/>
            <rFont val="Tahoma"/>
            <family val="2"/>
          </rPr>
          <t xml:space="preserve"> 100+150</t>
        </r>
      </text>
    </comment>
    <comment ref="F78" authorId="0" shapeId="0" xr:uid="{00000000-0006-0000-0600-00006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晨食 300
飛牛牧場 687+430+150
停車 30+90
搭溜滑梯 150
台中肉圓 195
停車 77
百花齋 480
</t>
        </r>
      </text>
    </comment>
    <comment ref="H78" authorId="0" shapeId="0" xr:uid="{00000000-0006-0000-0600-00006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Mini Hotel 2592
</t>
        </r>
        <r>
          <rPr>
            <sz val="9"/>
            <color indexed="81"/>
            <rFont val="細明體"/>
            <family val="3"/>
            <charset val="136"/>
          </rPr>
          <t>加油 912
飛牛午餐 293
屋馬 3377
奶油cookie 722
Haagen-Dazs 160
檸檬蛋糕 55
飲料 70
第四信用合作社冰 490(505)
可不可 40</t>
        </r>
      </text>
    </comment>
    <comment ref="J78" authorId="0" shapeId="0" xr:uid="{00000000-0006-0000-0600-00006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昌平炸機王</t>
        </r>
        <r>
          <rPr>
            <sz val="9"/>
            <color indexed="81"/>
            <rFont val="Tahoma"/>
            <family val="2"/>
          </rPr>
          <t xml:space="preserve"> 638</t>
        </r>
      </text>
    </comment>
    <comment ref="I80" authorId="0" shapeId="0" xr:uid="{00000000-0006-0000-0600-00006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房屋稅 7186</t>
        </r>
      </text>
    </comment>
    <comment ref="H81" authorId="0" shapeId="0" xr:uid="{00000000-0006-0000-0600-00006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防疫險 932</t>
        </r>
      </text>
    </comment>
    <comment ref="O81" authorId="0" shapeId="0" xr:uid="{00000000-0006-0000-0600-00007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防疫顯</t>
        </r>
      </text>
    </comment>
    <comment ref="F82" authorId="0" shapeId="0" xr:uid="{00000000-0006-0000-0600-00007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安全帽未扣罰單 500</t>
        </r>
      </text>
    </comment>
    <comment ref="Q82" authorId="0" shapeId="0" xr:uid="{00000000-0006-0000-0600-00007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母親節紅包 2000
美華母親節禮物 2567</t>
        </r>
      </text>
    </comment>
    <comment ref="H83" authorId="0" shapeId="0" xr:uid="{00000000-0006-0000-0600-00007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MUJI</t>
        </r>
        <r>
          <rPr>
            <sz val="9"/>
            <color indexed="81"/>
            <rFont val="細明體"/>
            <family val="3"/>
            <charset val="136"/>
          </rPr>
          <t>衣服+襪子*3 534+249</t>
        </r>
      </text>
    </comment>
    <comment ref="F85" authorId="0" shapeId="0" xr:uid="{00000000-0006-0000-0600-00007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H85" authorId="0" shapeId="0" xr:uid="{00000000-0006-0000-0600-00007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420(294)
中華電信 605+70</t>
        </r>
      </text>
    </comment>
    <comment ref="I85" authorId="0" shapeId="0" xr:uid="{00000000-0006-0000-0600-00007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NANCY</t>
        </r>
        <r>
          <rPr>
            <sz val="9"/>
            <color indexed="81"/>
            <rFont val="細明體"/>
            <family val="3"/>
            <charset val="136"/>
          </rPr>
          <t>手機</t>
        </r>
        <r>
          <rPr>
            <sz val="9"/>
            <color indexed="81"/>
            <rFont val="Tahoma"/>
            <family val="2"/>
          </rPr>
          <t xml:space="preserve"> 619(574)</t>
        </r>
      </text>
    </comment>
    <comment ref="Q85" authorId="0" shapeId="0" xr:uid="{00000000-0006-0000-0600-00007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3065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8500
</t>
        </r>
        <r>
          <rPr>
            <sz val="9"/>
            <color indexed="81"/>
            <rFont val="細明體"/>
            <family val="3"/>
            <charset val="136"/>
          </rPr>
          <t>電費 874
台灣之星 703</t>
        </r>
      </text>
    </comment>
    <comment ref="H86" authorId="0" shapeId="0" xr:uid="{00000000-0006-0000-0600-00007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6" authorId="0" shapeId="0" xr:uid="{00000000-0006-0000-0600-00007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Etag</t>
        </r>
      </text>
    </comment>
    <comment ref="F90" authorId="0" shapeId="0" xr:uid="{00000000-0006-0000-0600-00007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Nancy</t>
        </r>
        <r>
          <rPr>
            <sz val="9"/>
            <color indexed="81"/>
            <rFont val="細明體"/>
            <family val="3"/>
            <charset val="136"/>
          </rPr>
          <t>看牙 80
張純龍 150+250+150+150
騎車用手機罰單 1000</t>
        </r>
      </text>
    </comment>
    <comment ref="H90" authorId="0" shapeId="0" xr:uid="{00000000-0006-0000-0600-00007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mos</t>
        </r>
        <r>
          <rPr>
            <sz val="9"/>
            <color indexed="81"/>
            <rFont val="細明體"/>
            <family val="3"/>
            <charset val="136"/>
          </rPr>
          <t xml:space="preserve">蒟蒻 1+1 600
皮鞋油 155
Crocs 2859
</t>
        </r>
      </text>
    </comment>
    <comment ref="O90" authorId="0" shapeId="0" xr:uid="{00000000-0006-0000-0600-00007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大國藥妝 </t>
        </r>
      </text>
    </comment>
    <comment ref="F91" authorId="0" shapeId="0" xr:uid="{00000000-0006-0000-0600-00007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3" authorId="0" shapeId="0" xr:uid="{00000000-0006-0000-0600-00007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RF</t>
        </r>
        <r>
          <rPr>
            <sz val="9"/>
            <color indexed="81"/>
            <rFont val="細明體"/>
            <family val="3"/>
            <charset val="136"/>
          </rPr>
          <t>襯衫 2390</t>
        </r>
      </text>
    </comment>
    <comment ref="O93" authorId="0" shapeId="0" xr:uid="{00000000-0006-0000-0600-00007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GU</t>
        </r>
        <r>
          <rPr>
            <sz val="9"/>
            <color indexed="81"/>
            <rFont val="細明體"/>
            <family val="3"/>
            <charset val="136"/>
          </rPr>
          <t>衣服</t>
        </r>
      </text>
    </comment>
    <comment ref="H95" authorId="0" shapeId="0" xr:uid="{00000000-0006-0000-0600-00008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Superwings</t>
        </r>
        <r>
          <rPr>
            <sz val="9"/>
            <color indexed="81"/>
            <rFont val="細明體"/>
            <family val="3"/>
            <charset val="136"/>
          </rPr>
          <t>大勇 888</t>
        </r>
      </text>
    </comment>
    <comment ref="F98" authorId="0" shapeId="0" xr:uid="{00000000-0006-0000-0600-00008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母親節蛋糕 540</t>
        </r>
      </text>
    </comment>
    <comment ref="H98" authorId="0" shapeId="0" xr:uid="{00000000-0006-0000-0600-00008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母親節蛋糕 1090
</t>
        </r>
      </text>
    </comment>
    <comment ref="O98" authorId="0" shapeId="0" xr:uid="{00000000-0006-0000-0600-00008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母親節蛋糕 500</t>
        </r>
      </text>
    </comment>
    <comment ref="F99" authorId="0" shapeId="0" xr:uid="{00000000-0006-0000-0600-00008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所得稅 29800</t>
        </r>
      </text>
    </comment>
    <comment ref="F101" authorId="0" shapeId="0" xr:uid="{00000000-0006-0000-0600-00008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俊男紅包 6600
罰單 1000</t>
        </r>
      </text>
    </comment>
    <comment ref="G101" authorId="0" shapeId="0" xr:uid="{00000000-0006-0000-0600-00008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小青藥品 1038</t>
        </r>
      </text>
    </comment>
    <comment ref="I101" authorId="0" shapeId="0" xr:uid="{00000000-0006-0000-0600-00008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藥品快遞 165</t>
        </r>
      </text>
    </comment>
    <comment ref="F103" authorId="0" shapeId="0" xr:uid="{00000000-0006-0000-0600-00008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湯姆熊 305
Switch 14200</t>
        </r>
      </text>
    </comment>
    <comment ref="F104" authorId="0" shapeId="0" xr:uid="{00000000-0006-0000-0600-00008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H104" authorId="0" shapeId="0" xr:uid="{00000000-0006-0000-0600-00008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市話 70
電費 1263
中華手機費 170
家裡網路 1728 (1702)
中華電信 599(582)</t>
        </r>
      </text>
    </comment>
    <comment ref="Q104" authorId="0" shapeId="0" xr:uid="{00000000-0006-0000-0600-00008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3079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8500
</t>
        </r>
        <r>
          <rPr>
            <sz val="9"/>
            <color indexed="81"/>
            <rFont val="細明體"/>
            <family val="3"/>
            <charset val="136"/>
          </rPr>
          <t>台灣之星 727</t>
        </r>
      </text>
    </comment>
    <comment ref="H105" authorId="0" shapeId="0" xr:uid="{00000000-0006-0000-0600-00008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洗車 1500</t>
        </r>
      </text>
    </comment>
    <comment ref="F106" authorId="0" shapeId="0" xr:uid="{00000000-0006-0000-0600-00008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芒果 1000</t>
        </r>
      </text>
    </comment>
    <comment ref="F109" authorId="0" shapeId="0" xr:uid="{00000000-0006-0000-0600-00008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張純龍
快篩*2 340</t>
        </r>
      </text>
    </comment>
    <comment ref="H109" authorId="0" shapeId="0" xr:uid="{00000000-0006-0000-0600-00008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璿翰桌球拍 650
WMI 200
閱讀小達人 210</t>
        </r>
      </text>
    </comment>
    <comment ref="I109" authorId="0" shapeId="0" xr:uid="{00000000-0006-0000-0600-00009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全家衛生紙 679
防曬 199
7-11衛生紙 594
</t>
        </r>
      </text>
    </comment>
    <comment ref="F110" authorId="0" shapeId="0" xr:uid="{00000000-0006-0000-0600-00009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打鼓 16800+40
中班上學期教材費 5000
志清夏令營 9251-2950
TH保額 5000
安親保額 3000
桌球社團 3150
爵士鼓分期1/3 8302</t>
        </r>
      </text>
    </comment>
    <comment ref="I110" authorId="0" shapeId="0" xr:uid="{00000000-0006-0000-0600-00009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國語日報 300</t>
        </r>
      </text>
    </comment>
    <comment ref="O111" authorId="0" shapeId="0" xr:uid="{00000000-0006-0000-0600-00009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7formankind</t>
        </r>
        <r>
          <rPr>
            <sz val="9"/>
            <color indexed="81"/>
            <rFont val="細明體"/>
            <family val="3"/>
            <charset val="136"/>
          </rPr>
          <t>牛仔褲</t>
        </r>
      </text>
    </comment>
    <comment ref="H112" authorId="0" shapeId="0" xr:uid="{00000000-0006-0000-0600-00009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彈弓玩具 54
</t>
        </r>
      </text>
    </comment>
    <comment ref="O112" authorId="0" shapeId="0" xr:uid="{00000000-0006-0000-0600-00009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Zara 5000
</t>
        </r>
        <r>
          <rPr>
            <sz val="9"/>
            <color indexed="81"/>
            <rFont val="細明體"/>
            <family val="3"/>
            <charset val="136"/>
          </rPr>
          <t>包包 6000</t>
        </r>
      </text>
    </comment>
    <comment ref="I113" authorId="0" shapeId="0" xr:uid="{00000000-0006-0000-0600-00009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植物大戰殭屍遊戲 625</t>
        </r>
      </text>
    </comment>
    <comment ref="F116" authorId="0" shapeId="0" xr:uid="{00000000-0006-0000-0600-00009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輝哥火鍋 1350
Decathlon shoes 1150
墾丁燒烤 1100
魔術秀 1950
後壁湖海產 700
芒果 850</t>
        </r>
      </text>
    </comment>
    <comment ref="H116" authorId="0" shapeId="0" xr:uid="{00000000-0006-0000-0600-00009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夜宿海生館 8630
燒冷冰 56(331)
海生館伴手禮 420
加油 1142</t>
        </r>
      </text>
    </comment>
    <comment ref="I116" authorId="0" shapeId="0" xr:uid="{00000000-0006-0000-0600-00009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Etag 400+400
</t>
        </r>
        <r>
          <rPr>
            <sz val="9"/>
            <color indexed="81"/>
            <rFont val="細明體"/>
            <family val="3"/>
            <charset val="136"/>
          </rPr>
          <t>加油 1307</t>
        </r>
      </text>
    </comment>
    <comment ref="J116" authorId="0" shapeId="0" xr:uid="{00000000-0006-0000-0600-00009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老井極上燒肉 3289</t>
        </r>
      </text>
    </comment>
    <comment ref="O116" authorId="0" shapeId="0" xr:uid="{00000000-0006-0000-0600-00009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墾丁福華 11360</t>
        </r>
      </text>
    </comment>
    <comment ref="F118" authorId="0" shapeId="0" xr:uid="{00000000-0006-0000-0600-00009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3078</t>
        </r>
      </text>
    </comment>
    <comment ref="F120" authorId="0" shapeId="0" xr:uid="{00000000-0006-0000-0600-00009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Sam</t>
        </r>
        <r>
          <rPr>
            <sz val="9"/>
            <color indexed="81"/>
            <rFont val="細明體"/>
            <family val="3"/>
            <charset val="136"/>
          </rPr>
          <t>生baby</t>
        </r>
      </text>
    </comment>
    <comment ref="O120" authorId="0" shapeId="0" xr:uid="{00000000-0006-0000-0600-00009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阿彥鞋子 2500</t>
        </r>
      </text>
    </comment>
    <comment ref="Q120" authorId="0" shapeId="0" xr:uid="{00000000-0006-0000-0600-00009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LG</t>
        </r>
        <r>
          <rPr>
            <sz val="9"/>
            <color indexed="81"/>
            <rFont val="細明體"/>
            <family val="3"/>
            <charset val="136"/>
          </rPr>
          <t>冰箱</t>
        </r>
      </text>
    </comment>
    <comment ref="F123" authorId="0" shapeId="0" xr:uid="{00000000-0006-0000-0600-0000A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H123" authorId="0" shapeId="0" xr:uid="{00000000-0006-0000-0600-0000A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416
中華電信 66+598</t>
        </r>
      </text>
    </comment>
    <comment ref="Q123" authorId="0" shapeId="0" xr:uid="{00000000-0006-0000-0600-0000A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3079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8500
</t>
        </r>
        <r>
          <rPr>
            <sz val="9"/>
            <color indexed="81"/>
            <rFont val="細明體"/>
            <family val="3"/>
            <charset val="136"/>
          </rPr>
          <t>第四台 1500
台灣之星 452
電費 1111</t>
        </r>
      </text>
    </comment>
    <comment ref="F125" authorId="0" shapeId="0" xr:uid="{00000000-0006-0000-0600-0000A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蛋黃酥 680</t>
        </r>
      </text>
    </comment>
    <comment ref="H125" authorId="0" shapeId="0" xr:uid="{00000000-0006-0000-0600-0000A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Tino's pizza 1000
</t>
        </r>
        <r>
          <rPr>
            <sz val="9"/>
            <color indexed="81"/>
            <rFont val="細明體"/>
            <family val="3"/>
            <charset val="136"/>
          </rPr>
          <t>藏壽司 990</t>
        </r>
      </text>
    </comment>
    <comment ref="J125" authorId="0" shapeId="0" xr:uid="{00000000-0006-0000-0600-0000A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12mini 825</t>
        </r>
      </text>
    </comment>
    <comment ref="O125" authorId="0" shapeId="0" xr:uid="{00000000-0006-0000-0600-0000A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Costco 2409
Costco </t>
        </r>
        <r>
          <rPr>
            <sz val="9"/>
            <color indexed="81"/>
            <rFont val="細明體"/>
            <family val="3"/>
            <charset val="136"/>
          </rPr>
          <t>益生菌 2598</t>
        </r>
      </text>
    </comment>
    <comment ref="F128" authorId="0" shapeId="0" xr:uid="{00000000-0006-0000-0600-0000A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張純隆 300+300+150+150
皮膚科 200
復健科 200</t>
        </r>
      </text>
    </comment>
    <comment ref="H128" authorId="0" shapeId="0" xr:uid="{00000000-0006-0000-0600-0000A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Chromecast 4 with google TV 1749
</t>
        </r>
        <r>
          <rPr>
            <sz val="9"/>
            <color indexed="81"/>
            <rFont val="細明體"/>
            <family val="3"/>
            <charset val="136"/>
          </rPr>
          <t>唾液快篩 875
防曬 150
翰鞋 1547
防曬噴霧 885</t>
        </r>
      </text>
    </comment>
    <comment ref="O128" authorId="0" shapeId="0" xr:uid="{00000000-0006-0000-0600-0000A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Decathlon 1426+58
uniqlo</t>
        </r>
        <r>
          <rPr>
            <sz val="9"/>
            <color indexed="81"/>
            <rFont val="細明體"/>
            <family val="3"/>
            <charset val="136"/>
          </rPr>
          <t>哥哥褲子 290+190</t>
        </r>
      </text>
    </comment>
    <comment ref="Q128" authorId="0" shapeId="0" xr:uid="{00000000-0006-0000-0600-0000A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拜土地公供品</t>
        </r>
        <r>
          <rPr>
            <sz val="9"/>
            <color indexed="81"/>
            <rFont val="Tahoma"/>
            <family val="2"/>
          </rPr>
          <t xml:space="preserve"> 1200
</t>
        </r>
        <r>
          <rPr>
            <sz val="9"/>
            <color indexed="81"/>
            <rFont val="細明體"/>
            <family val="3"/>
            <charset val="136"/>
          </rPr>
          <t>染髮 600
拜小韋 2500</t>
        </r>
      </text>
    </comment>
    <comment ref="F129" authorId="0" shapeId="0" xr:uid="{00000000-0006-0000-0600-0000A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衡學費 8756
翰科學課 4680
翰打鼓課 5600
爵士鼓分期1/3 8302</t>
        </r>
      </text>
    </comment>
    <comment ref="H130" authorId="0" shapeId="0" xr:uid="{00000000-0006-0000-0600-0000A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rainbow 1170
</t>
        </r>
      </text>
    </comment>
    <comment ref="I130" authorId="0" shapeId="0" xr:uid="{00000000-0006-0000-0600-0000A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手機充電線 399</t>
        </r>
      </text>
    </comment>
    <comment ref="O130" authorId="0" shapeId="0" xr:uid="{00000000-0006-0000-0600-0000A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水桶包</t>
        </r>
        <r>
          <rPr>
            <sz val="9"/>
            <color indexed="81"/>
            <rFont val="Tahoma"/>
            <family val="2"/>
          </rPr>
          <t xml:space="preserve"> 16500</t>
        </r>
      </text>
    </comment>
    <comment ref="O131" authorId="0" shapeId="0" xr:uid="{00000000-0006-0000-0600-0000A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RL 8500</t>
        </r>
      </text>
    </comment>
    <comment ref="H132" authorId="0" shapeId="0" xr:uid="{00000000-0006-0000-0600-0000B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植物大戰殭屍之你問我答 875</t>
        </r>
      </text>
    </comment>
    <comment ref="F133" authorId="0" shapeId="0" xr:uid="{00000000-0006-0000-0600-0000B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拼圖 84</t>
        </r>
      </text>
    </comment>
    <comment ref="H133" authorId="0" shapeId="0" xr:uid="{00000000-0006-0000-0600-0000B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桌球拍 450</t>
        </r>
      </text>
    </comment>
    <comment ref="F135" authorId="0" shapeId="0" xr:uid="{00000000-0006-0000-0600-0000B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情人海灘沖水 150
</t>
        </r>
      </text>
    </comment>
    <comment ref="O135" authorId="0" shapeId="0" xr:uid="{00000000-0006-0000-0600-0000B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野柳海洋世界 519</t>
        </r>
      </text>
    </comment>
    <comment ref="F137" authorId="0" shapeId="0" xr:uid="{00000000-0006-0000-0600-0000B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3078
汽車燃料稅 6180</t>
        </r>
      </text>
    </comment>
    <comment ref="H137" authorId="0" shapeId="0" xr:uid="{00000000-0006-0000-0600-0000B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燃料費 443</t>
        </r>
      </text>
    </comment>
    <comment ref="M139" authorId="0" shapeId="0" xr:uid="{00000000-0006-0000-0600-0000B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時飴 1600</t>
        </r>
      </text>
    </comment>
    <comment ref="O139" authorId="0" shapeId="0" xr:uid="{00000000-0006-0000-0600-0000B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阿彥短褲 590</t>
        </r>
      </text>
    </comment>
    <comment ref="F142" authorId="0" shapeId="0" xr:uid="{00000000-0006-0000-0600-0000B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H142" authorId="0" shapeId="0" xr:uid="{00000000-0006-0000-0600-0000B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1875
中華電信 51+424+595
水費 399</t>
        </r>
      </text>
    </comment>
    <comment ref="I142" authorId="0" shapeId="0" xr:uid="{00000000-0006-0000-0600-0000B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天然氣 580</t>
        </r>
      </text>
    </comment>
    <comment ref="Q142" authorId="0" shapeId="0" xr:uid="{00000000-0006-0000-0600-0000B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3079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8500
</t>
        </r>
        <r>
          <rPr>
            <sz val="9"/>
            <color indexed="81"/>
            <rFont val="細明體"/>
            <family val="3"/>
            <charset val="136"/>
          </rPr>
          <t>台灣之星 611
新家押金 4000
亞太電信 465
第四台移機費 800
水費 235
電費 1147</t>
        </r>
      </text>
    </comment>
    <comment ref="F144" authorId="0" shapeId="0" xr:uid="{00000000-0006-0000-0600-0000B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四方 1176</t>
        </r>
      </text>
    </comment>
    <comment ref="H144" authorId="0" shapeId="0" xr:uid="{00000000-0006-0000-0600-0000B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咖啡膠囊 3585</t>
        </r>
      </text>
    </comment>
    <comment ref="O144" authorId="0" shapeId="0" xr:uid="{00000000-0006-0000-0600-0000B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春水堂 1345+100
</t>
        </r>
      </text>
    </comment>
    <comment ref="F147" authorId="0" shapeId="0" xr:uid="{00000000-0006-0000-0600-0000C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潛水面鏡運費 60</t>
        </r>
      </text>
    </comment>
    <comment ref="H147" authorId="0" shapeId="0" xr:uid="{00000000-0006-0000-0600-0000C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旋轉蠟筆 104
電池 297</t>
        </r>
      </text>
    </comment>
    <comment ref="F148" authorId="0" shapeId="0" xr:uid="{00000000-0006-0000-0600-0000C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衡中班學雜費 45000
爵士鼓分期1/3 8302
畫畫課試上 500</t>
        </r>
      </text>
    </comment>
    <comment ref="H149" authorId="0" shapeId="0" xr:uid="{00000000-0006-0000-0600-0000C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髮夾 199
uniqlo 778</t>
        </r>
      </text>
    </comment>
    <comment ref="H150" authorId="0" shapeId="0" xr:uid="{00000000-0006-0000-0600-0000C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390</t>
        </r>
      </text>
    </comment>
    <comment ref="H151" authorId="0" shapeId="0" xr:uid="{00000000-0006-0000-0600-0000C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瓶蓋超人 295
巨鯊札克 1144</t>
        </r>
      </text>
    </comment>
    <comment ref="H152" authorId="0" shapeId="0" xr:uid="{00000000-0006-0000-0600-0000C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瓶蓋超人 245
銀隼霍克 1144
滿裝瓶 470
uniqlo 190</t>
        </r>
      </text>
    </comment>
    <comment ref="O153" authorId="0" shapeId="0" xr:uid="{00000000-0006-0000-0600-0000C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打電動 300+300</t>
        </r>
      </text>
    </comment>
    <comment ref="F154" authorId="0" shapeId="0" xr:uid="{00000000-0006-0000-0600-0000C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皇后鎮森林烤肉 1448
小叮噹餅乾 95</t>
        </r>
      </text>
    </comment>
    <comment ref="H154" authorId="0" shapeId="0" xr:uid="{00000000-0006-0000-0600-0000C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小叮噹午餐</t>
        </r>
        <r>
          <rPr>
            <sz val="9"/>
            <color indexed="81"/>
            <rFont val="Tahoma"/>
            <family val="2"/>
          </rPr>
          <t xml:space="preserve"> 420
</t>
        </r>
      </text>
    </comment>
    <comment ref="I154" authorId="0" shapeId="0" xr:uid="{00000000-0006-0000-0600-0000C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小叮噹門票 525(1065)</t>
        </r>
      </text>
    </comment>
    <comment ref="J154" authorId="0" shapeId="0" xr:uid="{00000000-0006-0000-0600-0000C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火山岩</t>
        </r>
        <r>
          <rPr>
            <sz val="9"/>
            <color indexed="81"/>
            <rFont val="Tahoma"/>
            <family val="2"/>
          </rPr>
          <t xml:space="preserve"> 3063</t>
        </r>
      </text>
    </comment>
    <comment ref="Q154" authorId="0" shapeId="0" xr:uid="{00000000-0006-0000-0600-0000C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花東三日遊 3000</t>
        </r>
      </text>
    </comment>
    <comment ref="F156" authorId="0" shapeId="0" xr:uid="{00000000-0006-0000-0600-0000C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 xml:space="preserve">車貸 27778
</t>
        </r>
      </text>
    </comment>
    <comment ref="H157" authorId="0" shapeId="0" xr:uid="{00000000-0006-0000-0600-0000C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防疫險</t>
        </r>
        <r>
          <rPr>
            <sz val="9"/>
            <color indexed="81"/>
            <rFont val="Tahoma"/>
            <family val="2"/>
          </rPr>
          <t xml:space="preserve"> 1098</t>
        </r>
      </text>
    </comment>
    <comment ref="M157" authorId="0" shapeId="0" xr:uid="{00000000-0006-0000-0600-0000C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強制險 1138</t>
        </r>
      </text>
    </comment>
    <comment ref="H158" authorId="0" shapeId="0" xr:uid="{00000000-0006-0000-0600-0000D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俊男新家禮物</t>
        </r>
        <r>
          <rPr>
            <sz val="9"/>
            <color indexed="81"/>
            <rFont val="Tahoma"/>
            <family val="2"/>
          </rPr>
          <t>LC</t>
        </r>
        <r>
          <rPr>
            <sz val="9"/>
            <color indexed="81"/>
            <rFont val="細明體"/>
            <family val="3"/>
            <charset val="136"/>
          </rPr>
          <t>盤 1140</t>
        </r>
      </text>
    </comment>
    <comment ref="L158" authorId="0" shapeId="0" xr:uid="{00000000-0006-0000-0600-0000D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信用卡掛失 200</t>
        </r>
      </text>
    </comment>
    <comment ref="Q158" authorId="0" shapeId="0" xr:uid="{00000000-0006-0000-0600-0000D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阿彥衣服 390(台新卡)
</t>
        </r>
      </text>
    </comment>
    <comment ref="F159" authorId="0" shapeId="0" xr:uid="{00000000-0006-0000-0600-0000D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學費與RF</t>
        </r>
      </text>
    </comment>
    <comment ref="F161" authorId="0" shapeId="0" xr:uid="{00000000-0006-0000-0600-0000D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H161" authorId="0" shapeId="0" xr:uid="{00000000-0006-0000-0600-0000D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家裡網路 1767
中華電信 599(581)+70(64)+647(644)
</t>
        </r>
      </text>
    </comment>
    <comment ref="Q161" authorId="0" shapeId="0" xr:uid="{00000000-0006-0000-0600-0000D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3079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10500
</t>
        </r>
        <r>
          <rPr>
            <sz val="9"/>
            <color indexed="81"/>
            <rFont val="細明體"/>
            <family val="3"/>
            <charset val="136"/>
          </rPr>
          <t xml:space="preserve">電費 446(277)
</t>
        </r>
      </text>
    </comment>
    <comment ref="F163" authorId="0" shapeId="0" xr:uid="{00000000-0006-0000-0600-0000D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細明體"/>
            <family val="3"/>
            <charset val="136"/>
          </rPr>
          <t>神樂屋 1067</t>
        </r>
      </text>
    </comment>
    <comment ref="J163" authorId="0" shapeId="0" xr:uid="{00000000-0006-0000-0600-0000D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滾吧 1277</t>
        </r>
      </text>
    </comment>
    <comment ref="L163" authorId="0" shapeId="0" xr:uid="{00000000-0006-0000-0600-0000D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Costco 3600</t>
        </r>
      </text>
    </comment>
    <comment ref="F166" authorId="0" shapeId="0" xr:uid="{00000000-0006-0000-0600-0000D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張純龍 150*3
看牙 80
遼寧復健科 200</t>
        </r>
      </text>
    </comment>
    <comment ref="H166" authorId="0" shapeId="0" xr:uid="{00000000-0006-0000-0600-0000D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迪卡農游泳圈 249
文具 232
阿卡將電動牙刷+刷頭 364
dyson軟管+律網 310
直笛 136</t>
        </r>
      </text>
    </comment>
    <comment ref="I166" authorId="0" shapeId="0" xr:uid="{00000000-0006-0000-0600-0000D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快遞耳機 83</t>
        </r>
      </text>
    </comment>
    <comment ref="F167" authorId="0" shapeId="0" xr:uid="{00000000-0006-0000-0600-0000D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 xml:space="preserve">衡科學課 7000
畫畫課 9000
安親教材2000-1200
翰國小註冊費 1435
</t>
        </r>
      </text>
    </comment>
    <comment ref="O168" authorId="0" shapeId="0" xr:uid="{00000000-0006-0000-0600-0000D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870</t>
        </r>
      </text>
    </comment>
    <comment ref="F170" authorId="0" shapeId="0" xr:uid="{00000000-0006-0000-0600-0000D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路卡利歐玩偶 299</t>
        </r>
      </text>
    </comment>
    <comment ref="H170" authorId="0" shapeId="0" xr:uid="{00000000-0006-0000-0600-0000E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兒童手錶 159
兒童手錶 159</t>
        </r>
      </text>
    </comment>
    <comment ref="F171" authorId="0" shapeId="0" xr:uid="{00000000-0006-0000-0600-0000E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淚眼晰 188
</t>
        </r>
      </text>
    </comment>
    <comment ref="H171" authorId="0" shapeId="0" xr:uid="{00000000-0006-0000-0600-0000E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拳套 1399</t>
        </r>
      </text>
    </comment>
    <comment ref="F173" authorId="0" shapeId="0" xr:uid="{00000000-0006-0000-0600-0000E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崇德瑩農場 700
檸檬汁 215
麻糬 140
沙其馬 600
棉條 139
鯉魚潭搭船 800</t>
        </r>
      </text>
    </comment>
    <comment ref="H173" authorId="0" shapeId="0" xr:uid="{00000000-0006-0000-0600-0000E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雞排 75
遠雄門票 390
加油 1144</t>
        </r>
      </text>
    </comment>
    <comment ref="L173" authorId="0" shapeId="0" xr:uid="{00000000-0006-0000-0600-0000E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遠雄門票 5558</t>
        </r>
      </text>
    </comment>
    <comment ref="F175" authorId="0" shapeId="0" xr:uid="{00000000-0006-0000-0600-0000E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3078</t>
        </r>
      </text>
    </comment>
    <comment ref="M176" authorId="0" shapeId="0" xr:uid="{00000000-0006-0000-0600-0000E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年度車險(丙式) 24729</t>
        </r>
      </text>
    </comment>
    <comment ref="F177" authorId="0" shapeId="0" xr:uid="{00000000-0006-0000-0600-0000E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罰單 600
本土課本重買 150</t>
        </r>
      </text>
    </comment>
    <comment ref="O177" authorId="0" shapeId="0" xr:uid="{00000000-0006-0000-0600-0000E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汽車年度保養 20000</t>
        </r>
      </text>
    </comment>
    <comment ref="F180" authorId="0" shapeId="0" xr:uid="{00000000-0006-0000-0600-0000E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H180" authorId="0" shapeId="0" xr:uid="{00000000-0006-0000-0600-0000E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(2045)
天然氣 (372)</t>
        </r>
      </text>
    </comment>
    <comment ref="Q180" authorId="0" shapeId="0" xr:uid="{00000000-0006-0000-0600-0000E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3079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10500
</t>
        </r>
        <r>
          <rPr>
            <sz val="9"/>
            <color indexed="81"/>
            <rFont val="細明體"/>
            <family val="3"/>
            <charset val="136"/>
          </rPr>
          <t>第四台 1500(1494)
亞太電信 643</t>
        </r>
      </text>
    </comment>
    <comment ref="F182" authorId="0" shapeId="0" xr:uid="{00000000-0006-0000-0600-0000E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一番地 1550</t>
        </r>
      </text>
    </comment>
    <comment ref="O182" authorId="0" shapeId="0" xr:uid="{00000000-0006-0000-0600-0000E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costco 3200
</t>
        </r>
      </text>
    </comment>
    <comment ref="F185" authorId="0" shapeId="0" xr:uid="{00000000-0006-0000-0600-0000E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看醫生 250
抹片 250
職能治療 50+50+50+50+50
德威 80</t>
        </r>
      </text>
    </comment>
    <comment ref="H185" authorId="0" shapeId="0" xr:uid="{00000000-0006-0000-0600-0000F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飲料收納盒 368
</t>
        </r>
      </text>
    </comment>
    <comment ref="F186" authorId="0" shapeId="0" xr:uid="{00000000-0006-0000-0600-0000F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鼓棒 250</t>
        </r>
      </text>
    </comment>
    <comment ref="H186" authorId="0" shapeId="0" xr:uid="{00000000-0006-0000-0600-0000F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翰午餐費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簿本費+校外教學活動費 3752</t>
        </r>
      </text>
    </comment>
    <comment ref="I187" authorId="0" shapeId="0" xr:uid="{00000000-0006-0000-0600-0000F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防曬+護髮 1095</t>
        </r>
      </text>
    </comment>
    <comment ref="O187" authorId="0" shapeId="0" xr:uid="{00000000-0006-0000-0600-0000F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apple watch 15400
</t>
        </r>
      </text>
    </comment>
    <comment ref="Q187" authorId="0" shapeId="0" xr:uid="{00000000-0006-0000-0600-0000F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媽外套 1353(1500)
</t>
        </r>
      </text>
    </comment>
    <comment ref="O188" authorId="0" shapeId="0" xr:uid="{00000000-0006-0000-0600-0000F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apple watch 15400
</t>
        </r>
      </text>
    </comment>
    <comment ref="H189" authorId="0" shapeId="0" xr:uid="{00000000-0006-0000-0600-0000F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爬爬客 3880/2</t>
        </r>
      </text>
    </comment>
    <comment ref="H190" authorId="0" shapeId="0" xr:uid="{00000000-0006-0000-0600-0000F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爬爬客</t>
        </r>
        <r>
          <rPr>
            <sz val="9"/>
            <color indexed="81"/>
            <rFont val="Tahoma"/>
            <family val="2"/>
          </rPr>
          <t xml:space="preserve"> 3880/2</t>
        </r>
      </text>
    </comment>
    <comment ref="F192" authorId="0" shapeId="0" xr:uid="{00000000-0006-0000-0600-0000F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pizza 610
</t>
        </r>
        <r>
          <rPr>
            <sz val="9"/>
            <color indexed="81"/>
            <rFont val="細明體"/>
            <family val="3"/>
            <charset val="136"/>
          </rPr>
          <t>牛肉麵 345
停車 120</t>
        </r>
      </text>
    </comment>
    <comment ref="H192" authorId="0" shapeId="0" xr:uid="{00000000-0006-0000-0600-0000F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加油 1382
橙家日式料理 1362
全家 149</t>
        </r>
      </text>
    </comment>
    <comment ref="F193" authorId="0" shapeId="0" xr:uid="{00000000-0006-0000-0600-0000F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衡生日燒肉 334
生日蛋糕 550</t>
        </r>
      </text>
    </comment>
    <comment ref="J193" authorId="0" shapeId="0" xr:uid="{00000000-0006-0000-0600-0000F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TexasRoadhouse</t>
        </r>
        <r>
          <rPr>
            <sz val="9"/>
            <color indexed="81"/>
            <rFont val="細明體"/>
            <family val="3"/>
            <charset val="136"/>
          </rPr>
          <t>慶生</t>
        </r>
        <r>
          <rPr>
            <sz val="9"/>
            <color indexed="81"/>
            <rFont val="Tahoma"/>
            <family val="2"/>
          </rPr>
          <t xml:space="preserve"> 1399</t>
        </r>
      </text>
    </comment>
    <comment ref="F194" authorId="0" shapeId="0" xr:uid="{00000000-0006-0000-0600-0000F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3078</t>
        </r>
      </text>
    </comment>
    <comment ref="H195" authorId="0" shapeId="0" xr:uid="{00000000-0006-0000-0600-0000F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翰衡保險 2296</t>
        </r>
      </text>
    </comment>
    <comment ref="F196" authorId="0" shapeId="0" xr:uid="{00000000-0006-0000-0600-0000F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alex</t>
        </r>
        <r>
          <rPr>
            <sz val="9"/>
            <color indexed="81"/>
            <rFont val="細明體"/>
            <family val="3"/>
            <charset val="136"/>
          </rPr>
          <t>公司同事彌月禮
意雯 600
罰單 900
Audi loan 27778</t>
        </r>
      </text>
    </comment>
    <comment ref="F199" authorId="0" shapeId="0" xr:uid="{00000000-0006-0000-0600-000000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H199" authorId="0" shapeId="0" xr:uid="{00000000-0006-0000-0600-000001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中華電信 70(63)+869(700)
</t>
        </r>
      </text>
    </comment>
    <comment ref="Q199" authorId="0" shapeId="0" xr:uid="{00000000-0006-0000-0600-000002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3079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8500
</t>
        </r>
      </text>
    </comment>
    <comment ref="F201" authorId="0" shapeId="0" xr:uid="{00000000-0006-0000-0600-000003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鮮奶</t>
        </r>
        <r>
          <rPr>
            <sz val="9"/>
            <color indexed="81"/>
            <rFont val="Tahoma"/>
            <family val="2"/>
          </rPr>
          <t xml:space="preserve"> 1224</t>
        </r>
      </text>
    </comment>
    <comment ref="H201" authorId="0" shapeId="0" xr:uid="{00000000-0006-0000-0600-000004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甜甜圈300(600)</t>
        </r>
      </text>
    </comment>
    <comment ref="M201" authorId="0" shapeId="0" xr:uid="{00000000-0006-0000-0600-000005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經脆脆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穀片 35(960)
 </t>
        </r>
      </text>
    </comment>
    <comment ref="F204" authorId="0" shapeId="0" xr:uid="{00000000-0006-0000-0600-000006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黃禎憲 100</t>
        </r>
      </text>
    </comment>
    <comment ref="G204" authorId="0" shapeId="0" xr:uid="{00000000-0006-0000-0600-000007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勝克敏 100</t>
        </r>
      </text>
    </comment>
    <comment ref="Q204" authorId="0" shapeId="0" xr:uid="{00000000-0006-0000-0600-000008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快煮壺 499</t>
        </r>
      </text>
    </comment>
    <comment ref="F205" authorId="0" shapeId="0" xr:uid="{00000000-0006-0000-0600-000009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大墩陽光冬令營 4969</t>
        </r>
      </text>
    </comment>
    <comment ref="F206" authorId="0" shapeId="0" xr:uid="{00000000-0006-0000-0600-00000A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美甲</t>
        </r>
        <r>
          <rPr>
            <sz val="9"/>
            <color indexed="81"/>
            <rFont val="Tahoma"/>
            <family val="2"/>
          </rPr>
          <t>*4</t>
        </r>
      </text>
    </comment>
    <comment ref="M206" authorId="0" shapeId="0" xr:uid="{00000000-0006-0000-0600-00000B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美甲 569
油條 960-175*5
剪髮 429</t>
        </r>
      </text>
    </comment>
    <comment ref="O206" authorId="0" shapeId="0" xr:uid="{00000000-0006-0000-0600-00000C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</t>
        </r>
      </text>
    </comment>
    <comment ref="O207" authorId="0" shapeId="0" xr:uid="{00000000-0006-0000-0600-00000D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
new balance</t>
        </r>
        <r>
          <rPr>
            <sz val="9"/>
            <color indexed="81"/>
            <rFont val="細明體"/>
            <family val="3"/>
            <charset val="136"/>
          </rPr>
          <t>鞋子 3600
Timberland帽子 750</t>
        </r>
      </text>
    </comment>
    <comment ref="H208" authorId="0" shapeId="0" xr:uid="{00000000-0006-0000-0600-00000E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聖誕禮物傑拉奧拉 738
</t>
        </r>
      </text>
    </comment>
    <comment ref="J208" authorId="0" shapeId="0" xr:uid="{00000000-0006-0000-0600-00000F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寶可夢卡牌 324</t>
        </r>
      </text>
    </comment>
    <comment ref="O208" authorId="0" shapeId="0" xr:uid="{00000000-0006-0000-0600-000010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其他卡牌</t>
        </r>
        <r>
          <rPr>
            <sz val="9"/>
            <color indexed="81"/>
            <rFont val="Tahoma"/>
            <family val="2"/>
          </rPr>
          <t xml:space="preserve"> 860</t>
        </r>
      </text>
    </comment>
    <comment ref="J209" authorId="0" shapeId="0" xr:uid="{00000000-0006-0000-0600-000011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寶可夢卡牌 324</t>
        </r>
      </text>
    </comment>
    <comment ref="F211" authorId="0" shapeId="0" xr:uid="{00000000-0006-0000-0600-000012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志清花蓮遊</t>
        </r>
        <r>
          <rPr>
            <sz val="9"/>
            <color indexed="81"/>
            <rFont val="Tahoma"/>
            <family val="2"/>
          </rPr>
          <t xml:space="preserve"> 4000</t>
        </r>
        <r>
          <rPr>
            <sz val="9"/>
            <color indexed="81"/>
            <rFont val="細明體"/>
            <family val="3"/>
            <charset val="136"/>
          </rPr>
          <t xml:space="preserve">
11/6兒童樂園早餐 105+175
斑比山丘 50</t>
        </r>
      </text>
    </comment>
    <comment ref="H211" authorId="0" shapeId="0" xr:uid="{00000000-0006-0000-0600-000013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兒童樂園門票 454+370
停車 200+300
加油 711
斑比山丘 500</t>
        </r>
      </text>
    </comment>
    <comment ref="J211" authorId="0" shapeId="0" xr:uid="{00000000-0006-0000-0600-000014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壽司郎 900</t>
        </r>
      </text>
    </comment>
    <comment ref="M211" authorId="0" shapeId="0" xr:uid="{00000000-0006-0000-0600-000015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裘兒艾克</t>
        </r>
        <r>
          <rPr>
            <sz val="9"/>
            <color indexed="81"/>
            <rFont val="Tahoma"/>
            <family val="2"/>
          </rPr>
          <t xml:space="preserve"> 7210</t>
        </r>
      </text>
    </comment>
    <comment ref="Q211" authorId="0" shapeId="0" xr:uid="{00000000-0006-0000-0600-000016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台中兩天一夜
</t>
        </r>
      </text>
    </comment>
    <comment ref="F212" authorId="0" shapeId="0" xr:uid="{00000000-0006-0000-0600-000017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生日蛋糕</t>
        </r>
        <r>
          <rPr>
            <b/>
            <sz val="9"/>
            <color indexed="81"/>
            <rFont val="Tahoma"/>
            <family val="2"/>
          </rPr>
          <t xml:space="preserve"> 720</t>
        </r>
      </text>
    </comment>
    <comment ref="H212" authorId="0" shapeId="0" xr:uid="{00000000-0006-0000-0600-000018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wakuwaku burger 273
</t>
        </r>
        <r>
          <rPr>
            <sz val="9"/>
            <color indexed="81"/>
            <rFont val="細明體"/>
            <family val="3"/>
            <charset val="136"/>
          </rPr>
          <t xml:space="preserve">蔬鍋藝 2020
</t>
        </r>
      </text>
    </comment>
    <comment ref="F213" authorId="0" shapeId="0" xr:uid="{00000000-0006-0000-0600-000019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Audi Loan 27778
</t>
        </r>
      </text>
    </comment>
    <comment ref="H213" authorId="0" shapeId="0" xr:uid="{00000000-0006-0000-0600-00001A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地價稅 1975(1974)</t>
        </r>
      </text>
    </comment>
    <comment ref="H215" authorId="0" shapeId="0" xr:uid="{00000000-0006-0000-0600-00001B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衡聖誕禮物鞋 1684</t>
        </r>
      </text>
    </comment>
    <comment ref="M215" authorId="0" shapeId="0" xr:uid="{00000000-0006-0000-0600-00001C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阿彥電視 18890
</t>
        </r>
      </text>
    </comment>
    <comment ref="N215" authorId="0" shapeId="0" xr:uid="{00000000-0006-0000-0600-00001D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健檢 3300
</t>
        </r>
      </text>
    </comment>
    <comment ref="O215" authorId="0" shapeId="0" xr:uid="{00000000-0006-0000-0600-00001E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雞湯大叔(同事聚餐) 1320</t>
        </r>
      </text>
    </comment>
    <comment ref="Q215" authorId="0" shapeId="0" xr:uid="{00000000-0006-0000-0600-00001F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媽生日紅包</t>
        </r>
      </text>
    </comment>
    <comment ref="F218" authorId="0" shapeId="0" xr:uid="{00000000-0006-0000-0600-000020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H218" authorId="0" shapeId="0" xr:uid="{00000000-0006-0000-0600-000021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336(139)
中華電信 70(69)
電費 883
網路費 1767</t>
        </r>
      </text>
    </comment>
    <comment ref="I218" authorId="0" shapeId="0" xr:uid="{00000000-0006-0000-0600-000022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中華電信 581(Alex)
瓦斯費 267</t>
        </r>
      </text>
    </comment>
    <comment ref="Q218" authorId="0" shapeId="0" xr:uid="{00000000-0006-0000-0600-000023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6753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8500
</t>
        </r>
        <r>
          <rPr>
            <sz val="9"/>
            <color indexed="81"/>
            <rFont val="細明體"/>
            <family val="3"/>
            <charset val="136"/>
          </rPr>
          <t>亞太電話費</t>
        </r>
        <r>
          <rPr>
            <sz val="9"/>
            <color indexed="81"/>
            <rFont val="Tahoma"/>
            <family val="2"/>
          </rPr>
          <t xml:space="preserve"> 596
</t>
        </r>
        <r>
          <rPr>
            <sz val="9"/>
            <color indexed="81"/>
            <rFont val="細明體"/>
            <family val="3"/>
            <charset val="136"/>
          </rPr>
          <t>電費 741</t>
        </r>
      </text>
    </comment>
    <comment ref="H220" authorId="0" shapeId="0" xr:uid="{00000000-0006-0000-0600-000024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蝦皮餅乾 276</t>
        </r>
      </text>
    </comment>
    <comment ref="I220" authorId="0" shapeId="0" xr:uid="{00000000-0006-0000-0600-000025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甜粿 500</t>
        </r>
      </text>
    </comment>
    <comment ref="J220" authorId="0" shapeId="0" xr:uid="{00000000-0006-0000-0600-000026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YAYOI</t>
        </r>
        <r>
          <rPr>
            <sz val="9"/>
            <color indexed="81"/>
            <rFont val="細明體"/>
            <family val="3"/>
            <charset val="136"/>
          </rPr>
          <t>幫刷卡</t>
        </r>
      </text>
    </comment>
    <comment ref="M220" authorId="0" shapeId="0" xr:uid="{00000000-0006-0000-0600-000027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獨特牛排館 799</t>
        </r>
      </text>
    </comment>
    <comment ref="F223" authorId="0" shapeId="0" xr:uid="{00000000-0006-0000-0600-000028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馬偕心臟科 570
古亭復健科診所 200
TypeC插座 199
北醫泌尿科 290</t>
        </r>
      </text>
    </comment>
    <comment ref="H223" authorId="0" shapeId="0" xr:uid="{00000000-0006-0000-0600-000029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機車罩 369
防刮罩 960
行動電源 989
勝克敏 180</t>
        </r>
      </text>
    </comment>
    <comment ref="F224" authorId="0" shapeId="0" xr:uid="{00000000-0006-0000-0600-00002A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翰打鼓課 1750
衡下學期保額 5000
英文班下學期保額 5000
翰科學課 600+2600
翰畫畫課 9500</t>
        </r>
      </text>
    </comment>
    <comment ref="F225" authorId="0" shapeId="0" xr:uid="{00000000-0006-0000-0600-00002B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新車代辦 1915
卸甲 250</t>
        </r>
      </text>
    </comment>
    <comment ref="H225" authorId="0" shapeId="0" xr:uid="{00000000-0006-0000-0600-00002C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Timberland 2952
</t>
        </r>
        <r>
          <rPr>
            <sz val="9"/>
            <color indexed="81"/>
            <rFont val="細明體"/>
            <family val="3"/>
            <charset val="136"/>
          </rPr>
          <t>平底鞋 1800
MINI bucket Mansur gavriel 12000</t>
        </r>
      </text>
    </comment>
    <comment ref="O225" authorId="0" shapeId="0" xr:uid="{00000000-0006-0000-0600-00002D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</t>
        </r>
        <r>
          <rPr>
            <sz val="9"/>
            <color indexed="81"/>
            <rFont val="細明體"/>
            <family val="3"/>
            <charset val="136"/>
          </rPr>
          <t>短版大學</t>
        </r>
        <r>
          <rPr>
            <sz val="9"/>
            <color indexed="81"/>
            <rFont val="Tahoma"/>
            <family val="2"/>
          </rPr>
          <t>T</t>
        </r>
        <r>
          <rPr>
            <sz val="9"/>
            <color indexed="81"/>
            <rFont val="細明體"/>
            <family val="3"/>
            <charset val="136"/>
          </rPr>
          <t>白</t>
        </r>
      </text>
    </comment>
    <comment ref="H226" authorId="0" shapeId="0" xr:uid="{00000000-0006-0000-0600-00002E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Timberland 2952
</t>
        </r>
      </text>
    </comment>
    <comment ref="O226" authorId="0" shapeId="0" xr:uid="{00000000-0006-0000-0600-00002F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Muji</t>
        </r>
        <r>
          <rPr>
            <sz val="9"/>
            <color indexed="81"/>
            <rFont val="細明體"/>
            <family val="3"/>
            <charset val="136"/>
          </rPr>
          <t>咖啡色襯衫</t>
        </r>
      </text>
    </comment>
    <comment ref="F227" authorId="0" shapeId="0" xr:uid="{00000000-0006-0000-0600-000030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化石異龍V 110
</t>
        </r>
      </text>
    </comment>
    <comment ref="I227" authorId="0" shapeId="0" xr:uid="{00000000-0006-0000-0600-000031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COCObar 94</t>
        </r>
      </text>
    </comment>
    <comment ref="O227" authorId="0" shapeId="0" xr:uid="{00000000-0006-0000-0600-000032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extra warm 390
</t>
        </r>
        <r>
          <rPr>
            <sz val="9"/>
            <color indexed="81"/>
            <rFont val="細明體"/>
            <family val="3"/>
            <charset val="136"/>
          </rPr>
          <t>燈心絨外套 590
內搭褲 290</t>
        </r>
      </text>
    </comment>
    <comment ref="I228" authorId="0" shapeId="0" xr:uid="{00000000-0006-0000-0600-000033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COCObar 21</t>
        </r>
      </text>
    </comment>
    <comment ref="O228" authorId="0" shapeId="0" xr:uid="{00000000-0006-0000-0600-000034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</t>
        </r>
        <r>
          <rPr>
            <sz val="9"/>
            <color indexed="81"/>
            <rFont val="細明體"/>
            <family val="3"/>
            <charset val="136"/>
          </rPr>
          <t>內衣 780
內褲+雙色背心 880</t>
        </r>
      </text>
    </comment>
    <comment ref="H229" authorId="0" shapeId="0" xr:uid="{00000000-0006-0000-0600-000035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聖誕交換禮物 570</t>
        </r>
      </text>
    </comment>
    <comment ref="Q229" authorId="0" shapeId="0" xr:uid="{00000000-0006-0000-0600-000036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alex</t>
        </r>
        <r>
          <rPr>
            <sz val="9"/>
            <color indexed="81"/>
            <rFont val="細明體"/>
            <family val="3"/>
            <charset val="136"/>
          </rPr>
          <t>爸媽防寒衣物 2760
alex媽媽防寒衣物 990</t>
        </r>
      </text>
    </comment>
    <comment ref="F230" authorId="0" shapeId="0" xr:uid="{00000000-0006-0000-0600-000037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桌球</t>
        </r>
        <r>
          <rPr>
            <sz val="9"/>
            <color indexed="81"/>
            <rFont val="Tahoma"/>
            <family val="2"/>
          </rPr>
          <t xml:space="preserve"> 100</t>
        </r>
      </text>
    </comment>
    <comment ref="H230" authorId="0" shapeId="0" xr:uid="{00000000-0006-0000-0600-000038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池先生 875
光一咖啡 1044
爬爬客 1080-500
果凍 99
樂天皇朝 832</t>
        </r>
      </text>
    </comment>
    <comment ref="M230" authorId="0" shapeId="0" xr:uid="{00000000-0006-0000-0600-000039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YAYOI 836</t>
        </r>
      </text>
    </comment>
    <comment ref="O231" authorId="0" shapeId="0" xr:uid="{00000000-0006-0000-0600-00003A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聖誕交換禮物 450</t>
        </r>
      </text>
    </comment>
    <comment ref="F232" authorId="0" shapeId="0" xr:uid="{00000000-0006-0000-0600-00003B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Audi Loan 27778
</t>
        </r>
      </text>
    </comment>
    <comment ref="H232" authorId="0" shapeId="0" xr:uid="{00000000-0006-0000-0600-00003C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衡護照換發 900
</t>
        </r>
      </text>
    </comment>
    <comment ref="H234" authorId="0" shapeId="0" xr:uid="{00000000-0006-0000-0600-00003D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GOGORO</t>
        </r>
        <r>
          <rPr>
            <sz val="9"/>
            <color indexed="81"/>
            <rFont val="細明體"/>
            <family val="3"/>
            <charset val="136"/>
          </rPr>
          <t xml:space="preserve"> 118292
</t>
        </r>
      </text>
    </comment>
    <comment ref="Q234" authorId="0" shapeId="0" xr:uid="{00000000-0006-0000-0600-00003E01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松山李阿姨白包 1000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丁純蘭</author>
  </authors>
  <commentList>
    <comment ref="F2" authorId="0" shapeId="0" xr:uid="{00000000-0006-0000-0700-00000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屁屁偵探*10 1850
</t>
        </r>
      </text>
    </comment>
    <comment ref="F6" authorId="0" shapeId="0" xr:uid="{00000000-0006-0000-0700-00000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寶可夢 60
寶可夢卡 200</t>
        </r>
      </text>
    </comment>
    <comment ref="G6" authorId="0" shapeId="0" xr:uid="{00000000-0006-0000-0700-00000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三井SEGA 200</t>
        </r>
      </text>
    </comment>
    <comment ref="H6" authorId="0" shapeId="0" xr:uid="{00000000-0006-0000-0700-00000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屁屁偵探漫畫 474</t>
        </r>
      </text>
    </comment>
    <comment ref="F7" authorId="0" shapeId="0" xr:uid="{00000000-0006-0000-0700-00000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VIVI</t>
        </r>
        <r>
          <rPr>
            <sz val="9"/>
            <color indexed="81"/>
            <rFont val="細明體"/>
            <family val="3"/>
            <charset val="136"/>
          </rPr>
          <t>弄瓦之喜
三子剪髮 910
牛軋糖 900</t>
        </r>
      </text>
    </comment>
    <comment ref="G8" authorId="0" shapeId="0" xr:uid="{00000000-0006-0000-0700-00000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咖啡膠囊</t>
        </r>
      </text>
    </comment>
    <comment ref="H8" authorId="0" shapeId="0" xr:uid="{00000000-0006-0000-0700-00000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欣欣天然氣 496
</t>
        </r>
      </text>
    </comment>
    <comment ref="F9" authorId="0" shapeId="0" xr:uid="{00000000-0006-0000-0700-00000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</t>
        </r>
      </text>
    </comment>
    <comment ref="Q9" authorId="0" shapeId="0" xr:uid="{00000000-0006-0000-0700-00000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國泰保費</t>
        </r>
        <r>
          <rPr>
            <sz val="9"/>
            <color indexed="81"/>
            <rFont val="Tahoma"/>
            <family val="2"/>
          </rPr>
          <t xml:space="preserve"> 3079
</t>
        </r>
        <r>
          <rPr>
            <sz val="9"/>
            <color indexed="81"/>
            <rFont val="細明體"/>
            <family val="3"/>
            <charset val="136"/>
          </rPr>
          <t>媽房租</t>
        </r>
        <r>
          <rPr>
            <sz val="9"/>
            <color indexed="81"/>
            <rFont val="Tahoma"/>
            <family val="2"/>
          </rPr>
          <t xml:space="preserve"> 8500
</t>
        </r>
        <r>
          <rPr>
            <sz val="9"/>
            <color indexed="81"/>
            <rFont val="細明體"/>
            <family val="3"/>
            <charset val="136"/>
          </rPr>
          <t>第四台</t>
        </r>
        <r>
          <rPr>
            <sz val="9"/>
            <color indexed="81"/>
            <rFont val="Tahoma"/>
            <family val="2"/>
          </rPr>
          <t xml:space="preserve"> 1500
</t>
        </r>
        <r>
          <rPr>
            <sz val="9"/>
            <color indexed="81"/>
            <rFont val="細明體"/>
            <family val="3"/>
            <charset val="136"/>
          </rPr>
          <t>電話費</t>
        </r>
        <r>
          <rPr>
            <sz val="9"/>
            <color indexed="81"/>
            <rFont val="Tahoma"/>
            <family val="2"/>
          </rPr>
          <t xml:space="preserve"> 847</t>
        </r>
      </text>
    </comment>
    <comment ref="H15" authorId="0" shapeId="0" xr:uid="{00000000-0006-0000-0700-00000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電費 1054
A電話費 687
萬隆市話 70
安敦電費 757
</t>
        </r>
      </text>
    </comment>
    <comment ref="I15" authorId="0" shapeId="0" xr:uid="{00000000-0006-0000-0700-00000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Etag 400
</t>
        </r>
        <r>
          <rPr>
            <sz val="9"/>
            <color indexed="81"/>
            <rFont val="細明體"/>
            <family val="3"/>
            <charset val="136"/>
          </rPr>
          <t>電話費 799</t>
        </r>
      </text>
    </comment>
    <comment ref="F16" authorId="0" shapeId="0" xr:uid="{00000000-0006-0000-0700-00000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Goodmorning</t>
        </r>
        <r>
          <rPr>
            <sz val="9"/>
            <color indexed="81"/>
            <rFont val="細明體"/>
            <family val="3"/>
            <charset val="136"/>
          </rPr>
          <t>杯</t>
        </r>
        <r>
          <rPr>
            <sz val="9"/>
            <color indexed="81"/>
            <rFont val="Tahoma"/>
            <family val="2"/>
          </rPr>
          <t xml:space="preserve">*2 226
</t>
        </r>
      </text>
    </comment>
    <comment ref="H16" authorId="0" shapeId="0" xr:uid="{00000000-0006-0000-0700-00000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TOEIC</t>
        </r>
        <r>
          <rPr>
            <sz val="9"/>
            <color indexed="81"/>
            <rFont val="細明體"/>
            <family val="3"/>
            <charset val="136"/>
          </rPr>
          <t>書 394</t>
        </r>
      </text>
    </comment>
    <comment ref="J16" authorId="0" shapeId="0" xr:uid="{00000000-0006-0000-0700-00000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內控報名費 790</t>
        </r>
      </text>
    </comment>
    <comment ref="F19" authorId="0" shapeId="0" xr:uid="{00000000-0006-0000-0700-00000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四方鮮奶 1470
四米大 500 </t>
        </r>
      </text>
    </comment>
    <comment ref="H19" authorId="0" shapeId="0" xr:uid="{00000000-0006-0000-0700-00001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Muji</t>
        </r>
        <r>
          <rPr>
            <sz val="9"/>
            <color indexed="81"/>
            <rFont val="細明體"/>
            <family val="3"/>
            <charset val="136"/>
          </rPr>
          <t xml:space="preserve">巧克力
葡吉包子 271
全聯 262+200
</t>
        </r>
      </text>
    </comment>
    <comment ref="J19" authorId="0" shapeId="0" xr:uid="{00000000-0006-0000-0700-00001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1/9 </t>
        </r>
        <r>
          <rPr>
            <sz val="9"/>
            <color indexed="81"/>
            <rFont val="細明體"/>
            <family val="3"/>
            <charset val="136"/>
          </rPr>
          <t xml:space="preserve">三重藏壽司 790
</t>
        </r>
      </text>
    </comment>
    <comment ref="F23" authorId="0" shapeId="0" xr:uid="{00000000-0006-0000-0700-00001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3078</t>
        </r>
      </text>
    </comment>
    <comment ref="H23" authorId="0" shapeId="0" xr:uid="{00000000-0006-0000-0700-00001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第四台 2664
</t>
        </r>
      </text>
    </comment>
    <comment ref="I23" authorId="0" shapeId="0" xr:uid="{00000000-0006-0000-0700-00001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</t>
        </r>
        <r>
          <rPr>
            <sz val="9"/>
            <color indexed="81"/>
            <rFont val="Tahoma"/>
            <family val="2"/>
          </rPr>
          <t xml:space="preserve"> 336
</t>
        </r>
        <r>
          <rPr>
            <sz val="9"/>
            <color indexed="81"/>
            <rFont val="細明體"/>
            <family val="3"/>
            <charset val="136"/>
          </rPr>
          <t>電話費</t>
        </r>
        <r>
          <rPr>
            <sz val="9"/>
            <color indexed="81"/>
            <rFont val="Tahoma"/>
            <family val="2"/>
          </rPr>
          <t xml:space="preserve"> 800</t>
        </r>
      </text>
    </comment>
    <comment ref="F26" authorId="0" shapeId="0" xr:uid="{00000000-0006-0000-0700-00001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補繳2月安親-2000
冷氣費 200
</t>
        </r>
      </text>
    </comment>
    <comment ref="I26" authorId="0" shapeId="0" xr:uid="{00000000-0006-0000-0700-00001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小一下學雜費 1025+1284
</t>
        </r>
      </text>
    </comment>
    <comment ref="F27" authorId="0" shapeId="0" xr:uid="{00000000-0006-0000-0700-00001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南機場夜市 120</t>
        </r>
      </text>
    </comment>
    <comment ref="F28" authorId="0" shapeId="0" xr:uid="{00000000-0006-0000-0700-00001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</t>
        </r>
        <r>
          <rPr>
            <sz val="9"/>
            <color indexed="81"/>
            <rFont val="Tahoma"/>
            <family val="2"/>
          </rPr>
          <t xml:space="preserve"> 3078</t>
        </r>
      </text>
    </comment>
    <comment ref="Q28" authorId="0" shapeId="0" xr:uid="{00000000-0006-0000-0700-00001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房租
保費
媽台灣之星</t>
        </r>
        <r>
          <rPr>
            <sz val="9"/>
            <color indexed="81"/>
            <rFont val="Tahoma"/>
            <family val="2"/>
          </rPr>
          <t>607
Yoxi 400</t>
        </r>
      </text>
    </comment>
    <comment ref="H29" authorId="0" shapeId="0" xr:uid="{00000000-0006-0000-0700-00001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國語辭典 </t>
        </r>
        <r>
          <rPr>
            <sz val="9"/>
            <color indexed="81"/>
            <rFont val="Tahoma"/>
            <family val="2"/>
          </rPr>
          <t xml:space="preserve">210
</t>
        </r>
      </text>
    </comment>
    <comment ref="I29" authorId="0" shapeId="0" xr:uid="{00000000-0006-0000-0700-00001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屁屁偵探門票
</t>
        </r>
      </text>
    </comment>
    <comment ref="F32" authorId="0" shapeId="0" xr:uid="{00000000-0006-0000-0700-00001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
房屋稅 7269</t>
        </r>
      </text>
    </comment>
    <comment ref="F33" authorId="0" shapeId="0" xr:uid="{00000000-0006-0000-0700-00001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煙火</t>
        </r>
      </text>
    </comment>
    <comment ref="F35" authorId="0" shapeId="0" xr:uid="{00000000-0006-0000-0700-00001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趣淘漫旅 3299
美慧新家拜訪(馬辣) 2270
黑貓包 120
西大發 382
兒童樂園門票 450+200</t>
        </r>
      </text>
    </comment>
    <comment ref="H35" authorId="0" shapeId="0" xr:uid="{00000000-0006-0000-0700-00001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高鐵費用 3555
翰林 406
麥當勞 196
兒童樂園 650</t>
        </r>
      </text>
    </comment>
    <comment ref="I35" authorId="0" shapeId="0" xr:uid="{00000000-0006-0000-0700-00002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統一超 560+294+434+641</t>
        </r>
      </text>
    </comment>
    <comment ref="J35" authorId="0" shapeId="0" xr:uid="{00000000-0006-0000-0700-00002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耐斯王子</t>
        </r>
        <r>
          <rPr>
            <sz val="9"/>
            <color indexed="81"/>
            <rFont val="Tahoma"/>
            <family val="2"/>
          </rPr>
          <t xml:space="preserve"> 4418
</t>
        </r>
        <r>
          <rPr>
            <sz val="9"/>
            <color indexed="81"/>
            <rFont val="細明體"/>
            <family val="3"/>
            <charset val="136"/>
          </rPr>
          <t xml:space="preserve">火雞肉麵 229
</t>
        </r>
      </text>
    </comment>
    <comment ref="F39" authorId="0" shapeId="0" xr:uid="{00000000-0006-0000-0700-00002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CLARK</t>
        </r>
        <r>
          <rPr>
            <sz val="9"/>
            <color indexed="81"/>
            <rFont val="細明體"/>
            <family val="3"/>
            <charset val="136"/>
          </rPr>
          <t xml:space="preserve">特賣會鞋*2
</t>
        </r>
      </text>
    </comment>
    <comment ref="H39" authorId="0" shapeId="0" xr:uid="{00000000-0006-0000-0700-00002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Muji</t>
        </r>
        <r>
          <rPr>
            <sz val="9"/>
            <color indexed="81"/>
            <rFont val="細明體"/>
            <family val="3"/>
            <charset val="136"/>
          </rPr>
          <t>圍巾</t>
        </r>
        <r>
          <rPr>
            <sz val="9"/>
            <color indexed="81"/>
            <rFont val="Tahoma"/>
            <family val="2"/>
          </rPr>
          <t>+MUJI</t>
        </r>
        <r>
          <rPr>
            <sz val="9"/>
            <color indexed="81"/>
            <rFont val="細明體"/>
            <family val="3"/>
            <charset val="136"/>
          </rPr>
          <t>襪子</t>
        </r>
        <r>
          <rPr>
            <sz val="9"/>
            <color indexed="81"/>
            <rFont val="Tahoma"/>
            <family val="2"/>
          </rPr>
          <t>*3</t>
        </r>
      </text>
    </comment>
    <comment ref="F40" authorId="0" shapeId="0" xr:uid="{00000000-0006-0000-0700-00002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2/28</t>
        </r>
        <r>
          <rPr>
            <sz val="9"/>
            <color indexed="81"/>
            <rFont val="細明體"/>
            <family val="3"/>
            <charset val="136"/>
          </rPr>
          <t>百吉星墅 9000
烤肉 1800
加床 600
清潔費 560
食費開銷 2000</t>
        </r>
      </text>
    </comment>
    <comment ref="I40" authorId="0" shapeId="0" xr:uid="{00000000-0006-0000-0700-00002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3/13</t>
        </r>
        <r>
          <rPr>
            <sz val="9"/>
            <color indexed="81"/>
            <rFont val="細明體"/>
            <family val="3"/>
            <charset val="136"/>
          </rPr>
          <t>翰生日煙波</t>
        </r>
      </text>
    </comment>
    <comment ref="J40" authorId="0" shapeId="0" xr:uid="{00000000-0006-0000-0700-00002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年假</t>
        </r>
        <r>
          <rPr>
            <sz val="9"/>
            <color indexed="81"/>
            <rFont val="Tahoma"/>
            <family val="2"/>
          </rPr>
          <t>tiger city</t>
        </r>
        <r>
          <rPr>
            <sz val="9"/>
            <color indexed="81"/>
            <rFont val="細明體"/>
            <family val="3"/>
            <charset val="136"/>
          </rPr>
          <t>火鍋 1162</t>
        </r>
      </text>
    </comment>
    <comment ref="I41" authorId="0" shapeId="0" xr:uid="{00000000-0006-0000-0700-00002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舒潔衛生紙*6 504</t>
        </r>
      </text>
    </comment>
    <comment ref="F44" authorId="0" shapeId="0" xr:uid="{00000000-0006-0000-0700-00002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幼幼班第二學期註冊費33000
教材費2000
雜費 1500
璿翰TH+2 30250
跆拳道 2300</t>
        </r>
      </text>
    </comment>
    <comment ref="Q44" authorId="0" shapeId="0" xr:uid="{00000000-0006-0000-0700-00002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過年紅包</t>
        </r>
      </text>
    </comment>
    <comment ref="I46" authorId="0" shapeId="0" xr:uid="{00000000-0006-0000-0700-00002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屁屁偵探門票</t>
        </r>
      </text>
    </comment>
    <comment ref="J47" authorId="0" shapeId="0" xr:uid="{00000000-0006-0000-0700-00002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璿翰生日聚餐pizzaria oggi 2926</t>
        </r>
      </text>
    </comment>
    <comment ref="Q47" authorId="0" shapeId="0" xr:uid="{00000000-0006-0000-0700-00002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媽房租 8500
國泰保費 3079
永佳樂 1495
電費 862</t>
        </r>
      </text>
    </comment>
    <comment ref="F48" authorId="0" shapeId="0" xr:uid="{00000000-0006-0000-0700-00002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bogart's 630
</t>
        </r>
        <r>
          <rPr>
            <sz val="9"/>
            <color indexed="81"/>
            <rFont val="細明體"/>
            <family val="3"/>
            <charset val="136"/>
          </rPr>
          <t>豆漿 53
四方鮮奶 294
炳淑烤玉米 250</t>
        </r>
      </text>
    </comment>
    <comment ref="J48" authorId="0" shapeId="0" xr:uid="{00000000-0006-0000-0700-00002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Foodpanda</t>
        </r>
        <r>
          <rPr>
            <sz val="9"/>
            <color indexed="81"/>
            <rFont val="細明體"/>
            <family val="3"/>
            <charset val="136"/>
          </rPr>
          <t>鬍鬚張 454</t>
        </r>
      </text>
    </comment>
    <comment ref="F49" authorId="0" shapeId="0" xr:uid="{00000000-0006-0000-0700-00002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
牌照稅 11230</t>
        </r>
      </text>
    </comment>
    <comment ref="F50" authorId="0" shapeId="0" xr:uid="{00000000-0006-0000-0700-00003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衡衡手甲溝炎 200
</t>
        </r>
      </text>
    </comment>
    <comment ref="G50" authorId="0" shapeId="0" xr:uid="{00000000-0006-0000-0700-00003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璿翰薄長褲 390 
修藍波手把 1500
Poli口罩 299</t>
        </r>
      </text>
    </comment>
    <comment ref="H50" authorId="0" shapeId="0" xr:uid="{00000000-0006-0000-0700-00003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毛巾 399</t>
        </r>
      </text>
    </comment>
    <comment ref="F51" authorId="0" shapeId="0" xr:uid="{00000000-0006-0000-0700-00003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管理費 3078
</t>
        </r>
      </text>
    </comment>
    <comment ref="H51" authorId="0" shapeId="0" xr:uid="{00000000-0006-0000-0700-00003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713
瓦斯費 728</t>
        </r>
      </text>
    </comment>
    <comment ref="H52" authorId="0" shapeId="0" xr:uid="{00000000-0006-0000-0700-00003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全家咖啡 1100
金子半之助 921</t>
        </r>
      </text>
    </comment>
    <comment ref="Q52" authorId="0" shapeId="0" xr:uid="{00000000-0006-0000-0700-00003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拜小韋3000
</t>
        </r>
      </text>
    </comment>
    <comment ref="F54" authorId="0" shapeId="0" xr:uid="{00000000-0006-0000-0700-00003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美慧新家禮物 719</t>
        </r>
      </text>
    </comment>
    <comment ref="I54" authorId="0" shapeId="0" xr:uid="{00000000-0006-0000-0700-00003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望遠鏡 2462
</t>
        </r>
      </text>
    </comment>
    <comment ref="M54" authorId="0" shapeId="0" xr:uid="{00000000-0006-0000-0700-00003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美慧禮物</t>
        </r>
      </text>
    </comment>
    <comment ref="F57" authorId="0" shapeId="0" xr:uid="{00000000-0006-0000-0700-00003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翰薄長褲</t>
        </r>
      </text>
    </comment>
    <comment ref="G57" authorId="0" shapeId="0" xr:uid="{00000000-0006-0000-0700-00003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口罩 94
</t>
        </r>
      </text>
    </comment>
    <comment ref="Q58" authorId="0" shapeId="0" xr:uid="{00000000-0006-0000-0700-00003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媽掃大德墓</t>
        </r>
        <r>
          <rPr>
            <sz val="9"/>
            <color indexed="81"/>
            <rFont val="Tahoma"/>
            <family val="2"/>
          </rPr>
          <t xml:space="preserve"> 1200</t>
        </r>
      </text>
    </comment>
    <comment ref="F60" authorId="0" shapeId="0" xr:uid="{00000000-0006-0000-0700-00003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</t>
        </r>
      </text>
    </comment>
    <comment ref="F66" authorId="0" shapeId="0" xr:uid="{00000000-0006-0000-0700-00003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衡刮刮樂
抽質菲亞紅包</t>
        </r>
      </text>
    </comment>
    <comment ref="Q66" authorId="0" shapeId="0" xr:uid="{00000000-0006-0000-0700-00003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 630
老爸電話費 199
媽房租 8500
國泰保費 3079</t>
        </r>
      </text>
    </comment>
    <comment ref="H67" authorId="0" shapeId="0" xr:uid="{00000000-0006-0000-0700-00004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翼隆戰甲 1199</t>
        </r>
      </text>
    </comment>
    <comment ref="F68" authorId="0" shapeId="0" xr:uid="{00000000-0006-0000-0700-00004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衡學費</t>
        </r>
        <r>
          <rPr>
            <sz val="9"/>
            <color indexed="81"/>
            <rFont val="Tahoma"/>
            <family val="2"/>
          </rPr>
          <t xml:space="preserve">18000
</t>
        </r>
        <r>
          <rPr>
            <sz val="9"/>
            <color indexed="81"/>
            <rFont val="細明體"/>
            <family val="3"/>
            <charset val="136"/>
          </rPr>
          <t>璿翰安親 4200
璿翰TH 6600
寒假志清安親第一週 5551-852(戶外活動退費)
跆拳道社團 2714
安親保額 5000
TH保額 3000
名人圍棋 4800</t>
        </r>
      </text>
    </comment>
    <comment ref="F69" authorId="0" shapeId="0" xr:uid="{00000000-0006-0000-0700-00004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</t>
        </r>
      </text>
    </comment>
    <comment ref="Q71" authorId="0" shapeId="0" xr:uid="{00000000-0006-0000-0700-00004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
歐治鼻+眼藥水+衛生紙+濕紙巾 350+158
</t>
        </r>
      </text>
    </comment>
    <comment ref="I72" authorId="0" shapeId="0" xr:uid="{00000000-0006-0000-0700-00004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儲值Etag 400</t>
        </r>
      </text>
    </comment>
    <comment ref="F73" authorId="0" shapeId="0" xr:uid="{00000000-0006-0000-0700-00004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藍波第一張罰單 613
修摩托車 2700
Rose弄瓦之喜 600</t>
        </r>
      </text>
    </comment>
    <comment ref="I73" authorId="0" shapeId="0" xr:uid="{00000000-0006-0000-0700-00004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翰翰生日蛋糕</t>
        </r>
      </text>
    </comment>
    <comment ref="F75" authorId="0" shapeId="0" xr:uid="{00000000-0006-0000-0700-00004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3078</t>
        </r>
      </text>
    </comment>
    <comment ref="H75" authorId="0" shapeId="0" xr:uid="{00000000-0006-0000-0700-00004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A電話費 687
萬隆市話 70
大安文山 2664</t>
        </r>
      </text>
    </comment>
    <comment ref="I75" authorId="0" shapeId="0" xr:uid="{00000000-0006-0000-0700-00004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電費 968
台灣之星799
</t>
        </r>
      </text>
    </comment>
    <comment ref="F77" authorId="0" shapeId="0" xr:uid="{00000000-0006-0000-0700-00004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 27778</t>
        </r>
      </text>
    </comment>
    <comment ref="Q77" authorId="0" shapeId="0" xr:uid="{00000000-0006-0000-0700-00004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4/5</t>
        </r>
        <r>
          <rPr>
            <sz val="9"/>
            <color indexed="81"/>
            <rFont val="細明體"/>
            <family val="3"/>
            <charset val="136"/>
          </rPr>
          <t>南澳旅遊</t>
        </r>
        <r>
          <rPr>
            <sz val="9"/>
            <color indexed="81"/>
            <rFont val="Tahoma"/>
            <family val="2"/>
          </rPr>
          <t xml:space="preserve"> 1200
</t>
        </r>
        <r>
          <rPr>
            <sz val="9"/>
            <color indexed="81"/>
            <rFont val="細明體"/>
            <family val="3"/>
            <charset val="136"/>
          </rPr>
          <t xml:space="preserve">歌唱班費用 </t>
        </r>
        <r>
          <rPr>
            <sz val="9"/>
            <color indexed="81"/>
            <rFont val="Tahoma"/>
            <family val="2"/>
          </rPr>
          <t>1200</t>
        </r>
      </text>
    </comment>
    <comment ref="F78" authorId="0" shapeId="0" xr:uid="{00000000-0006-0000-0700-00004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CAMA</t>
        </r>
        <r>
          <rPr>
            <sz val="9"/>
            <color indexed="81"/>
            <rFont val="細明體"/>
            <family val="3"/>
            <charset val="136"/>
          </rPr>
          <t>拿鐵</t>
        </r>
        <r>
          <rPr>
            <sz val="9"/>
            <color indexed="81"/>
            <rFont val="Tahoma"/>
            <family val="2"/>
          </rPr>
          <t xml:space="preserve"> 86
</t>
        </r>
        <r>
          <rPr>
            <sz val="9"/>
            <color indexed="81"/>
            <rFont val="細明體"/>
            <family val="3"/>
            <charset val="136"/>
          </rPr>
          <t>四方鮮奶</t>
        </r>
        <r>
          <rPr>
            <sz val="9"/>
            <color indexed="81"/>
            <rFont val="Tahoma"/>
            <family val="2"/>
          </rPr>
          <t xml:space="preserve"> 1470
</t>
        </r>
        <r>
          <rPr>
            <sz val="9"/>
            <color indexed="81"/>
            <rFont val="細明體"/>
            <family val="3"/>
            <charset val="136"/>
          </rPr>
          <t>晨食</t>
        </r>
        <r>
          <rPr>
            <sz val="9"/>
            <color indexed="81"/>
            <rFont val="Tahoma"/>
            <family val="2"/>
          </rPr>
          <t xml:space="preserve"> 290
</t>
        </r>
        <r>
          <rPr>
            <sz val="9"/>
            <color indexed="81"/>
            <rFont val="細明體"/>
            <family val="3"/>
            <charset val="136"/>
          </rPr>
          <t>聖瑪莉</t>
        </r>
        <r>
          <rPr>
            <sz val="9"/>
            <color indexed="81"/>
            <rFont val="Tahoma"/>
            <family val="2"/>
          </rPr>
          <t xml:space="preserve"> 247
</t>
        </r>
        <r>
          <rPr>
            <sz val="9"/>
            <color indexed="81"/>
            <rFont val="細明體"/>
            <family val="3"/>
            <charset val="136"/>
          </rPr>
          <t>深盤</t>
        </r>
        <r>
          <rPr>
            <sz val="9"/>
            <color indexed="81"/>
            <rFont val="Tahoma"/>
            <family val="2"/>
          </rPr>
          <t xml:space="preserve">pizza 350
</t>
        </r>
        <r>
          <rPr>
            <sz val="9"/>
            <color indexed="81"/>
            <rFont val="細明體"/>
            <family val="3"/>
            <charset val="136"/>
          </rPr>
          <t>頂呱呱 263</t>
        </r>
      </text>
    </comment>
    <comment ref="G78" authorId="0" shapeId="0" xr:uid="{00000000-0006-0000-0700-00004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IKEA</t>
        </r>
        <r>
          <rPr>
            <sz val="9"/>
            <color indexed="81"/>
            <rFont val="細明體"/>
            <family val="3"/>
            <charset val="136"/>
          </rPr>
          <t xml:space="preserve">超市 150
</t>
        </r>
      </text>
    </comment>
    <comment ref="H80" authorId="0" shapeId="0" xr:uid="{00000000-0006-0000-0700-00004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Switch</t>
        </r>
        <r>
          <rPr>
            <sz val="9"/>
            <color indexed="81"/>
            <rFont val="細明體"/>
            <family val="3"/>
            <charset val="136"/>
          </rPr>
          <t>把手</t>
        </r>
      </text>
    </comment>
    <comment ref="J81" authorId="0" shapeId="0" xr:uid="{00000000-0006-0000-0700-00004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老爸年前聚餐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>乾杯2823
老媽年前聚餐-乾杯1276</t>
        </r>
      </text>
    </comment>
    <comment ref="F82" authorId="0" shapeId="0" xr:uid="{00000000-0006-0000-0700-00005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衡感冒瑞安 150
Nancy看牙 30
Alex 看口腔面顎科 150</t>
        </r>
      </text>
    </comment>
    <comment ref="Q82" authorId="0" shapeId="0" xr:uid="{00000000-0006-0000-0700-00005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老爸臨時電話 300</t>
        </r>
      </text>
    </comment>
    <comment ref="H83" authorId="0" shapeId="0" xr:uid="{00000000-0006-0000-0700-00005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MUJI</t>
        </r>
        <r>
          <rPr>
            <sz val="9"/>
            <color indexed="81"/>
            <rFont val="細明體"/>
            <family val="3"/>
            <charset val="136"/>
          </rPr>
          <t>衣服+襪子*3 534+249</t>
        </r>
      </text>
    </comment>
    <comment ref="Q85" authorId="0" shapeId="0" xr:uid="{00000000-0006-0000-0700-00005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媽房租 8500
國泰保費 3079
</t>
        </r>
      </text>
    </comment>
    <comment ref="F86" authorId="0" shapeId="0" xr:uid="{00000000-0006-0000-0700-00005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劍+戳戳樂*3
</t>
        </r>
      </text>
    </comment>
    <comment ref="Q87" authorId="0" shapeId="0" xr:uid="{00000000-0006-0000-0700-00005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電話費795
電費767
</t>
        </r>
      </text>
    </comment>
    <comment ref="F89" authorId="0" shapeId="0" xr:uid="{00000000-0006-0000-0700-00005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劍+戳戳樂*3
</t>
        </r>
      </text>
    </comment>
    <comment ref="F90" authorId="0" shapeId="0" xr:uid="{00000000-0006-0000-0700-00005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水潤餅 150
地瓜球 50
甘蔗青茶 55
法葵 540
冬瓜檸檬 40
立境豆花 45
金芝園排骨飯 80
炸彈蔥油餅 45
RT蛋糕 860
生乳捲 145
古山星辰 1000
小火車 150</t>
        </r>
      </text>
    </comment>
    <comment ref="G90" authorId="0" shapeId="0" xr:uid="{00000000-0006-0000-0700-00005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防水尿布 89</t>
        </r>
      </text>
    </comment>
    <comment ref="J90" authorId="0" shapeId="0" xr:uid="{00000000-0006-0000-0700-00005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炸機工廠</t>
        </r>
      </text>
    </comment>
    <comment ref="H92" authorId="0" shapeId="0" xr:uid="{00000000-0006-0000-0700-00005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Tomica</t>
        </r>
        <r>
          <rPr>
            <sz val="9"/>
            <color indexed="81"/>
            <rFont val="細明體"/>
            <family val="3"/>
            <charset val="136"/>
          </rPr>
          <t>小車</t>
        </r>
        <r>
          <rPr>
            <sz val="9"/>
            <color indexed="81"/>
            <rFont val="Tahoma"/>
            <family val="2"/>
          </rPr>
          <t xml:space="preserve"> 176
</t>
        </r>
      </text>
    </comment>
    <comment ref="F97" authorId="0" shapeId="0" xr:uid="{00000000-0006-0000-0700-00005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元旦露營租金 3750
營地費+烤肉 2900
Mister Donuts 624
海苔洋芋片 100
香蕉 220
手做香蕉蛋糕 300</t>
        </r>
      </text>
    </comment>
    <comment ref="H97" authorId="0" shapeId="0" xr:uid="{00000000-0006-0000-0700-00005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麥當勞 351
星巴克咖啡 175
海苔洋芋片 31
加油 750
陽光森林公園腳踏車 250
</t>
        </r>
      </text>
    </comment>
    <comment ref="J97" authorId="0" shapeId="0" xr:uid="{00000000-0006-0000-0700-00005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冰淇淋</t>
        </r>
        <r>
          <rPr>
            <sz val="9"/>
            <color indexed="81"/>
            <rFont val="Tahoma"/>
            <family val="2"/>
          </rPr>
          <t xml:space="preserve"> 80</t>
        </r>
      </text>
    </comment>
    <comment ref="Q98" authorId="0" shapeId="0" xr:uid="{00000000-0006-0000-0700-00005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探索廚房 + 詳和素食</t>
        </r>
      </text>
    </comment>
    <comment ref="H100" authorId="0" shapeId="0" xr:uid="{00000000-0006-0000-0700-00005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小銳 135
樂高消防車 1499</t>
        </r>
      </text>
    </comment>
    <comment ref="Q101" authorId="0" shapeId="0" xr:uid="{00000000-0006-0000-0700-00006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母親節紅包 2000
母親節禮物 </t>
        </r>
      </text>
    </comment>
    <comment ref="F103" authorId="0" shapeId="0" xr:uid="{00000000-0006-0000-0700-00006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湯姆熊 305
Switch 14200</t>
        </r>
      </text>
    </comment>
    <comment ref="F104" authorId="0" shapeId="0" xr:uid="{00000000-0006-0000-0700-00006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3078</t>
        </r>
      </text>
    </comment>
    <comment ref="H104" authorId="0" shapeId="0" xr:uid="{00000000-0006-0000-0700-00006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</t>
        </r>
        <r>
          <rPr>
            <sz val="9"/>
            <color indexed="81"/>
            <rFont val="Tahoma"/>
            <family val="2"/>
          </rPr>
          <t xml:space="preserve"> 1415
</t>
        </r>
        <r>
          <rPr>
            <sz val="9"/>
            <color indexed="81"/>
            <rFont val="細明體"/>
            <family val="3"/>
            <charset val="136"/>
          </rPr>
          <t>瓦斯費428</t>
        </r>
      </text>
    </comment>
    <comment ref="Q104" authorId="0" shapeId="0" xr:uid="{00000000-0006-0000-0700-00006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媽房租 8500
國泰保費 3079
</t>
        </r>
      </text>
    </comment>
    <comment ref="G106" authorId="0" shapeId="0" xr:uid="{00000000-0006-0000-0700-00006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滋美珍 肉鬆+肉乾 591</t>
        </r>
      </text>
    </comment>
    <comment ref="J106" authorId="0" shapeId="0" xr:uid="{00000000-0006-0000-0700-00006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Komeda </t>
        </r>
        <r>
          <rPr>
            <sz val="9"/>
            <color indexed="81"/>
            <rFont val="細明體"/>
            <family val="3"/>
            <charset val="136"/>
          </rPr>
          <t>客美多 558</t>
        </r>
      </text>
    </comment>
    <comment ref="Q106" authorId="0" shapeId="0" xr:uid="{00000000-0006-0000-0700-00006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電話費 583
</t>
        </r>
      </text>
    </comment>
    <comment ref="F110" authorId="0" shapeId="0" xr:uid="{00000000-0006-0000-0700-00006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衡線上課程 3600
</t>
        </r>
      </text>
    </comment>
    <comment ref="I111" authorId="0" shapeId="0" xr:uid="{00000000-0006-0000-0700-00006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餅乾模型 325
</t>
        </r>
      </text>
    </comment>
    <comment ref="J114" authorId="0" shapeId="0" xr:uid="{00000000-0006-0000-0700-00006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摺紙機器人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車車  150</t>
        </r>
      </text>
    </comment>
    <comment ref="F118" authorId="0" shapeId="0" xr:uid="{00000000-0006-0000-0700-00006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</t>
        </r>
      </text>
    </comment>
    <comment ref="F123" authorId="0" shapeId="0" xr:uid="{00000000-0006-0000-0700-00006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3078</t>
        </r>
      </text>
    </comment>
    <comment ref="H123" authorId="0" shapeId="0" xr:uid="{00000000-0006-0000-0700-00006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1491
大安文山 2644</t>
        </r>
      </text>
    </comment>
    <comment ref="I123" authorId="0" shapeId="0" xr:uid="{00000000-0006-0000-0700-00006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 799</t>
        </r>
      </text>
    </comment>
    <comment ref="Q123" authorId="0" shapeId="0" xr:uid="{00000000-0006-0000-0700-00006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媽房租 8500
國泰保費 3079
第四台 1500
電話費 426</t>
        </r>
      </text>
    </comment>
    <comment ref="F125" authorId="0" shapeId="0" xr:uid="{00000000-0006-0000-0700-00007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鮮奶  1176
廚房紙巾 109</t>
        </r>
      </text>
    </comment>
    <comment ref="I125" authorId="0" shapeId="0" xr:uid="{00000000-0006-0000-0700-00007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貳樓 853</t>
        </r>
      </text>
    </comment>
    <comment ref="J125" authorId="0" shapeId="0" xr:uid="{00000000-0006-0000-0700-00007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高記    530
MOMO Paradise 1800
京星  1967
</t>
        </r>
      </text>
    </comment>
    <comment ref="K125" authorId="0" shapeId="0" xr:uid="{00000000-0006-0000-0700-00007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夏慕尼 2230</t>
        </r>
      </text>
    </comment>
    <comment ref="Q125" authorId="0" shapeId="0" xr:uid="{00000000-0006-0000-0700-00007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F127" authorId="0" shapeId="0" xr:uid="{00000000-0006-0000-0700-00007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奶嘴 143</t>
        </r>
      </text>
    </comment>
    <comment ref="F128" authorId="0" shapeId="0" xr:uid="{00000000-0006-0000-0700-00007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快篩     500</t>
        </r>
      </text>
    </comment>
    <comment ref="F129" authorId="0" shapeId="0" xr:uid="{00000000-0006-0000-0700-00007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衡預繳 5000</t>
        </r>
      </text>
    </comment>
    <comment ref="F130" authorId="0" shapeId="0" xr:uid="{00000000-0006-0000-0700-00007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金屬秤</t>
        </r>
        <r>
          <rPr>
            <sz val="9"/>
            <color indexed="81"/>
            <rFont val="Tahoma"/>
            <family val="2"/>
          </rPr>
          <t xml:space="preserve">   297
</t>
        </r>
      </text>
    </comment>
    <comment ref="F131" authorId="0" shapeId="0" xr:uid="{00000000-0006-0000-0700-00007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Olympic Mario</t>
        </r>
      </text>
    </comment>
    <comment ref="F132" authorId="0" shapeId="0" xr:uid="{00000000-0006-0000-0700-00007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寶可夢五星卡  900</t>
        </r>
      </text>
    </comment>
    <comment ref="L132" authorId="0" shapeId="0" xr:uid="{00000000-0006-0000-0700-00007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科學實驗王 806
TEVA涼鞋 1257
</t>
        </r>
      </text>
    </comment>
    <comment ref="L133" authorId="0" shapeId="0" xr:uid="{00000000-0006-0000-0700-00007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汪汪隊拼圖</t>
        </r>
      </text>
    </comment>
    <comment ref="F137" authorId="0" shapeId="0" xr:uid="{00000000-0006-0000-0700-00007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</t>
        </r>
      </text>
    </comment>
    <comment ref="M138" authorId="0" shapeId="0" xr:uid="{00000000-0006-0000-0700-00007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乙式車險  52040-2600</t>
        </r>
      </text>
    </comment>
    <comment ref="F142" authorId="0" shapeId="0" xr:uid="{00000000-0006-0000-0700-00007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3078</t>
        </r>
      </text>
    </comment>
    <comment ref="H142" authorId="0" shapeId="0" xr:uid="{00000000-0006-0000-0700-00008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機車燃料費 389
汽車燃料費 6145
電費 3092
水費 814</t>
        </r>
      </text>
    </comment>
    <comment ref="I142" authorId="0" shapeId="0" xr:uid="{00000000-0006-0000-0700-00008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 800</t>
        </r>
      </text>
    </comment>
    <comment ref="P142" authorId="0" shapeId="0" xr:uid="{00000000-0006-0000-0700-00008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三井停車費 120
</t>
        </r>
      </text>
    </comment>
    <comment ref="Q142" authorId="0" shapeId="0" xr:uid="{00000000-0006-0000-0700-00008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媽房租 8500
國泰保費 3079
電話費  680</t>
        </r>
      </text>
    </comment>
    <comment ref="F143" authorId="0" shapeId="0" xr:uid="{00000000-0006-0000-0700-00008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搭機捷牽腳踏車 542</t>
        </r>
      </text>
    </comment>
    <comment ref="H143" authorId="0" shapeId="0" xr:uid="{00000000-0006-0000-0700-00008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GOSHARE
</t>
        </r>
      </text>
    </comment>
    <comment ref="H144" authorId="0" shapeId="0" xr:uid="{00000000-0006-0000-0700-00008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MOS</t>
        </r>
        <r>
          <rPr>
            <sz val="9"/>
            <color indexed="81"/>
            <rFont val="細明體"/>
            <family val="3"/>
            <charset val="136"/>
          </rPr>
          <t>蒟蒻 600
老先覺 1387</t>
        </r>
      </text>
    </comment>
    <comment ref="I144" authorId="0" shapeId="0" xr:uid="{00000000-0006-0000-0700-00008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肯德基(Alex) 499</t>
        </r>
      </text>
    </comment>
    <comment ref="L144" authorId="0" shapeId="0" xr:uid="{00000000-0006-0000-0700-00008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COSTCO 6300
</t>
        </r>
      </text>
    </comment>
    <comment ref="Q147" authorId="0" shapeId="0" xr:uid="{00000000-0006-0000-0700-00008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生活費不夠多給  1300</t>
        </r>
      </text>
    </comment>
    <comment ref="F148" authorId="0" shapeId="0" xr:uid="{00000000-0006-0000-0700-00008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衡小班1註冊費 30095
衡打鼓課 5600</t>
        </r>
      </text>
    </comment>
    <comment ref="F149" authorId="0" shapeId="0" xr:uid="{00000000-0006-0000-0700-00008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RF</t>
        </r>
        <r>
          <rPr>
            <sz val="9"/>
            <color indexed="81"/>
            <rFont val="細明體"/>
            <family val="3"/>
            <charset val="136"/>
          </rPr>
          <t xml:space="preserve">衣服 7000
</t>
        </r>
      </text>
    </comment>
    <comment ref="I149" authorId="0" shapeId="0" xr:uid="{00000000-0006-0000-0700-00008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父親節枕頭 4500</t>
        </r>
      </text>
    </comment>
    <comment ref="F150" authorId="0" shapeId="0" xr:uid="{00000000-0006-0000-0700-00008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RF</t>
        </r>
        <r>
          <rPr>
            <sz val="9"/>
            <color indexed="81"/>
            <rFont val="細明體"/>
            <family val="3"/>
            <charset val="136"/>
          </rPr>
          <t>衣服 9000</t>
        </r>
      </text>
    </comment>
    <comment ref="I150" authorId="0" shapeId="0" xr:uid="{00000000-0006-0000-0700-00008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情人節禮物Pandora 3500
</t>
        </r>
      </text>
    </comment>
    <comment ref="F151" authorId="0" shapeId="0" xr:uid="{00000000-0006-0000-0700-00008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RF衣服  4000</t>
        </r>
      </text>
    </comment>
    <comment ref="F152" authorId="0" shapeId="0" xr:uid="{00000000-0006-0000-0700-00009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RF衣服  2000</t>
        </r>
      </text>
    </comment>
    <comment ref="F154" authorId="0" shapeId="0" xr:uid="{00000000-0006-0000-0700-00009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晨食 280
給媽的太陽餅 250
23號台陽餅   802
</t>
        </r>
      </text>
    </comment>
    <comment ref="H154" authorId="0" shapeId="0" xr:uid="{00000000-0006-0000-0700-00009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木柵動物園加值
</t>
        </r>
        <r>
          <rPr>
            <sz val="9"/>
            <color indexed="81"/>
            <rFont val="Tahoma"/>
            <family val="2"/>
          </rPr>
          <t>Uma  2397</t>
        </r>
      </text>
    </comment>
    <comment ref="M154" authorId="0" shapeId="0" xr:uid="{00000000-0006-0000-0700-00009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台中中壢三天兩夜行</t>
        </r>
      </text>
    </comment>
    <comment ref="F155" authorId="0" shapeId="0" xr:uid="{00000000-0006-0000-0700-00009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歡聚烤吧 990
禎軒 688
</t>
        </r>
      </text>
    </comment>
    <comment ref="F156" authorId="0" shapeId="0" xr:uid="{00000000-0006-0000-0700-00009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</t>
        </r>
      </text>
    </comment>
    <comment ref="M157" authorId="0" shapeId="0" xr:uid="{00000000-0006-0000-0700-00009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機車兩年強制險  1020</t>
        </r>
      </text>
    </comment>
    <comment ref="F158" authorId="0" shapeId="0" xr:uid="{00000000-0006-0000-0700-00009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阿彥禮物
俊豪爸爸白包 5100</t>
        </r>
      </text>
    </comment>
    <comment ref="Q158" authorId="0" shapeId="0" xr:uid="{00000000-0006-0000-0700-00009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拜小韋 3000</t>
        </r>
      </text>
    </comment>
    <comment ref="F159" authorId="0" shapeId="0" xr:uid="{00000000-0006-0000-0700-00009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學費與RF</t>
        </r>
      </text>
    </comment>
    <comment ref="F161" authorId="0" shapeId="0" xr:uid="{00000000-0006-0000-0700-00009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管理費 3028
A電話費 687
</t>
        </r>
      </text>
    </comment>
    <comment ref="H161" authorId="0" shapeId="0" xr:uid="{00000000-0006-0000-0700-00009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1662</t>
        </r>
      </text>
    </comment>
    <comment ref="I161" authorId="0" shapeId="0" xr:uid="{00000000-0006-0000-0700-00009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台灣之星 799
</t>
        </r>
      </text>
    </comment>
    <comment ref="Q161" authorId="0" shapeId="0" xr:uid="{00000000-0006-0000-0700-00009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媽房租 5500(8500-2500-500)
國泰保費 3079
修水電   2500
第四台 1500
修冷氣管 500+500
台灣之星 534
電費 1723</t>
        </r>
      </text>
    </comment>
    <comment ref="I163" authorId="0" shapeId="0" xr:uid="{00000000-0006-0000-0700-00009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瑪莉珍</t>
        </r>
        <r>
          <rPr>
            <sz val="9"/>
            <color indexed="81"/>
            <rFont val="Tahoma"/>
            <family val="2"/>
          </rPr>
          <t xml:space="preserve">pizza 915 (Alex)
</t>
        </r>
      </text>
    </comment>
    <comment ref="J165" authorId="0" shapeId="0" xr:uid="{00000000-0006-0000-0700-00009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奶粉*4 2500</t>
        </r>
      </text>
    </comment>
    <comment ref="F166" authorId="0" shapeId="0" xr:uid="{00000000-0006-0000-0700-0000A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看眼科 200</t>
        </r>
      </text>
    </comment>
    <comment ref="I166" authorId="0" shapeId="0" xr:uid="{00000000-0006-0000-0700-0000A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腳踏車後座座椅 990
persil洗衣精*4  568</t>
        </r>
      </text>
    </comment>
    <comment ref="Q166" authorId="0" shapeId="0" xr:uid="{00000000-0006-0000-0700-0000A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9/6</t>
        </r>
        <r>
          <rPr>
            <sz val="9"/>
            <color indexed="81"/>
            <rFont val="細明體"/>
            <family val="3"/>
            <charset val="136"/>
          </rPr>
          <t>老媽一日遊 800
老爸看醫生  300</t>
        </r>
      </text>
    </comment>
    <comment ref="F167" authorId="0" shapeId="0" xr:uid="{00000000-0006-0000-0700-0000A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翰TH+3學費 35000
衡月費+教材費 17000 
吉他試上 700
安親班 1900</t>
        </r>
      </text>
    </comment>
    <comment ref="H167" authorId="0" shapeId="0" xr:uid="{00000000-0006-0000-0700-0000A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扯鈴學費 1810
志清學費 1246+1139
</t>
        </r>
      </text>
    </comment>
    <comment ref="F168" authorId="0" shapeId="0" xr:uid="{00000000-0006-0000-0700-0000A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樂華打電動 50</t>
        </r>
      </text>
    </comment>
    <comment ref="F170" authorId="0" shapeId="0" xr:uid="{00000000-0006-0000-0700-0000A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科學實驗王 781</t>
        </r>
      </text>
    </comment>
    <comment ref="F173" authorId="0" shapeId="0" xr:uid="{00000000-0006-0000-0700-0000A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碧潭天鵝船 500</t>
        </r>
      </text>
    </comment>
    <comment ref="F175" authorId="0" shapeId="0" xr:uid="{00000000-0006-0000-0700-0000A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</t>
        </r>
      </text>
    </comment>
    <comment ref="F180" authorId="0" shapeId="0" xr:uid="{00000000-0006-0000-0700-0000A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3028
A電話費 687
室內電話 70</t>
        </r>
      </text>
    </comment>
    <comment ref="H180" authorId="0" shapeId="0" xr:uid="{00000000-0006-0000-0700-0000A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電費 2161</t>
        </r>
      </text>
    </comment>
    <comment ref="I180" authorId="0" shapeId="0" xr:uid="{00000000-0006-0000-0700-0000A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台灣之星 801
</t>
        </r>
      </text>
    </comment>
    <comment ref="Q180" authorId="0" shapeId="0" xr:uid="{00000000-0006-0000-0700-0000A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媽房租 8500
國泰保費 3079
台灣之星 447</t>
        </r>
      </text>
    </comment>
    <comment ref="F182" authorId="0" shapeId="0" xr:uid="{00000000-0006-0000-0700-0000A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車庫羊肉爐 1600
鮮奶 1176
紅龍雞塊 129
磅蛋糕  800
華西街夜市 1125
世界豆漿大王 225
小紅莓 1170
源本家 1208</t>
        </r>
      </text>
    </comment>
    <comment ref="H182" authorId="0" shapeId="0" xr:uid="{00000000-0006-0000-0700-0000A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元川日式刷刷鍋 899
全聯 627</t>
        </r>
      </text>
    </comment>
    <comment ref="I182" authorId="0" shapeId="0" xr:uid="{00000000-0006-0000-0700-0000A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晶華麻辣牛肉麵 560
</t>
        </r>
      </text>
    </comment>
    <comment ref="J182" authorId="0" shapeId="0" xr:uid="{00000000-0006-0000-0700-0000B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藏壽司</t>
        </r>
      </text>
    </comment>
    <comment ref="I185" authorId="0" shapeId="0" xr:uid="{00000000-0006-0000-0700-0000B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IKEA</t>
        </r>
        <r>
          <rPr>
            <sz val="9"/>
            <color indexed="81"/>
            <rFont val="細明體"/>
            <family val="3"/>
            <charset val="136"/>
          </rPr>
          <t xml:space="preserve">食物剪 38
三個鉛筆盒 567 (940)
</t>
        </r>
      </text>
    </comment>
    <comment ref="F186" authorId="0" shapeId="0" xr:uid="{00000000-0006-0000-0700-0000B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國語日報科學課 5200
衡感統課費用 388
幼幼班 11500
翰安親 6500</t>
        </r>
      </text>
    </comment>
    <comment ref="F187" authorId="0" shapeId="0" xr:uid="{00000000-0006-0000-0700-0000B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樂理書</t>
        </r>
      </text>
    </comment>
    <comment ref="J187" authorId="0" shapeId="0" xr:uid="{00000000-0006-0000-0700-0000B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AllSaints 
</t>
        </r>
      </text>
    </comment>
    <comment ref="J188" authorId="0" shapeId="0" xr:uid="{00000000-0006-0000-0700-0000B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AllSaints </t>
        </r>
      </text>
    </comment>
    <comment ref="F189" authorId="0" shapeId="0" xr:uid="{00000000-0006-0000-0700-0000B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地球防衛隊機器人 1300
合金飛車 330</t>
        </r>
      </text>
    </comment>
    <comment ref="I189" authorId="0" shapeId="0" xr:uid="{00000000-0006-0000-0700-0000B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屁屁偵探第十集讀本 237</t>
        </r>
      </text>
    </comment>
    <comment ref="F190" authorId="0" shapeId="0" xr:uid="{00000000-0006-0000-0700-0000B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地球防衛隊機器人 1300
合金飛車 330</t>
        </r>
      </text>
    </comment>
    <comment ref="F192" authorId="0" shapeId="0" xr:uid="{00000000-0006-0000-0700-0000B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大武崙沙灘租頂棚 150
沖水 20</t>
        </r>
      </text>
    </comment>
    <comment ref="F194" authorId="0" shapeId="0" xr:uid="{00000000-0006-0000-0700-0000B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</t>
        </r>
      </text>
    </comment>
    <comment ref="G195" authorId="0" shapeId="0" xr:uid="{00000000-0006-0000-0700-0000B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兩小年度保險費 1927*2</t>
        </r>
      </text>
    </comment>
    <comment ref="F196" authorId="0" shapeId="0" xr:uid="{00000000-0006-0000-0700-0000B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Birdy</t>
        </r>
        <r>
          <rPr>
            <sz val="9"/>
            <color indexed="81"/>
            <rFont val="細明體"/>
            <family val="3"/>
            <charset val="136"/>
          </rPr>
          <t>彌月禮 600
Hubert彌月禮 2000</t>
        </r>
      </text>
    </comment>
    <comment ref="I196" authorId="0" shapeId="0" xr:uid="{00000000-0006-0000-0700-0000B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衡衡生日蛋糕</t>
        </r>
      </text>
    </comment>
    <comment ref="J196" authorId="0" shapeId="0" xr:uid="{00000000-0006-0000-0700-0000B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秋吉串燒 2376</t>
        </r>
      </text>
    </comment>
    <comment ref="F199" authorId="0" shapeId="0" xr:uid="{00000000-0006-0000-0700-0000B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3028
A電話費 488
兩小剪髮 530</t>
        </r>
      </text>
    </comment>
    <comment ref="H199" authorId="0" shapeId="0" xr:uid="{00000000-0006-0000-0700-0000C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 1169</t>
        </r>
      </text>
    </comment>
    <comment ref="I199" authorId="0" shapeId="0" xr:uid="{00000000-0006-0000-0700-0000C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 799</t>
        </r>
      </text>
    </comment>
    <comment ref="Q199" authorId="0" shapeId="0" xr:uid="{00000000-0006-0000-0700-0000C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媽房租 8500
國泰保費 3079
台灣之星 569
</t>
        </r>
      </text>
    </comment>
    <comment ref="I200" authorId="0" shapeId="0" xr:uid="{00000000-0006-0000-0700-0000C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Etag 400</t>
        </r>
      </text>
    </comment>
    <comment ref="F201" authorId="0" shapeId="0" xr:uid="{00000000-0006-0000-0700-0000C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四方鮮奶 1173
月亮蝦餅 250
大盛豬排 580
安宅 500
kirkland堅果 589
costco小魚餅 399</t>
        </r>
      </text>
    </comment>
    <comment ref="H201" authorId="0" shapeId="0" xr:uid="{00000000-0006-0000-0700-0000C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alleyscafe 520
</t>
        </r>
        <r>
          <rPr>
            <sz val="9"/>
            <color indexed="81"/>
            <rFont val="細明體"/>
            <family val="3"/>
            <charset val="136"/>
          </rPr>
          <t>全聯 422
nespresso咖啡膠囊 4040</t>
        </r>
      </text>
    </comment>
    <comment ref="I201" authorId="0" shapeId="0" xr:uid="{00000000-0006-0000-0700-0000C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福勝亭 520(Alex)
</t>
        </r>
      </text>
    </comment>
    <comment ref="L201" authorId="0" shapeId="0" xr:uid="{00000000-0006-0000-0700-0000C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堅果 618
小魚餅 439
奇多 179</t>
        </r>
      </text>
    </comment>
    <comment ref="F204" authorId="0" shapeId="0" xr:uid="{00000000-0006-0000-0700-0000C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修馬桶</t>
        </r>
        <r>
          <rPr>
            <sz val="9"/>
            <color indexed="81"/>
            <rFont val="Tahoma"/>
            <family val="2"/>
          </rPr>
          <t xml:space="preserve"> 800
</t>
        </r>
        <r>
          <rPr>
            <sz val="9"/>
            <color indexed="81"/>
            <rFont val="細明體"/>
            <family val="3"/>
            <charset val="136"/>
          </rPr>
          <t xml:space="preserve">立體口罩 228
翰翰運動服 490
衡塗氟 200
洗髮精 289
液體衛生棉 439
兒童襪 279
</t>
        </r>
      </text>
    </comment>
    <comment ref="H204" authorId="0" shapeId="0" xr:uid="{00000000-0006-0000-0700-0000C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鉛筆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橡皮擦 69</t>
        </r>
      </text>
    </comment>
    <comment ref="L204" authorId="0" shapeId="0" xr:uid="{00000000-0006-0000-0700-0000C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薰衣草羅勒洗髮精 289
液體衛生棉 439
襪子 190</t>
        </r>
      </text>
    </comment>
    <comment ref="Q204" authorId="0" shapeId="0" xr:uid="{00000000-0006-0000-0700-0000C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老媽生日禮金 3000</t>
        </r>
      </text>
    </comment>
    <comment ref="F206" authorId="0" shapeId="0" xr:uid="{00000000-0006-0000-0700-0000C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前排牙套</t>
        </r>
        <r>
          <rPr>
            <sz val="9"/>
            <color indexed="81"/>
            <rFont val="Tahoma"/>
            <family val="2"/>
          </rPr>
          <t>*2  40000</t>
        </r>
      </text>
    </comment>
    <comment ref="I207" authorId="0" shapeId="0" xr:uid="{00000000-0006-0000-0700-0000C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無線耳機</t>
        </r>
        <r>
          <rPr>
            <sz val="9"/>
            <color indexed="81"/>
            <rFont val="Tahoma"/>
            <family val="2"/>
          </rPr>
          <t xml:space="preserve"> 3200 (alex)</t>
        </r>
      </text>
    </comment>
    <comment ref="L208" authorId="0" shapeId="0" xr:uid="{00000000-0006-0000-0700-0000C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微型遙控飛機 599</t>
        </r>
      </text>
    </comment>
    <comment ref="H209" authorId="0" shapeId="0" xr:uid="{00000000-0006-0000-0700-0000C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加加積木 339
高登 135
馬蹄蟹艇 899</t>
        </r>
      </text>
    </comment>
    <comment ref="F211" authorId="0" shapeId="0" xr:uid="{00000000-0006-0000-0700-0000D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棒棒積木訂金</t>
        </r>
      </text>
    </comment>
    <comment ref="F212" authorId="0" shapeId="0" xr:uid="{00000000-0006-0000-0700-0000D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老媽生日聚餐 1300</t>
        </r>
      </text>
    </comment>
    <comment ref="F213" authorId="0" shapeId="0" xr:uid="{00000000-0006-0000-0700-0000D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</t>
        </r>
      </text>
    </comment>
    <comment ref="H213" authorId="0" shapeId="0" xr:uid="{00000000-0006-0000-0700-0000D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地價稅 1931</t>
        </r>
      </text>
    </comment>
    <comment ref="F215" authorId="0" shapeId="0" xr:uid="{00000000-0006-0000-0700-0000D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高中同學聚餐(尊煌) 2000</t>
        </r>
      </text>
    </comment>
    <comment ref="F218" authorId="0" shapeId="0" xr:uid="{00000000-0006-0000-0700-0000D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 3028
A電話費 687
電費 1213</t>
        </r>
      </text>
    </comment>
    <comment ref="H218" authorId="0" shapeId="0" xr:uid="{00000000-0006-0000-0700-0000D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18" authorId="0" shapeId="0" xr:uid="{00000000-0006-0000-0700-0000D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台灣之星 799
天然氣 320</t>
        </r>
      </text>
    </comment>
    <comment ref="Q218" authorId="0" shapeId="0" xr:uid="{00000000-0006-0000-0700-0000D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媽房租 8500
國泰保費 3079
台灣之星 524
媽電費 1203</t>
        </r>
      </text>
    </comment>
    <comment ref="I219" authorId="0" shapeId="0" xr:uid="{00000000-0006-0000-0700-0000D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機車停車費 36(27)</t>
        </r>
      </text>
    </comment>
    <comment ref="F220" authorId="0" shapeId="0" xr:uid="{00000000-0006-0000-0700-0000D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藏壽司 640
大河屋 820
小紅莓 1470(-1000)
</t>
        </r>
      </text>
    </comment>
    <comment ref="H220" authorId="0" shapeId="0" xr:uid="{00000000-0006-0000-0700-0000D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武藏野 235
藏壽司 1040</t>
        </r>
      </text>
    </comment>
    <comment ref="I220" authorId="0" shapeId="0" xr:uid="{00000000-0006-0000-0700-0000D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大阪王將餃子 349
吉米廚房 780</t>
        </r>
      </text>
    </comment>
    <comment ref="J220" authorId="0" shapeId="0" xr:uid="{00000000-0006-0000-0700-0000D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赤神豬排 891
滾吧 871
藏壽司 520
</t>
        </r>
      </text>
    </comment>
    <comment ref="L220" authorId="0" shapeId="0" xr:uid="{00000000-0006-0000-0700-0000D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柳丁百香金萱 175
堅果 558
纖三薯 295
沙拉 159</t>
        </r>
      </text>
    </comment>
    <comment ref="F223" authorId="0" shapeId="0" xr:uid="{00000000-0006-0000-0700-0000D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underwear &amp; pants 880
</t>
        </r>
        <r>
          <rPr>
            <sz val="9"/>
            <color indexed="81"/>
            <rFont val="細明體"/>
            <family val="3"/>
            <charset val="136"/>
          </rPr>
          <t xml:space="preserve">衡看牙 200
鬆餅粉 298
朝慶看手 150*2
電池 95
</t>
        </r>
      </text>
    </comment>
    <comment ref="I223" authorId="0" shapeId="0" xr:uid="{00000000-0006-0000-0700-0000E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Mugi thermals 448
</t>
        </r>
      </text>
    </comment>
    <comment ref="F224" authorId="0" shapeId="0" xr:uid="{00000000-0006-0000-0700-0000E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TH4Prepaid 5000
mdnkids Science 5200
jazz drum 5600</t>
        </r>
      </text>
    </comment>
    <comment ref="H224" authorId="0" shapeId="0" xr:uid="{00000000-0006-0000-0700-0000E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wintercamp 5131</t>
        </r>
      </text>
    </comment>
    <comment ref="F226" authorId="0" shapeId="0" xr:uid="{00000000-0006-0000-0700-0000E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 shoes 590</t>
        </r>
      </text>
    </comment>
    <comment ref="H226" authorId="0" shapeId="0" xr:uid="{00000000-0006-0000-0700-0000E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RF 8520
socks 109
</t>
        </r>
      </text>
    </comment>
    <comment ref="F227" authorId="0" shapeId="0" xr:uid="{00000000-0006-0000-0700-0000E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湯姆熊打電動 150</t>
        </r>
      </text>
    </comment>
    <comment ref="H227" authorId="0" shapeId="0" xr:uid="{00000000-0006-0000-0700-0000E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RF 1662
</t>
        </r>
        <r>
          <rPr>
            <sz val="9"/>
            <color indexed="81"/>
            <rFont val="細明體"/>
            <family val="3"/>
            <charset val="136"/>
          </rPr>
          <t>妖怪出租</t>
        </r>
        <r>
          <rPr>
            <sz val="9"/>
            <color indexed="81"/>
            <rFont val="Tahoma"/>
            <family val="2"/>
          </rPr>
          <t xml:space="preserve"> 756
switch pokemon sword 1290
toysrus 534</t>
        </r>
      </text>
    </comment>
    <comment ref="F228" authorId="0" shapeId="0" xr:uid="{00000000-0006-0000-0700-0000E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湯姆熊打電動 150
太空氣球 15</t>
        </r>
      </text>
    </comment>
    <comment ref="H228" authorId="0" shapeId="0" xr:uid="{00000000-0006-0000-0700-0000E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RF 1662
</t>
        </r>
        <r>
          <rPr>
            <sz val="9"/>
            <color indexed="81"/>
            <rFont val="細明體"/>
            <family val="3"/>
            <charset val="136"/>
          </rPr>
          <t xml:space="preserve">扭蛋 250
toysrus 534
</t>
        </r>
      </text>
    </comment>
    <comment ref="L228" authorId="0" shapeId="0" xr:uid="{00000000-0006-0000-0700-0000E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瑪利歐賽車(聖誕禮物) 1800</t>
        </r>
      </text>
    </comment>
    <comment ref="H230" authorId="0" shapeId="0" xr:uid="{00000000-0006-0000-0700-0000E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Xpark</t>
        </r>
        <r>
          <rPr>
            <sz val="9"/>
            <color indexed="81"/>
            <rFont val="細明體"/>
            <family val="3"/>
            <charset val="136"/>
          </rPr>
          <t>水族館</t>
        </r>
      </text>
    </comment>
    <comment ref="J230" authorId="0" shapeId="0" xr:uid="{00000000-0006-0000-0700-0000E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高麗園</t>
        </r>
        <r>
          <rPr>
            <sz val="9"/>
            <color indexed="81"/>
            <rFont val="Tahoma"/>
            <family val="2"/>
          </rPr>
          <t>with fred</t>
        </r>
        <r>
          <rPr>
            <sz val="9"/>
            <color indexed="81"/>
            <rFont val="細明體"/>
            <family val="3"/>
            <charset val="136"/>
          </rPr>
          <t xml:space="preserve"> 1633</t>
        </r>
      </text>
    </comment>
    <comment ref="F232" authorId="0" shapeId="0" xr:uid="{00000000-0006-0000-0700-0000E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</t>
        </r>
      </text>
    </comment>
    <comment ref="F234" authorId="0" shapeId="0" xr:uid="{00000000-0006-0000-0700-0000E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忠紅包 2600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丁純蘭</author>
    <author>nancy</author>
    <author>tc={F085A205-B275-4885-94C8-35D305BE520C}</author>
    <author>tc={02F2CB36-52D7-44B0-AC83-A3CAC8083ADF}</author>
    <author>tc={71281C67-279E-4B8A-8376-ADF3107A290E}</author>
    <author>tc={1C26B6A8-2C48-432F-96C9-DEFE93115ABF}</author>
  </authors>
  <commentList>
    <comment ref="E9" authorId="0" shapeId="0" xr:uid="{00000000-0006-0000-0800-00000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管理費+第四台</t>
        </r>
      </text>
    </comment>
    <comment ref="G9" authorId="0" shapeId="0" xr:uid="{00000000-0006-0000-0800-00000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衡衡奶粉1970
</t>
        </r>
      </text>
    </comment>
    <comment ref="I10" authorId="0" shapeId="0" xr:uid="{00000000-0006-0000-0800-00000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年前買衣服</t>
        </r>
      </text>
    </comment>
    <comment ref="Q10" authorId="0" shapeId="0" xr:uid="{00000000-0006-0000-0800-00000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1/30.31</t>
        </r>
        <r>
          <rPr>
            <sz val="9"/>
            <color indexed="81"/>
            <rFont val="細明體"/>
            <family val="3"/>
            <charset val="136"/>
          </rPr>
          <t>進香1000
社大日語課3000</t>
        </r>
      </text>
    </comment>
    <comment ref="E11" authorId="0" shapeId="0" xr:uid="{00000000-0006-0000-0800-00000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怡杏生子祝賀</t>
        </r>
      </text>
    </comment>
    <comment ref="H11" authorId="0" shapeId="0" xr:uid="{00000000-0006-0000-0800-00000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過年出遊嘉義住宿 / 2918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 shapeId="0" xr:uid="{00000000-0006-0000-0800-00000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年前車子大美容</t>
        </r>
      </text>
    </comment>
    <comment ref="Q11" authorId="0" shapeId="0" xr:uid="{00000000-0006-0000-0800-00000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保險</t>
        </r>
        <r>
          <rPr>
            <sz val="9"/>
            <color indexed="81"/>
            <rFont val="Tahoma"/>
            <family val="2"/>
          </rPr>
          <t>03/06</t>
        </r>
        <r>
          <rPr>
            <sz val="9"/>
            <color indexed="81"/>
            <rFont val="細明體"/>
            <family val="3"/>
            <charset val="136"/>
          </rPr>
          <t xml:space="preserve">期
</t>
        </r>
      </text>
    </comment>
    <comment ref="R11" authorId="0" shapeId="0" xr:uid="{00000000-0006-0000-0800-00000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衡衡托嬰中心平安保費</t>
        </r>
      </text>
    </comment>
    <comment ref="H14" authorId="0" shapeId="0" xr:uid="{00000000-0006-0000-0800-00000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衡衡奶粉</t>
        </r>
        <r>
          <rPr>
            <sz val="9"/>
            <color indexed="81"/>
            <rFont val="Tahoma"/>
            <family val="2"/>
          </rPr>
          <t>1970</t>
        </r>
      </text>
    </comment>
    <comment ref="H15" authorId="0" shapeId="0" xr:uid="{00000000-0006-0000-0800-00000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翰翰衡衡過年禮物
Nancy's bra Chantelle</t>
        </r>
      </text>
    </comment>
    <comment ref="G16" authorId="0" shapeId="0" xr:uid="{00000000-0006-0000-0800-00000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過年台中房費</t>
        </r>
      </text>
    </comment>
    <comment ref="I16" authorId="0" shapeId="0" xr:uid="{00000000-0006-0000-0800-00000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dinner party with wang's Family $3567
dinner party with Ding's Family $1395</t>
        </r>
      </text>
    </comment>
    <comment ref="H19" authorId="0" shapeId="0" xr:uid="{00000000-0006-0000-0800-00000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咖啡膠囊3200</t>
        </r>
      </text>
    </comment>
    <comment ref="H20" authorId="0" shapeId="0" xr:uid="{00000000-0006-0000-0800-00000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牙仙子禮物</t>
        </r>
      </text>
    </comment>
    <comment ref="J21" authorId="0" shapeId="0" xr:uid="{00000000-0006-0000-0800-00001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翰翰生日禮物</t>
        </r>
      </text>
    </comment>
    <comment ref="G24" authorId="0" shapeId="0" xr:uid="{00000000-0006-0000-0800-00001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衡奶粉*4
四方鮮奶 1568</t>
        </r>
      </text>
    </comment>
    <comment ref="G25" authorId="1" shapeId="0" xr:uid="{00000000-0006-0000-0800-000012000000}">
      <text>
        <r>
          <rPr>
            <b/>
            <sz val="9"/>
            <color indexed="81"/>
            <rFont val="Tahoma"/>
            <family val="2"/>
          </rPr>
          <t>nancy: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牛仔褲(7 for all mankind)
小白鞋</t>
        </r>
      </text>
    </comment>
    <comment ref="G26" authorId="1" shapeId="0" xr:uid="{00000000-0006-0000-0800-000013000000}">
      <text>
        <r>
          <rPr>
            <b/>
            <sz val="9"/>
            <color indexed="81"/>
            <rFont val="Tahoma"/>
            <family val="2"/>
          </rPr>
          <t>nancy:</t>
        </r>
        <r>
          <rPr>
            <sz val="9"/>
            <color indexed="81"/>
            <rFont val="細明體"/>
            <family val="3"/>
            <charset val="136"/>
          </rPr>
          <t xml:space="preserve">
天ㄟ三合院(訂金2700+餘款2700)
房屋稅 7118</t>
        </r>
      </text>
    </comment>
    <comment ref="R26" authorId="1" shapeId="0" xr:uid="{00000000-0006-0000-0800-000014000000}">
      <text>
        <r>
          <rPr>
            <b/>
            <sz val="9"/>
            <color indexed="81"/>
            <rFont val="Tahoma"/>
            <family val="2"/>
          </rPr>
          <t>nancy: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靜心小一篩選報名</t>
        </r>
      </text>
    </comment>
    <comment ref="G31" authorId="0" shapeId="0" xr:uid="{00000000-0006-0000-0800-00001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燃料稅 6633
粉紅豬小妹舞台劇 1440</t>
        </r>
      </text>
    </comment>
    <comment ref="F35" authorId="0" shapeId="0" xr:uid="{00000000-0006-0000-0800-00001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ZARA</t>
        </r>
      </text>
    </comment>
    <comment ref="F36" authorId="0" shapeId="0" xr:uid="{00000000-0006-0000-0800-00001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ASUS </t>
        </r>
        <r>
          <rPr>
            <sz val="9"/>
            <color indexed="81"/>
            <rFont val="細明體"/>
            <family val="3"/>
            <charset val="136"/>
          </rPr>
          <t xml:space="preserve">筆電
</t>
        </r>
      </text>
    </comment>
    <comment ref="G36" authorId="2" shapeId="0" xr:uid="{00000000-0006-0000-0800-000018000000}">
      <text>
        <r>
          <rPr>
            <sz val="10"/>
            <color theme="1"/>
            <rFont val="新細明體"/>
            <family val="1"/>
            <charset val="136"/>
            <scheme val="minor"/>
          </rPr>
          <t>端午連假台中遊 9125
綜所稅 32917</t>
        </r>
      </text>
    </comment>
    <comment ref="H36" authorId="3" shapeId="0" xr:uid="{00000000-0006-0000-0800-000019000000}">
      <text>
        <r>
          <rPr>
            <sz val="12"/>
            <color theme="1"/>
            <rFont val="新細明體"/>
            <family val="2"/>
            <charset val="136"/>
            <scheme val="minor"/>
          </rPr>
          <t xml:space="preserve">台東火車票
</t>
        </r>
      </text>
    </comment>
    <comment ref="I36" authorId="4" shapeId="0" xr:uid="{00000000-0006-0000-0800-00001A000000}">
      <text>
        <r>
          <rPr>
            <sz val="12"/>
            <color theme="1"/>
            <rFont val="新細明體"/>
            <family val="2"/>
            <charset val="136"/>
            <scheme val="minor"/>
          </rPr>
          <t>註解:
    台中屋馬 2123</t>
        </r>
      </text>
    </comment>
    <comment ref="K36" authorId="5" shapeId="0" xr:uid="{00000000-0006-0000-0800-00001B000000}">
      <text>
        <r>
          <rPr>
            <sz val="12"/>
            <color theme="1"/>
            <rFont val="新細明體"/>
            <family val="2"/>
            <charset val="136"/>
            <scheme val="minor"/>
          </rPr>
          <t>台東火車票</t>
        </r>
      </text>
    </comment>
    <comment ref="I39" authorId="0" shapeId="0" xr:uid="{00000000-0006-0000-0800-00001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衡奶粉 2110</t>
        </r>
      </text>
    </comment>
    <comment ref="F40" authorId="0" shapeId="0" xr:uid="{00000000-0006-0000-0800-00001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Uniqlo+Gap</t>
        </r>
      </text>
    </comment>
    <comment ref="F41" authorId="0" shapeId="0" xr:uid="{00000000-0006-0000-0800-00001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積木森林 4800
格上租車 750+1000+358
</t>
        </r>
      </text>
    </comment>
    <comment ref="G41" authorId="0" shapeId="0" xr:uid="{00000000-0006-0000-0800-00001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台東行火車票 384</t>
        </r>
      </text>
    </comment>
    <comment ref="H41" authorId="0" shapeId="0" xr:uid="{00000000-0006-0000-0800-00002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101</t>
        </r>
        <r>
          <rPr>
            <sz val="9"/>
            <color indexed="81"/>
            <rFont val="細明體"/>
            <family val="3"/>
            <charset val="136"/>
          </rPr>
          <t>觀景台</t>
        </r>
      </text>
    </comment>
    <comment ref="G44" authorId="0" shapeId="0" xr:uid="{00000000-0006-0000-0800-00002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第四台 </t>
        </r>
        <r>
          <rPr>
            <sz val="9"/>
            <color indexed="81"/>
            <rFont val="Tahoma"/>
            <family val="2"/>
          </rPr>
          <t>2662</t>
        </r>
      </text>
    </comment>
    <comment ref="I44" authorId="0" shapeId="0" xr:uid="{00000000-0006-0000-0800-00002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衡奶粉2150
衡尿布2390
翰防蚊液 1468</t>
        </r>
      </text>
    </comment>
    <comment ref="P44" authorId="0" shapeId="0" xr:uid="{00000000-0006-0000-0800-00002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咖啡膠囊</t>
        </r>
      </text>
    </comment>
    <comment ref="I45" authorId="0" shapeId="0" xr:uid="{00000000-0006-0000-0800-00002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office 2150</t>
        </r>
      </text>
    </comment>
    <comment ref="G46" authorId="0" shapeId="0" xr:uid="{00000000-0006-0000-0800-000025000000}">
      <text>
        <r>
          <rPr>
            <b/>
            <sz val="9"/>
            <color indexed="81"/>
            <rFont val="細明體"/>
            <family val="3"/>
            <charset val="136"/>
          </rPr>
          <t>翰翰小學書包
8/14台中住宿</t>
        </r>
      </text>
    </comment>
    <comment ref="H46" authorId="0" shapeId="0" xr:uid="{00000000-0006-0000-0800-00002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三倍券</t>
        </r>
      </text>
    </comment>
    <comment ref="I46" authorId="0" shapeId="0" xr:uid="{00000000-0006-0000-0800-00002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台中旅遊</t>
        </r>
        <r>
          <rPr>
            <sz val="9"/>
            <color indexed="81"/>
            <rFont val="Tahoma"/>
            <family val="2"/>
          </rPr>
          <t xml:space="preserve">=&gt;
</t>
        </r>
        <r>
          <rPr>
            <sz val="9"/>
            <color indexed="81"/>
            <rFont val="細明體"/>
            <family val="3"/>
            <charset val="136"/>
          </rPr>
          <t>屋馬燒肉1848
食鍋藝1068
文藝復興咖啡館640
煙波親子遊buffet 2107
煙波住宿7500</t>
        </r>
      </text>
    </comment>
    <comment ref="J50" authorId="1" shapeId="0" xr:uid="{00000000-0006-0000-0800-000028000000}">
      <text>
        <r>
          <rPr>
            <b/>
            <sz val="9"/>
            <color indexed="81"/>
            <rFont val="Tahoma"/>
            <family val="2"/>
          </rPr>
          <t>nancy: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看電影</t>
        </r>
        <r>
          <rPr>
            <sz val="9"/>
            <color indexed="81"/>
            <rFont val="Tahoma"/>
            <family val="2"/>
          </rPr>
          <t xml:space="preserve">*2
</t>
        </r>
      </text>
    </comment>
    <comment ref="E51" authorId="0" shapeId="0" xr:uid="{00000000-0006-0000-0800-00002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買車 </t>
        </r>
      </text>
    </comment>
    <comment ref="G51" authorId="0" shapeId="0" xr:uid="{00000000-0006-0000-0800-00002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翰翰 一上學校社團費用 2464
</t>
        </r>
      </text>
    </comment>
    <comment ref="H51" authorId="0" shapeId="0" xr:uid="{00000000-0006-0000-0800-00002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AUDI</t>
        </r>
        <r>
          <rPr>
            <sz val="9"/>
            <color indexed="81"/>
            <rFont val="細明體"/>
            <family val="3"/>
            <charset val="136"/>
          </rPr>
          <t>訂金</t>
        </r>
      </text>
    </comment>
    <comment ref="I51" authorId="0" shapeId="0" xr:uid="{00000000-0006-0000-0800-00002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Audi</t>
        </r>
        <r>
          <rPr>
            <sz val="9"/>
            <color indexed="81"/>
            <rFont val="細明體"/>
            <family val="3"/>
            <charset val="136"/>
          </rPr>
          <t>乙式保費</t>
        </r>
      </text>
    </comment>
    <comment ref="Q51" authorId="0" shapeId="0" xr:uid="{00000000-0006-0000-0800-00002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澎湖遊零用金
</t>
        </r>
      </text>
    </comment>
    <comment ref="R51" authorId="0" shapeId="0" xr:uid="{00000000-0006-0000-0800-00002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足球服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球衣+襪子</t>
        </r>
      </text>
    </comment>
    <comment ref="I54" authorId="0" shapeId="0" xr:uid="{00000000-0006-0000-0800-00002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衡奶粉</t>
        </r>
      </text>
    </comment>
    <comment ref="F55" authorId="0" shapeId="0" xr:uid="{00000000-0006-0000-0800-00003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質菲亞做臉 35000</t>
        </r>
      </text>
    </comment>
    <comment ref="E56" authorId="0" shapeId="0" xr:uid="{00000000-0006-0000-0800-00003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</t>
        </r>
      </text>
    </comment>
    <comment ref="F56" authorId="0" shapeId="0" xr:uid="{00000000-0006-0000-0800-00003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兩小年度保費</t>
        </r>
      </text>
    </comment>
    <comment ref="G56" authorId="0" shapeId="0" xr:uid="{00000000-0006-0000-0800-00003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細明體"/>
            <family val="3"/>
            <charset val="136"/>
          </rPr>
          <t xml:space="preserve">
衡生日蛋糕860
媽&amp;姊生日禮物 5500
地價稅1931</t>
        </r>
      </text>
    </comment>
    <comment ref="Q56" authorId="0" shapeId="0" xr:uid="{00000000-0006-0000-0800-00003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朝慶爸南下高鐵</t>
        </r>
      </text>
    </comment>
    <comment ref="I59" authorId="0" shapeId="0" xr:uid="{00000000-0006-0000-0800-00003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衡尿布 2300
癮鍋小約會 845</t>
        </r>
      </text>
    </comment>
    <comment ref="H60" authorId="0" shapeId="0" xr:uid="{00000000-0006-0000-0800-00003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迷你特攻隊玩具 2386</t>
        </r>
      </text>
    </comment>
    <comment ref="I60" authorId="0" shapeId="0" xr:uid="{00000000-0006-0000-0800-00003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撈魚網</t>
        </r>
        <r>
          <rPr>
            <sz val="9"/>
            <color indexed="81"/>
            <rFont val="Tahoma"/>
            <family val="2"/>
          </rPr>
          <t xml:space="preserve">120
</t>
        </r>
        <r>
          <rPr>
            <sz val="9"/>
            <color indexed="81"/>
            <rFont val="細明體"/>
            <family val="3"/>
            <charset val="136"/>
          </rPr>
          <t>遙控越野車(集點禮物) 998</t>
        </r>
      </text>
    </comment>
    <comment ref="E61" authorId="0" shapeId="0" xr:uid="{00000000-0006-0000-0800-00003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車貸</t>
        </r>
      </text>
    </comment>
    <comment ref="G61" authorId="0" shapeId="0" xr:uid="{00000000-0006-0000-0800-00003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宜蘭河嘉仁旅遊</t>
        </r>
        <r>
          <rPr>
            <sz val="9"/>
            <color indexed="81"/>
            <rFont val="Tahoma"/>
            <family val="2"/>
          </rPr>
          <t xml:space="preserve"> 2254+6300</t>
        </r>
      </text>
    </comment>
    <comment ref="I61" authorId="0" shapeId="0" xr:uid="{00000000-0006-0000-0800-00003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細明體"/>
            <family val="3"/>
            <charset val="136"/>
          </rPr>
          <t>青生日聚餐 2365</t>
        </r>
      </text>
    </comment>
    <comment ref="Q61" authorId="0" shapeId="0" xr:uid="{00000000-0006-0000-0800-00003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媽媽保費</t>
        </r>
      </text>
    </comment>
    <comment ref="E64" authorId="0" shapeId="0" xr:uid="{00000000-0006-0000-0800-00003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水費305</t>
        </r>
      </text>
    </comment>
    <comment ref="I64" authorId="0" shapeId="0" xr:uid="{00000000-0006-0000-0800-00003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加油 1089
藏壽司 660
Nesspresso 780</t>
        </r>
      </text>
    </comment>
    <comment ref="P64" authorId="0" shapeId="0" xr:uid="{00000000-0006-0000-0800-00003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幼幼口罩</t>
        </r>
      </text>
    </comment>
    <comment ref="Q64" authorId="0" shapeId="0" xr:uid="{00000000-0006-0000-0800-00003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電話費696
電費934
</t>
        </r>
      </text>
    </comment>
    <comment ref="E65" authorId="0" shapeId="0" xr:uid="{00000000-0006-0000-0800-00004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手機保護貼
</t>
        </r>
        <r>
          <rPr>
            <sz val="9"/>
            <color indexed="81"/>
            <rFont val="Tahoma"/>
            <family val="2"/>
          </rPr>
          <t xml:space="preserve">clark </t>
        </r>
        <r>
          <rPr>
            <sz val="9"/>
            <color indexed="81"/>
            <rFont val="細明體"/>
            <family val="3"/>
            <charset val="136"/>
          </rPr>
          <t xml:space="preserve">鞋子 990
US 花費 30000 </t>
        </r>
      </text>
    </comment>
    <comment ref="H65" authorId="0" shapeId="0" xr:uid="{00000000-0006-0000-0800-00004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addidas</t>
        </r>
        <r>
          <rPr>
            <sz val="9"/>
            <color indexed="81"/>
            <rFont val="細明體"/>
            <family val="3"/>
            <charset val="136"/>
          </rPr>
          <t>白鞋
Zara小孩衣服2750
Lativ背心 698
羽毛工房 羽絨被 3699
朝慶眼鏡*2 5081</t>
        </r>
      </text>
    </comment>
    <comment ref="I65" authorId="0" shapeId="0" xr:uid="{00000000-0006-0000-0800-00004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MUJI</t>
        </r>
        <r>
          <rPr>
            <sz val="9"/>
            <color indexed="81"/>
            <rFont val="細明體"/>
            <family val="3"/>
            <charset val="136"/>
          </rPr>
          <t>衣服</t>
        </r>
      </text>
    </comment>
    <comment ref="E66" authorId="0" shapeId="0" xr:uid="{00000000-0006-0000-0800-00004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山姆弄璋之喜600
車貸 27778
修漏水8000</t>
        </r>
      </text>
    </comment>
    <comment ref="H66" authorId="0" shapeId="0" xr:uid="{00000000-0006-0000-0800-00004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雲品-聖誕節大餐</t>
        </r>
      </text>
    </comment>
    <comment ref="I66" authorId="0" shapeId="0" xr:uid="{00000000-0006-0000-0800-00004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海豚班交換禮物聚餐 1759</t>
        </r>
      </text>
    </comment>
    <comment ref="Q66" authorId="0" shapeId="0" xr:uid="{00000000-0006-0000-0800-00004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2021</t>
        </r>
        <r>
          <rPr>
            <sz val="9"/>
            <color indexed="81"/>
            <rFont val="細明體"/>
            <family val="3"/>
            <charset val="136"/>
          </rPr>
          <t>年日語學費</t>
        </r>
        <r>
          <rPr>
            <sz val="9"/>
            <color indexed="81"/>
            <rFont val="Tahoma"/>
            <family val="2"/>
          </rPr>
          <t xml:space="preserve"> 2600
</t>
        </r>
        <r>
          <rPr>
            <sz val="9"/>
            <color indexed="81"/>
            <rFont val="細明體"/>
            <family val="3"/>
            <charset val="136"/>
          </rPr>
          <t>歌唱班學費</t>
        </r>
        <r>
          <rPr>
            <sz val="9"/>
            <color indexed="81"/>
            <rFont val="Tahoma"/>
            <family val="2"/>
          </rPr>
          <t xml:space="preserve"> 1000</t>
        </r>
      </text>
    </comment>
    <comment ref="R66" authorId="0" shapeId="0" xr:uid="{00000000-0006-0000-0800-00004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爵士鼓課</t>
        </r>
        <r>
          <rPr>
            <sz val="9"/>
            <color indexed="81"/>
            <rFont val="Tahoma"/>
            <family val="2"/>
          </rPr>
          <t xml:space="preserve"> 5600
</t>
        </r>
        <r>
          <rPr>
            <sz val="9"/>
            <color indexed="81"/>
            <rFont val="細明體"/>
            <family val="3"/>
            <charset val="136"/>
          </rPr>
          <t>鼓棒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五線譜書</t>
        </r>
        <r>
          <rPr>
            <sz val="9"/>
            <color indexed="81"/>
            <rFont val="Tahoma"/>
            <family val="2"/>
          </rPr>
          <t xml:space="preserve"> 360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丁純蘭</author>
  </authors>
  <commentList>
    <comment ref="F9" authorId="0" shapeId="0" xr:uid="{00000000-0006-0000-0900-00000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奶粉</t>
        </r>
        <r>
          <rPr>
            <sz val="9"/>
            <color indexed="81"/>
            <rFont val="Tahoma"/>
            <family val="2"/>
          </rPr>
          <t>*4</t>
        </r>
      </text>
    </comment>
    <comment ref="F10" authorId="0" shapeId="0" xr:uid="{00000000-0006-0000-0900-00000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XR</t>
        </r>
        <r>
          <rPr>
            <sz val="9"/>
            <color indexed="81"/>
            <rFont val="細明體"/>
            <family val="3"/>
            <charset val="136"/>
          </rPr>
          <t>手機殼</t>
        </r>
      </text>
    </comment>
    <comment ref="F11" authorId="0" shapeId="0" xr:uid="{00000000-0006-0000-0900-00000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媽保險
紐西蘭機票2/3
紐西蘭行程門票
</t>
        </r>
      </text>
    </comment>
    <comment ref="J11" authorId="0" shapeId="0" xr:uid="{00000000-0006-0000-0900-00000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回口湖高鐵</t>
        </r>
      </text>
    </comment>
    <comment ref="M11" authorId="0" shapeId="0" xr:uid="{00000000-0006-0000-0900-00000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AucklandZoo
</t>
        </r>
        <r>
          <rPr>
            <sz val="9"/>
            <color indexed="81"/>
            <rFont val="Tahoma"/>
            <family val="2"/>
          </rPr>
          <t>kellytarton's</t>
        </r>
        <r>
          <rPr>
            <sz val="9"/>
            <color indexed="81"/>
            <rFont val="細明體"/>
            <family val="3"/>
            <charset val="136"/>
          </rPr>
          <t xml:space="preserve">水族館
</t>
        </r>
      </text>
    </comment>
    <comment ref="E15" authorId="0" shapeId="0" xr:uid="{00000000-0006-0000-0900-00000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朝慶</t>
        </r>
        <r>
          <rPr>
            <b/>
            <sz val="9"/>
            <color indexed="81"/>
            <rFont val="Tahoma"/>
            <family val="2"/>
          </rPr>
          <t>GAP</t>
        </r>
      </text>
    </comment>
    <comment ref="F15" authorId="0" shapeId="0" xr:uid="{00000000-0006-0000-0900-00000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質菲亞過年加買</t>
        </r>
      </text>
    </comment>
    <comment ref="I15" authorId="0" shapeId="0" xr:uid="{00000000-0006-0000-0900-00000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看電影</t>
        </r>
      </text>
    </comment>
    <comment ref="L15" authorId="0" shapeId="0" xr:uid="{00000000-0006-0000-0900-00000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Gladies</t>
        </r>
        <r>
          <rPr>
            <sz val="9"/>
            <color indexed="81"/>
            <rFont val="細明體"/>
            <family val="3"/>
            <charset val="136"/>
          </rPr>
          <t>衣服</t>
        </r>
      </text>
    </comment>
    <comment ref="F16" authorId="0" shapeId="0" xr:uid="{00000000-0006-0000-0900-00000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媽保險
紐西蘭機票3/3
</t>
        </r>
      </text>
    </comment>
    <comment ref="L16" authorId="0" shapeId="0" xr:uid="{00000000-0006-0000-0900-00000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年前聚餐
</t>
        </r>
      </text>
    </comment>
    <comment ref="E20" authorId="0" shapeId="0" xr:uid="{00000000-0006-0000-0900-00000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新莊</t>
        </r>
        <r>
          <rPr>
            <sz val="9"/>
            <color indexed="81"/>
            <rFont val="Tahoma"/>
            <family val="2"/>
          </rPr>
          <t xml:space="preserve">Uniqlo
</t>
        </r>
        <r>
          <rPr>
            <sz val="9"/>
            <color indexed="81"/>
            <rFont val="細明體"/>
            <family val="3"/>
            <charset val="136"/>
          </rPr>
          <t xml:space="preserve">景美Uniqlo
</t>
        </r>
      </text>
    </comment>
    <comment ref="M20" authorId="0" shapeId="0" xr:uid="{00000000-0006-0000-0900-00000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紐西蘭購物</t>
        </r>
      </text>
    </comment>
    <comment ref="E21" authorId="0" shapeId="0" xr:uid="{00000000-0006-0000-0900-00000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福保汽車保養
</t>
        </r>
      </text>
    </comment>
    <comment ref="F21" authorId="0" shapeId="0" xr:uid="{00000000-0006-0000-0900-00000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媽保險
紐西蘭</t>
        </r>
        <r>
          <rPr>
            <sz val="9"/>
            <color indexed="81"/>
            <rFont val="Tahoma"/>
            <family val="2"/>
          </rPr>
          <t xml:space="preserve">uber
</t>
        </r>
      </text>
    </comment>
    <comment ref="F24" authorId="0" shapeId="0" xr:uid="{00000000-0006-0000-0900-00001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衡奶粉*4
</t>
        </r>
      </text>
    </comment>
    <comment ref="E25" authorId="0" shapeId="0" xr:uid="{00000000-0006-0000-0900-00001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GU
</t>
        </r>
        <r>
          <rPr>
            <sz val="9"/>
            <color indexed="81"/>
            <rFont val="細明體"/>
            <family val="3"/>
            <charset val="136"/>
          </rPr>
          <t>三井</t>
        </r>
        <r>
          <rPr>
            <sz val="9"/>
            <color indexed="81"/>
            <rFont val="Tahoma"/>
            <family val="2"/>
          </rPr>
          <t>Outlet</t>
        </r>
        <r>
          <rPr>
            <sz val="9"/>
            <color indexed="81"/>
            <rFont val="細明體"/>
            <family val="3"/>
            <charset val="136"/>
          </rPr>
          <t>衣服</t>
        </r>
      </text>
    </comment>
    <comment ref="F25" authorId="0" shapeId="0" xr:uid="{00000000-0006-0000-0900-00001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朝慶錶帶</t>
        </r>
      </text>
    </comment>
    <comment ref="E26" authorId="0" shapeId="0" xr:uid="{00000000-0006-0000-0900-00001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日月千禧酒店加床
</t>
        </r>
      </text>
    </comment>
    <comment ref="F26" authorId="0" shapeId="0" xr:uid="{00000000-0006-0000-0900-00001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媽保險
阿彥高鐵票
小兒疫苗
</t>
        </r>
      </text>
    </comment>
    <comment ref="F30" authorId="0" shapeId="0" xr:uid="{00000000-0006-0000-0900-00001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玩具</t>
        </r>
      </text>
    </comment>
    <comment ref="F31" authorId="0" shapeId="0" xr:uid="{00000000-0006-0000-0900-00001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小兒疫苗
媽保險</t>
        </r>
      </text>
    </comment>
    <comment ref="H31" authorId="0" shapeId="0" xr:uid="{00000000-0006-0000-0900-00001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Mia Cucina</t>
        </r>
        <r>
          <rPr>
            <sz val="9"/>
            <color indexed="81"/>
            <rFont val="細明體"/>
            <family val="3"/>
            <charset val="136"/>
          </rPr>
          <t>母親節吃飯</t>
        </r>
      </text>
    </comment>
    <comment ref="F35" authorId="0" shapeId="0" xr:uid="{00000000-0006-0000-0900-00001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Alexis</t>
        </r>
        <r>
          <rPr>
            <sz val="9"/>
            <color indexed="81"/>
            <rFont val="細明體"/>
            <family val="3"/>
            <charset val="136"/>
          </rPr>
          <t xml:space="preserve">眼鏡
</t>
        </r>
      </text>
    </comment>
    <comment ref="F36" authorId="0" shapeId="0" xr:uid="{00000000-0006-0000-0900-00001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香港機票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退票手續費</t>
        </r>
        <r>
          <rPr>
            <sz val="9"/>
            <color indexed="81"/>
            <rFont val="Tahoma"/>
            <family val="2"/>
          </rPr>
          <t>6150)</t>
        </r>
        <r>
          <rPr>
            <sz val="9"/>
            <color indexed="81"/>
            <rFont val="細明體"/>
            <family val="3"/>
            <charset val="136"/>
          </rPr>
          <t xml:space="preserve">
媽保險
母親節-漢來
</t>
        </r>
      </text>
    </comment>
    <comment ref="H36" authorId="0" shapeId="0" xr:uid="{00000000-0006-0000-0900-00001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電視
母親節-漢來(翰)
</t>
        </r>
      </text>
    </comment>
    <comment ref="I36" authorId="0" shapeId="0" xr:uid="{00000000-0006-0000-0900-00001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107</t>
        </r>
        <r>
          <rPr>
            <sz val="9"/>
            <color indexed="81"/>
            <rFont val="細明體"/>
            <family val="3"/>
            <charset val="136"/>
          </rPr>
          <t xml:space="preserve">綜所稅
</t>
        </r>
      </text>
    </comment>
    <comment ref="K36" authorId="0" shapeId="0" xr:uid="{00000000-0006-0000-0900-00001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房屋稅
老爸藥膳壺</t>
        </r>
      </text>
    </comment>
    <comment ref="E40" authorId="0" shapeId="0" xr:uid="{00000000-0006-0000-0900-00001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衡衣服-華泰Gap
翰毛毛蟲鞋-華泰nike
</t>
        </r>
      </text>
    </comment>
    <comment ref="F40" authorId="0" shapeId="0" xr:uid="{00000000-0006-0000-0900-00001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翰</t>
        </r>
        <r>
          <rPr>
            <sz val="9"/>
            <color indexed="81"/>
            <rFont val="Tahoma"/>
            <family val="2"/>
          </rPr>
          <t>&amp;Alexis</t>
        </r>
        <r>
          <rPr>
            <sz val="9"/>
            <color indexed="81"/>
            <rFont val="細明體"/>
            <family val="3"/>
            <charset val="136"/>
          </rPr>
          <t>涼鞋</t>
        </r>
      </text>
    </comment>
    <comment ref="H40" authorId="0" shapeId="0" xr:uid="{00000000-0006-0000-0900-00001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白色平底鞋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>統一時代</t>
        </r>
      </text>
    </comment>
    <comment ref="N40" authorId="0" shapeId="0" xr:uid="{00000000-0006-0000-0900-00002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levis&amp;</t>
        </r>
        <r>
          <rPr>
            <sz val="9"/>
            <color indexed="81"/>
            <rFont val="細明體"/>
            <family val="3"/>
            <charset val="136"/>
          </rPr>
          <t>海外網購 from金門王</t>
        </r>
      </text>
    </comment>
    <comment ref="O40" authorId="0" shapeId="0" xr:uid="{00000000-0006-0000-0900-00002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媽東森長褲</t>
        </r>
      </text>
    </comment>
    <comment ref="F41" authorId="0" shapeId="0" xr:uid="{00000000-0006-0000-0900-00002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紐約機票1/3
媽保險</t>
        </r>
      </text>
    </comment>
    <comment ref="O41" authorId="0" shapeId="0" xr:uid="{00000000-0006-0000-0900-00002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林壇主歸空</t>
        </r>
      </text>
    </comment>
    <comment ref="K44" authorId="0" shapeId="0" xr:uid="{00000000-0006-0000-0900-00002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加油</t>
        </r>
      </text>
    </comment>
    <comment ref="E45" authorId="0" shapeId="0" xr:uid="{00000000-0006-0000-0900-00002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皮秒
</t>
        </r>
      </text>
    </comment>
    <comment ref="F45" authorId="0" shapeId="0" xr:uid="{00000000-0006-0000-0900-00002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Levis</t>
        </r>
        <r>
          <rPr>
            <sz val="9"/>
            <color indexed="81"/>
            <rFont val="細明體"/>
            <family val="3"/>
            <charset val="136"/>
          </rPr>
          <t>短褲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牛仔外套
直立式熨斗</t>
        </r>
      </text>
    </comment>
    <comment ref="H45" authorId="0" shapeId="0" xr:uid="{00000000-0006-0000-0900-00002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大江</t>
        </r>
        <r>
          <rPr>
            <sz val="9"/>
            <color indexed="81"/>
            <rFont val="Tahoma"/>
            <family val="2"/>
          </rPr>
          <t>ZARA</t>
        </r>
        <r>
          <rPr>
            <sz val="9"/>
            <color indexed="81"/>
            <rFont val="細明體"/>
            <family val="3"/>
            <charset val="136"/>
          </rPr>
          <t>小孩朝慶衣服</t>
        </r>
      </text>
    </comment>
    <comment ref="E46" authorId="0" shapeId="0" xr:uid="{00000000-0006-0000-0900-00002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阿彥父親節禮物
藍萍姊禮物</t>
        </r>
      </text>
    </comment>
    <comment ref="F46" authorId="0" shapeId="0" xr:uid="{00000000-0006-0000-0900-00002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紐約機票</t>
        </r>
        <r>
          <rPr>
            <sz val="9"/>
            <color indexed="81"/>
            <rFont val="Tahoma"/>
            <family val="2"/>
          </rPr>
          <t xml:space="preserve">1/3
</t>
        </r>
        <r>
          <rPr>
            <sz val="9"/>
            <color indexed="81"/>
            <rFont val="細明體"/>
            <family val="3"/>
            <charset val="136"/>
          </rPr>
          <t>媽保險</t>
        </r>
      </text>
    </comment>
    <comment ref="H46" authorId="0" shapeId="0" xr:uid="{00000000-0006-0000-0900-00002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Apoint(Nancy</t>
        </r>
        <r>
          <rPr>
            <sz val="9"/>
            <color indexed="81"/>
            <rFont val="細明體"/>
            <family val="3"/>
            <charset val="136"/>
          </rPr>
          <t>生日大餐)
燒肉風間-台中行
大腕-情人節大餐
小人國with小灰</t>
        </r>
      </text>
    </comment>
    <comment ref="O46" authorId="0" shapeId="0" xr:uid="{00000000-0006-0000-0900-00002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拜小韋
9/22土地公廟進香
日語歌唱800
9/29里民遊300</t>
        </r>
      </text>
    </comment>
    <comment ref="P46" authorId="0" shapeId="0" xr:uid="{00000000-0006-0000-0900-00002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游泳克+yamaha試上
</t>
        </r>
      </text>
    </comment>
    <comment ref="Q46" authorId="0" shapeId="0" xr:uid="{00000000-0006-0000-0900-00002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馬偕看醫生</t>
        </r>
      </text>
    </comment>
    <comment ref="F49" authorId="0" shapeId="0" xr:uid="{00000000-0006-0000-0900-00002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奶粉*4
</t>
        </r>
      </text>
    </comment>
    <comment ref="G49" authorId="0" shapeId="0" xr:uid="{00000000-0006-0000-0900-00002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衡奶粉*4
</t>
        </r>
      </text>
    </comment>
    <comment ref="E50" authorId="0" shapeId="0" xr:uid="{00000000-0006-0000-0900-00003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Sisley</t>
        </r>
        <r>
          <rPr>
            <sz val="9"/>
            <color indexed="81"/>
            <rFont val="細明體"/>
            <family val="3"/>
            <charset val="136"/>
          </rPr>
          <t>做臉</t>
        </r>
      </text>
    </comment>
    <comment ref="H50" authorId="0" shapeId="0" xr:uid="{00000000-0006-0000-0900-00003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A-MUJI-Jacky</t>
        </r>
      </text>
    </comment>
    <comment ref="F51" authorId="0" shapeId="0" xr:uid="{00000000-0006-0000-0900-000032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紐約機票</t>
        </r>
        <r>
          <rPr>
            <sz val="9"/>
            <color indexed="81"/>
            <rFont val="Tahoma"/>
            <family val="2"/>
          </rPr>
          <t xml:space="preserve">1/3
</t>
        </r>
        <r>
          <rPr>
            <sz val="9"/>
            <color indexed="81"/>
            <rFont val="細明體"/>
            <family val="3"/>
            <charset val="136"/>
          </rPr>
          <t>媽保險
香港機場接送200
中秋烤肉</t>
        </r>
      </text>
    </comment>
    <comment ref="O51" authorId="0" shapeId="0" xr:uid="{00000000-0006-0000-0900-000033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澎湖遊零用金
</t>
        </r>
      </text>
    </comment>
    <comment ref="Q51" authorId="0" shapeId="0" xr:uid="{00000000-0006-0000-0900-000034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騎士堡(網路買券)
</t>
        </r>
      </text>
    </comment>
    <comment ref="G52" authorId="0" shapeId="0" xr:uid="{00000000-0006-0000-0900-000035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細明體"/>
            <family val="3"/>
            <charset val="136"/>
          </rPr>
          <t>海外消費</t>
        </r>
        <r>
          <rPr>
            <sz val="9"/>
            <color indexed="81"/>
            <rFont val="Tahoma"/>
            <family val="2"/>
          </rPr>
          <t>8730</t>
        </r>
      </text>
    </comment>
    <comment ref="F54" authorId="0" shapeId="0" xr:uid="{00000000-0006-0000-0900-000036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四方鮮奶 1372</t>
        </r>
      </text>
    </comment>
    <comment ref="H55" authorId="0" shapeId="0" xr:uid="{00000000-0006-0000-0900-000037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</t>
        </r>
        <r>
          <rPr>
            <sz val="9"/>
            <color indexed="81"/>
            <rFont val="細明體"/>
            <family val="3"/>
            <charset val="136"/>
          </rPr>
          <t xml:space="preserve">衣服襪子
無印良品頸枕*2
</t>
        </r>
      </text>
    </comment>
    <comment ref="F56" authorId="0" shapeId="0" xr:uid="{00000000-0006-0000-0900-000038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媽保險</t>
        </r>
        <r>
          <rPr>
            <sz val="9"/>
            <color indexed="81"/>
            <rFont val="Tahoma"/>
            <family val="2"/>
          </rPr>
          <t xml:space="preserve"> 3079
</t>
        </r>
        <r>
          <rPr>
            <sz val="9"/>
            <color indexed="81"/>
            <rFont val="細明體"/>
            <family val="3"/>
            <charset val="136"/>
          </rPr>
          <t xml:space="preserve">爸回口湖 540
新加坡機票 12132+468
新加坡住宿 10956+14065
</t>
        </r>
      </text>
    </comment>
    <comment ref="G56" authorId="0" shapeId="0" xr:uid="{00000000-0006-0000-0900-000039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回口湖高鐵
六福村
地價稅
自由女神 1396
回口湖計程車</t>
        </r>
      </text>
    </comment>
    <comment ref="G60" authorId="0" shapeId="0" xr:uid="{00000000-0006-0000-0900-00003A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palladuim</t>
        </r>
        <r>
          <rPr>
            <sz val="9"/>
            <color indexed="81"/>
            <rFont val="細明體"/>
            <family val="3"/>
            <charset val="136"/>
          </rPr>
          <t>靴子*2
Ralph Rauren 襯衫*1+T*1
Ralph Rauren POLO衫*2+帽T*1+皮夾*1</t>
        </r>
      </text>
    </comment>
    <comment ref="H60" authorId="0" shapeId="0" xr:uid="{00000000-0006-0000-0900-00003B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uniqlo
</t>
        </r>
      </text>
    </comment>
    <comment ref="F61" authorId="0" shapeId="0" xr:uid="{00000000-0006-0000-0900-00003C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媽保險 6160
1/9回口湖高鐵 5400
新加坡機票 12132+468
新加坡住宿 5655
新加坡買玩具 </t>
        </r>
      </text>
    </comment>
    <comment ref="H61" authorId="0" shapeId="0" xr:uid="{00000000-0006-0000-0900-00003D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露營採買
汽車保險</t>
        </r>
      </text>
    </comment>
    <comment ref="N65" authorId="0" shapeId="0" xr:uid="{00000000-0006-0000-0900-00003E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RF Black Friday
</t>
        </r>
      </text>
    </comment>
    <comment ref="F66" authorId="0" shapeId="0" xr:uid="{00000000-0006-0000-0900-00003F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媽保費 6158
新加坡 12131+466
香港機票退費 -12282-1539</t>
        </r>
      </text>
    </comment>
    <comment ref="H66" authorId="0" shapeId="0" xr:uid="{00000000-0006-0000-0900-000040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福保汽車</t>
        </r>
      </text>
    </comment>
    <comment ref="Q66" authorId="0" shapeId="0" xr:uid="{00000000-0006-0000-0900-000041000000}">
      <text>
        <r>
          <rPr>
            <b/>
            <sz val="9"/>
            <color indexed="81"/>
            <rFont val="細明體"/>
            <family val="3"/>
            <charset val="136"/>
          </rPr>
          <t>丁純蘭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宇捷彌月
企鵝彌月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<sst xmlns="http://schemas.openxmlformats.org/spreadsheetml/2006/main" count="4902" uniqueCount="314">
  <si>
    <t>花旗透明卡</t>
    <phoneticPr fontId="1" type="noConversion"/>
  </si>
  <si>
    <t>台新JCB</t>
    <phoneticPr fontId="1" type="noConversion"/>
  </si>
  <si>
    <t>現金回饋</t>
    <phoneticPr fontId="1" type="noConversion"/>
  </si>
  <si>
    <t>X</t>
    <phoneticPr fontId="1" type="noConversion"/>
  </si>
  <si>
    <t>紅利點數</t>
    <phoneticPr fontId="1" type="noConversion"/>
  </si>
  <si>
    <t>保險費回饋</t>
    <phoneticPr fontId="1" type="noConversion"/>
  </si>
  <si>
    <t>活動</t>
    <phoneticPr fontId="1" type="noConversion"/>
  </si>
  <si>
    <t>30元1點，12點換1元</t>
    <phoneticPr fontId="1" type="noConversion"/>
  </si>
  <si>
    <t>特色</t>
    <phoneticPr fontId="1" type="noConversion"/>
  </si>
  <si>
    <t>公用事業代繳</t>
    <phoneticPr fontId="1" type="noConversion"/>
  </si>
  <si>
    <t>聯邦銀行</t>
    <phoneticPr fontId="1" type="noConversion"/>
  </si>
  <si>
    <t>目前代繳</t>
    <phoneticPr fontId="1" type="noConversion"/>
  </si>
  <si>
    <t>專線</t>
    <phoneticPr fontId="1" type="noConversion"/>
  </si>
  <si>
    <t xml:space="preserve">支付國內不限加油站加油費、所有國內電信業者行動通話費及使用「信用卡代繳生活帳單」網路服務的其他消費，可享最高達2%現金回饋。(每月最多300元)
&lt;$19999 當期一般消費總金額*1%
&gt;=$19999 當期一般消費總金額*2%
至2016/12/31
</t>
    <phoneticPr fontId="1" type="noConversion"/>
  </si>
  <si>
    <t>現金紅利兌換語音專線(02)2576-5888
折抵本期帳單</t>
    <phoneticPr fontId="1" type="noConversion"/>
  </si>
  <si>
    <t>市區停車</t>
    <phoneticPr fontId="1" type="noConversion"/>
  </si>
  <si>
    <t xml:space="preserve"> 國際機場停車7折起優惠</t>
    <phoneticPr fontId="1" type="noConversion"/>
  </si>
  <si>
    <t>機場接送
機場停車</t>
    <phoneticPr fontId="1" type="noConversion"/>
  </si>
  <si>
    <t>網路信用卡代繳生活帳單有回饋1%
http://www.citibank.com.tw/global_docs/chi/cb/131101_obp/p03.htm</t>
    <phoneticPr fontId="1" type="noConversion"/>
  </si>
  <si>
    <t>市區雙品牌臨時停車、國際機場周邊停車、國內機場貴賓室、道路救援</t>
    <phoneticPr fontId="1" type="noConversion"/>
  </si>
  <si>
    <t>台新財富無限卡</t>
    <phoneticPr fontId="1" type="noConversion"/>
  </si>
  <si>
    <t>1.全家繳生活帳單500送50到9月底(每月一次)
2.全家周末刷台新100迴饋10元(每日一次)</t>
    <phoneticPr fontId="1" type="noConversion"/>
  </si>
  <si>
    <t>繳款期限</t>
    <phoneticPr fontId="1" type="noConversion"/>
  </si>
  <si>
    <t>17日</t>
    <phoneticPr fontId="1" type="noConversion"/>
  </si>
  <si>
    <t>1日</t>
    <phoneticPr fontId="1" type="noConversion"/>
  </si>
  <si>
    <t>27日</t>
    <phoneticPr fontId="1" type="noConversion"/>
  </si>
  <si>
    <t>結帳日</t>
    <phoneticPr fontId="1" type="noConversion"/>
  </si>
  <si>
    <t>綜所稅</t>
  </si>
  <si>
    <t>一般消費</t>
  </si>
  <si>
    <t>台灣之星</t>
  </si>
  <si>
    <t>Mango</t>
  </si>
  <si>
    <t>指定類別</t>
  </si>
  <si>
    <t>Rainbow</t>
  </si>
  <si>
    <t>悠遊卡</t>
  </si>
  <si>
    <t>美珍香</t>
  </si>
  <si>
    <t>康是美</t>
  </si>
  <si>
    <t>微風加值</t>
  </si>
  <si>
    <t>明曜百貨</t>
  </si>
  <si>
    <t>電費</t>
  </si>
  <si>
    <t>HoneyPig</t>
  </si>
  <si>
    <t>翰星百貨Uniqlo</t>
  </si>
  <si>
    <t>現金回饋</t>
  </si>
  <si>
    <t>國外消費1.8%、保險消費1.2%、國內消費0.5%</t>
    <phoneticPr fontId="1" type="noConversion"/>
  </si>
  <si>
    <t>無</t>
    <phoneticPr fontId="1" type="noConversion"/>
  </si>
  <si>
    <t>1.機場接送享機場單程接或送禮遇,每卡一年免費2次
2.臺灣地區「摩爾貴賓室」無限次使用、「龍騰貴賓室」免費使用4次。
3.全年不限次數、當次最多10天出國免費停車優惠
4.高額新臺幣3,000萬元之旅遊平安險及其他相關保障
5.24小時不限次數、50公里以內免費道路救援服務</t>
    <phoneticPr fontId="1" type="noConversion"/>
  </si>
  <si>
    <t>14日(停車優惠看這天)</t>
    <phoneticPr fontId="1" type="noConversion"/>
  </si>
  <si>
    <t>一般0.3%
百貨公司、餐廳、電信費
8000以下 0.6% (紅利2倍)
30000以下1% (紅利3倍)
30000以上 1.2% (紅利5倍)</t>
    <phoneticPr fontId="1" type="noConversion"/>
  </si>
  <si>
    <t>HSBC現金回饋御璽卡</t>
    <phoneticPr fontId="1" type="noConversion"/>
  </si>
  <si>
    <r>
      <t>南山保費</t>
    </r>
    <r>
      <rPr>
        <sz val="12"/>
        <color theme="1"/>
        <rFont val="新細明體"/>
        <family val="1"/>
        <charset val="136"/>
      </rPr>
      <t>、國泰保費</t>
    </r>
    <phoneticPr fontId="1" type="noConversion"/>
  </si>
  <si>
    <t xml:space="preserve">2016/8/3於新光三越、華航、Yahoo奇摩購物中心/超級商城/拍賣、PayEasy、17Life網站
 消費刷玫瑰卡滿萬最高一筆享17%現金回饋！      
</t>
    <phoneticPr fontId="1" type="noConversion"/>
  </si>
  <si>
    <r>
      <rPr>
        <b/>
        <sz val="12"/>
        <color theme="1"/>
        <rFont val="新細明體"/>
        <family val="1"/>
        <charset val="136"/>
        <scheme val="minor"/>
      </rPr>
      <t xml:space="preserve">偶數日消費回饋2%
(週期為每月1~31日)
</t>
    </r>
    <r>
      <rPr>
        <sz val="12"/>
        <color theme="1"/>
        <rFont val="新細明體"/>
        <family val="2"/>
        <charset val="136"/>
        <scheme val="minor"/>
      </rPr>
      <t xml:space="preserve">偶數日刷888以上(含自動加值)
奇數日任三筆888(不含加值)
回饋金只抵下月
</t>
    </r>
    <r>
      <rPr>
        <b/>
        <sz val="12"/>
        <color theme="1"/>
        <rFont val="新細明體"/>
        <family val="1"/>
        <charset val="136"/>
        <scheme val="minor"/>
      </rPr>
      <t>一卡通(2016/7/1~2016/12/31)
1.搭北高捷運天天5%(每月10日統計，最高回饋100元)
2.自動加值
北高捷運站2%(天天)</t>
    </r>
    <phoneticPr fontId="1" type="noConversion"/>
  </si>
  <si>
    <t>台新@gogo</t>
    <phoneticPr fontId="1" type="noConversion"/>
  </si>
  <si>
    <t>1.5%
網路3.5%</t>
    <phoneticPr fontId="1" type="noConversion"/>
  </si>
  <si>
    <t>電費(拿到優惠後取消)</t>
    <phoneticPr fontId="1" type="noConversion"/>
  </si>
  <si>
    <t>1.22%
國外2.22%</t>
    <phoneticPr fontId="1" type="noConversion"/>
  </si>
  <si>
    <r>
      <rPr>
        <u/>
        <sz val="12"/>
        <color theme="1"/>
        <rFont val="新細明體"/>
        <family val="1"/>
        <charset val="136"/>
        <scheme val="minor"/>
      </rPr>
      <t>當月有新增消費</t>
    </r>
    <r>
      <rPr>
        <sz val="12"/>
        <color theme="1"/>
        <rFont val="新細明體"/>
        <family val="2"/>
        <charset val="136"/>
        <scheme val="minor"/>
      </rPr>
      <t xml:space="preserve">
1.每卡每年免費２張免費升等高鐵商務車廂
2.每次３小時免費停車優惠
3.全臺頂級餐廳75折起優惠</t>
    </r>
    <phoneticPr fontId="1" type="noConversion"/>
  </si>
  <si>
    <t>台新昇恆昌無限卡</t>
    <phoneticPr fontId="1" type="noConversion"/>
  </si>
  <si>
    <t>項目</t>
    <phoneticPr fontId="1" type="noConversion"/>
  </si>
  <si>
    <t>永佳樂(mom)</t>
    <phoneticPr fontId="1" type="noConversion"/>
  </si>
  <si>
    <t>2C-32-462608-3</t>
    <phoneticPr fontId="1" type="noConversion"/>
  </si>
  <si>
    <t>05777810046</t>
    <phoneticPr fontId="1" type="noConversion"/>
  </si>
  <si>
    <t>登入資訊</t>
    <phoneticPr fontId="1" type="noConversion"/>
  </si>
  <si>
    <t>電話</t>
  </si>
  <si>
    <t>訂編</t>
    <phoneticPr fontId="1" type="noConversion"/>
  </si>
  <si>
    <t>0935691060</t>
    <phoneticPr fontId="1" type="noConversion"/>
  </si>
  <si>
    <t>水號</t>
    <phoneticPr fontId="1" type="noConversion"/>
  </si>
  <si>
    <t>電號</t>
    <phoneticPr fontId="1" type="noConversion"/>
  </si>
  <si>
    <t>0136277</t>
    <phoneticPr fontId="1" type="noConversion"/>
  </si>
  <si>
    <t>水費(mom)</t>
    <phoneticPr fontId="1" type="noConversion"/>
  </si>
  <si>
    <t>電費(mom)</t>
    <phoneticPr fontId="1" type="noConversion"/>
  </si>
  <si>
    <t>加油
線上繳公用事業費
(電話費水電瓦斯第四台網路)</t>
    <phoneticPr fontId="1" type="noConversion"/>
  </si>
  <si>
    <t>華南</t>
    <phoneticPr fontId="1" type="noConversion"/>
  </si>
  <si>
    <t>結帳日</t>
    <phoneticPr fontId="1" type="noConversion"/>
  </si>
  <si>
    <t>截止日</t>
    <phoneticPr fontId="1" type="noConversion"/>
  </si>
  <si>
    <t>花旗</t>
    <phoneticPr fontId="1" type="noConversion"/>
  </si>
  <si>
    <t>匯豐</t>
    <phoneticPr fontId="1" type="noConversion"/>
  </si>
  <si>
    <t>台新</t>
    <phoneticPr fontId="1" type="noConversion"/>
  </si>
  <si>
    <t>中信</t>
    <phoneticPr fontId="1" type="noConversion"/>
  </si>
  <si>
    <t>聯邦</t>
    <phoneticPr fontId="1" type="noConversion"/>
  </si>
  <si>
    <t>前兩年免年費，201909到期</t>
    <phoneticPr fontId="1" type="noConversion"/>
  </si>
  <si>
    <t>年費規定</t>
    <phoneticPr fontId="1" type="noConversion"/>
  </si>
  <si>
    <t>消費滿新台幣80,000元或消費達12次即享次年免年費</t>
    <phoneticPr fontId="1" type="noConversion"/>
  </si>
  <si>
    <t>40萬/50萬(非財管會員)(財富無限卡)  60萬(昇恆昌無限卡) 終身免年費(玫瑰)</t>
    <phoneticPr fontId="1" type="noConversion"/>
  </si>
  <si>
    <t>8/10(財富無限卡)  /   2/28(昇恆昌無限卡)</t>
    <phoneticPr fontId="1" type="noConversion"/>
  </si>
  <si>
    <t>綁定linepay或申請電子帳單免年費</t>
    <phoneticPr fontId="1" type="noConversion"/>
  </si>
  <si>
    <t>36000以上或申請電子帳單免年費</t>
    <phoneticPr fontId="1" type="noConversion"/>
  </si>
  <si>
    <t>2017/1/3，帳單上會記載還差幾次</t>
    <phoneticPr fontId="1" type="noConversion"/>
  </si>
  <si>
    <t>(累積消費1次and申請電子帳單)或累積消費金額達新台幣48,000元</t>
    <phoneticPr fontId="1" type="noConversion"/>
  </si>
  <si>
    <t>每年的8/8</t>
    <phoneticPr fontId="1" type="noConversion"/>
  </si>
  <si>
    <t>年費結算日</t>
    <phoneticPr fontId="1" type="noConversion"/>
  </si>
  <si>
    <t>全國加油站</t>
    <phoneticPr fontId="1" type="noConversion"/>
  </si>
  <si>
    <t>105年保費分期</t>
    <phoneticPr fontId="1" type="noConversion"/>
  </si>
  <si>
    <t>106年保費</t>
    <phoneticPr fontId="1" type="noConversion"/>
  </si>
  <si>
    <t>107/2/28</t>
    <phoneticPr fontId="1" type="noConversion"/>
  </si>
  <si>
    <t>106/11/30</t>
    <phoneticPr fontId="1" type="noConversion"/>
  </si>
  <si>
    <t>項目</t>
    <phoneticPr fontId="1" type="noConversion"/>
  </si>
  <si>
    <t>金額</t>
    <phoneticPr fontId="1" type="noConversion"/>
  </si>
  <si>
    <t>日期</t>
    <phoneticPr fontId="1" type="noConversion"/>
  </si>
  <si>
    <t>ED</t>
    <phoneticPr fontId="1" type="noConversion"/>
  </si>
  <si>
    <t>C25PLUS</t>
    <phoneticPr fontId="1" type="noConversion"/>
  </si>
  <si>
    <t>烤鴨</t>
    <phoneticPr fontId="1" type="noConversion"/>
  </si>
  <si>
    <t>加油</t>
    <phoneticPr fontId="1" type="noConversion"/>
  </si>
  <si>
    <t>南山人壽</t>
    <phoneticPr fontId="1" type="noConversion"/>
  </si>
  <si>
    <t>水費</t>
    <phoneticPr fontId="1" type="noConversion"/>
  </si>
  <si>
    <t>中華電信Alexis</t>
    <phoneticPr fontId="1" type="noConversion"/>
  </si>
  <si>
    <t>萬隆第四台</t>
    <phoneticPr fontId="1" type="noConversion"/>
  </si>
  <si>
    <t>寒舍艾麗  la farfalla</t>
    <phoneticPr fontId="1" type="noConversion"/>
  </si>
  <si>
    <t>翰翰運動鞋</t>
    <phoneticPr fontId="1" type="noConversion"/>
  </si>
  <si>
    <t>綜所稅分期5/6</t>
    <phoneticPr fontId="1" type="noConversion"/>
  </si>
  <si>
    <t>綜所稅分期6/6</t>
    <phoneticPr fontId="1" type="noConversion"/>
  </si>
  <si>
    <t>中秋烤肉</t>
    <phoneticPr fontId="1" type="noConversion"/>
  </si>
  <si>
    <t>haakaa集乳瓶</t>
    <phoneticPr fontId="1" type="noConversion"/>
  </si>
  <si>
    <t>iphone 8 plus</t>
    <phoneticPr fontId="1" type="noConversion"/>
  </si>
  <si>
    <t>大和園燒肉</t>
    <phoneticPr fontId="1" type="noConversion"/>
  </si>
  <si>
    <t>hj hair</t>
    <phoneticPr fontId="1" type="noConversion"/>
  </si>
  <si>
    <t>中華電信0935</t>
    <phoneticPr fontId="1" type="noConversion"/>
  </si>
  <si>
    <t>加油</t>
    <phoneticPr fontId="1" type="noConversion"/>
  </si>
  <si>
    <t>春水堂(中秋with媽)</t>
    <phoneticPr fontId="1" type="noConversion"/>
  </si>
  <si>
    <t>國民年金</t>
    <phoneticPr fontId="1" type="noConversion"/>
  </si>
  <si>
    <t>生活</t>
    <phoneticPr fontId="1" type="noConversion"/>
  </si>
  <si>
    <t>Total</t>
    <phoneticPr fontId="1" type="noConversion"/>
  </si>
  <si>
    <t>一次性支出</t>
    <phoneticPr fontId="1" type="noConversion"/>
  </si>
  <si>
    <r>
      <rPr>
        <sz val="12"/>
        <color theme="1"/>
        <rFont val="新細明體"/>
        <family val="2"/>
        <charset val="136"/>
      </rPr>
      <t>渣打現金回饋</t>
    </r>
    <phoneticPr fontId="1" type="noConversion"/>
  </si>
  <si>
    <r>
      <rPr>
        <sz val="12"/>
        <color theme="1"/>
        <rFont val="新細明體"/>
        <family val="2"/>
        <charset val="136"/>
      </rPr>
      <t>台新</t>
    </r>
    <r>
      <rPr>
        <sz val="12"/>
        <color theme="1"/>
        <rFont val="Tahoma"/>
        <family val="2"/>
      </rPr>
      <t>ALL</t>
    </r>
    <phoneticPr fontId="1" type="noConversion"/>
  </si>
  <si>
    <r>
      <rPr>
        <sz val="12"/>
        <color theme="1"/>
        <rFont val="新細明體"/>
        <family val="2"/>
        <charset val="136"/>
      </rPr>
      <t>樂天</t>
    </r>
    <phoneticPr fontId="1" type="noConversion"/>
  </si>
  <si>
    <r>
      <rPr>
        <sz val="12"/>
        <color theme="1"/>
        <rFont val="新細明體"/>
        <family val="2"/>
        <charset val="136"/>
      </rPr>
      <t>花旗</t>
    </r>
    <phoneticPr fontId="1" type="noConversion"/>
  </si>
  <si>
    <r>
      <rPr>
        <sz val="12"/>
        <color theme="1"/>
        <rFont val="新細明體"/>
        <family val="2"/>
        <charset val="136"/>
      </rPr>
      <t>國泰</t>
    </r>
    <r>
      <rPr>
        <sz val="12"/>
        <color theme="1"/>
        <rFont val="Tahoma"/>
        <family val="2"/>
      </rPr>
      <t>KOKO</t>
    </r>
    <phoneticPr fontId="1" type="noConversion"/>
  </si>
  <si>
    <r>
      <rPr>
        <sz val="12"/>
        <color theme="1"/>
        <rFont val="新細明體"/>
        <family val="2"/>
        <charset val="136"/>
      </rPr>
      <t>生活</t>
    </r>
    <phoneticPr fontId="1" type="noConversion"/>
  </si>
  <si>
    <r>
      <rPr>
        <sz val="12"/>
        <color theme="1"/>
        <rFont val="新細明體"/>
        <family val="2"/>
        <charset val="136"/>
      </rPr>
      <t>想要</t>
    </r>
    <r>
      <rPr>
        <sz val="12"/>
        <color theme="1"/>
        <rFont val="Tahoma"/>
        <family val="2"/>
      </rPr>
      <t>&amp;</t>
    </r>
    <r>
      <rPr>
        <sz val="12"/>
        <color theme="1"/>
        <rFont val="新細明體"/>
        <family val="2"/>
        <charset val="136"/>
      </rPr>
      <t>奢侈品</t>
    </r>
    <phoneticPr fontId="1" type="noConversion"/>
  </si>
  <si>
    <r>
      <rPr>
        <sz val="12"/>
        <color theme="1"/>
        <rFont val="新細明體"/>
        <family val="2"/>
        <charset val="136"/>
      </rPr>
      <t>一次性支出</t>
    </r>
    <phoneticPr fontId="1" type="noConversion"/>
  </si>
  <si>
    <t>聯邦微風卡</t>
    <phoneticPr fontId="1" type="noConversion"/>
  </si>
  <si>
    <t>Total</t>
    <phoneticPr fontId="1" type="noConversion"/>
  </si>
  <si>
    <r>
      <rPr>
        <sz val="12"/>
        <color theme="1"/>
        <rFont val="細明體"/>
        <family val="3"/>
        <charset val="136"/>
      </rPr>
      <t>想要</t>
    </r>
    <r>
      <rPr>
        <sz val="12"/>
        <color theme="1"/>
        <rFont val="Tahoma"/>
        <family val="2"/>
      </rPr>
      <t>&amp;</t>
    </r>
    <r>
      <rPr>
        <sz val="12"/>
        <color theme="1"/>
        <rFont val="細明體"/>
        <family val="3"/>
        <charset val="136"/>
      </rPr>
      <t>奢侈品</t>
    </r>
    <phoneticPr fontId="1" type="noConversion"/>
  </si>
  <si>
    <t>年月</t>
    <phoneticPr fontId="1" type="noConversion"/>
  </si>
  <si>
    <t>永豐鈦豐卡</t>
    <phoneticPr fontId="1" type="noConversion"/>
  </si>
  <si>
    <t>linepay鼎極卡</t>
    <phoneticPr fontId="1" type="noConversion"/>
  </si>
  <si>
    <t>linepay卡</t>
    <phoneticPr fontId="1" type="noConversion"/>
  </si>
  <si>
    <t>管理費+第四台</t>
    <phoneticPr fontId="1" type="noConversion"/>
  </si>
  <si>
    <t>孝敬長輩</t>
    <phoneticPr fontId="1" type="noConversion"/>
  </si>
  <si>
    <t>兩小學費</t>
    <phoneticPr fontId="1" type="noConversion"/>
  </si>
  <si>
    <t>玉山ALL</t>
    <phoneticPr fontId="1" type="noConversion"/>
  </si>
  <si>
    <t>欣欣天然氣</t>
    <phoneticPr fontId="1" type="noConversion"/>
  </si>
  <si>
    <t>繳費資訊</t>
    <phoneticPr fontId="1" type="noConversion"/>
  </si>
  <si>
    <t>家庭聚會</t>
    <phoneticPr fontId="1" type="noConversion"/>
  </si>
  <si>
    <t>N</t>
    <phoneticPr fontId="1" type="noConversion"/>
  </si>
  <si>
    <t>A</t>
    <phoneticPr fontId="1" type="noConversion"/>
  </si>
  <si>
    <t>L</t>
    <phoneticPr fontId="1" type="noConversion"/>
  </si>
  <si>
    <t>D</t>
    <phoneticPr fontId="1" type="noConversion"/>
  </si>
  <si>
    <t>現金支出</t>
    <phoneticPr fontId="1" type="noConversion"/>
  </si>
  <si>
    <t>星展商務御璽卡</t>
    <phoneticPr fontId="1" type="noConversion"/>
  </si>
  <si>
    <t>N</t>
    <phoneticPr fontId="1" type="noConversion"/>
  </si>
  <si>
    <r>
      <rPr>
        <sz val="12"/>
        <color theme="1"/>
        <rFont val="Malgun Gothic"/>
        <family val="2"/>
        <charset val="129"/>
      </rPr>
      <t>生活</t>
    </r>
    <phoneticPr fontId="1" type="noConversion"/>
  </si>
  <si>
    <r>
      <rPr>
        <sz val="12"/>
        <color theme="1"/>
        <rFont val="Malgun Gothic"/>
        <family val="2"/>
        <charset val="129"/>
      </rPr>
      <t>想要</t>
    </r>
    <r>
      <rPr>
        <sz val="12"/>
        <color theme="1"/>
        <rFont val="Tahoma"/>
        <family val="2"/>
      </rPr>
      <t>&amp;</t>
    </r>
    <r>
      <rPr>
        <sz val="12"/>
        <color theme="1"/>
        <rFont val="Malgun Gothic"/>
        <family val="2"/>
        <charset val="129"/>
      </rPr>
      <t>奢侈品</t>
    </r>
    <phoneticPr fontId="1" type="noConversion"/>
  </si>
  <si>
    <r>
      <rPr>
        <sz val="12"/>
        <color theme="1"/>
        <rFont val="Malgun Gothic"/>
        <family val="2"/>
        <charset val="129"/>
      </rPr>
      <t>一次性支出</t>
    </r>
    <phoneticPr fontId="1" type="noConversion"/>
  </si>
  <si>
    <r>
      <rPr>
        <sz val="12"/>
        <color theme="1"/>
        <rFont val="Malgun Gothic"/>
        <family val="2"/>
        <charset val="129"/>
      </rPr>
      <t>年月</t>
    </r>
    <phoneticPr fontId="1" type="noConversion"/>
  </si>
  <si>
    <r>
      <rPr>
        <sz val="12"/>
        <color theme="1"/>
        <rFont val="Malgun Gothic"/>
        <family val="2"/>
        <charset val="129"/>
      </rPr>
      <t>其他現金支出</t>
    </r>
    <phoneticPr fontId="1" type="noConversion"/>
  </si>
  <si>
    <r>
      <rPr>
        <sz val="12"/>
        <color theme="1"/>
        <rFont val="Malgun Gothic"/>
        <family val="2"/>
        <charset val="129"/>
      </rPr>
      <t>渣打現金回饋</t>
    </r>
    <phoneticPr fontId="1" type="noConversion"/>
  </si>
  <si>
    <r>
      <rPr>
        <sz val="12"/>
        <color theme="1"/>
        <rFont val="Malgun Gothic"/>
        <family val="2"/>
        <charset val="129"/>
      </rPr>
      <t>台新</t>
    </r>
    <r>
      <rPr>
        <sz val="12"/>
        <color theme="1"/>
        <rFont val="Tahoma"/>
        <family val="2"/>
      </rPr>
      <t>ALL</t>
    </r>
    <phoneticPr fontId="1" type="noConversion"/>
  </si>
  <si>
    <r>
      <rPr>
        <sz val="12"/>
        <color theme="1"/>
        <rFont val="Malgun Gothic"/>
        <family val="2"/>
        <charset val="129"/>
      </rPr>
      <t>玉山</t>
    </r>
    <r>
      <rPr>
        <sz val="12"/>
        <color theme="1"/>
        <rFont val="Tahoma"/>
        <family val="2"/>
      </rPr>
      <t>ALL</t>
    </r>
    <phoneticPr fontId="1" type="noConversion"/>
  </si>
  <si>
    <r>
      <rPr>
        <sz val="12"/>
        <color theme="1"/>
        <rFont val="Malgun Gothic"/>
        <family val="2"/>
        <charset val="129"/>
      </rPr>
      <t>樂天</t>
    </r>
    <phoneticPr fontId="1" type="noConversion"/>
  </si>
  <si>
    <r>
      <rPr>
        <sz val="12"/>
        <color theme="1"/>
        <rFont val="Malgun Gothic"/>
        <family val="2"/>
        <charset val="129"/>
      </rPr>
      <t>花旗</t>
    </r>
    <phoneticPr fontId="1" type="noConversion"/>
  </si>
  <si>
    <r>
      <rPr>
        <sz val="12"/>
        <color theme="1"/>
        <rFont val="Malgun Gothic"/>
        <family val="2"/>
        <charset val="129"/>
      </rPr>
      <t>國泰</t>
    </r>
    <r>
      <rPr>
        <sz val="12"/>
        <color theme="1"/>
        <rFont val="Tahoma"/>
        <family val="2"/>
      </rPr>
      <t>KOKO&amp;COSTCO</t>
    </r>
    <phoneticPr fontId="1" type="noConversion"/>
  </si>
  <si>
    <r>
      <rPr>
        <sz val="12"/>
        <color theme="1"/>
        <rFont val="Malgun Gothic"/>
        <family val="2"/>
        <charset val="129"/>
      </rPr>
      <t>聯邦微風</t>
    </r>
    <r>
      <rPr>
        <sz val="12"/>
        <color theme="1"/>
        <rFont val="細明體"/>
        <family val="3"/>
        <charset val="136"/>
      </rPr>
      <t>卡</t>
    </r>
    <phoneticPr fontId="1" type="noConversion"/>
  </si>
  <si>
    <r>
      <rPr>
        <sz val="12"/>
        <color theme="1"/>
        <rFont val="Malgun Gothic"/>
        <family val="2"/>
        <charset val="129"/>
      </rPr>
      <t>星展商務御璽</t>
    </r>
    <r>
      <rPr>
        <sz val="12"/>
        <color theme="1"/>
        <rFont val="細明體"/>
        <family val="3"/>
        <charset val="136"/>
      </rPr>
      <t>卡</t>
    </r>
    <phoneticPr fontId="1" type="noConversion"/>
  </si>
  <si>
    <r>
      <rPr>
        <sz val="12"/>
        <color theme="1"/>
        <rFont val="Malgun Gothic"/>
        <family val="2"/>
        <charset val="129"/>
      </rPr>
      <t>孝敬長輩</t>
    </r>
    <phoneticPr fontId="1" type="noConversion"/>
  </si>
  <si>
    <r>
      <rPr>
        <sz val="12"/>
        <color theme="1"/>
        <rFont val="Malgun Gothic"/>
        <family val="2"/>
        <charset val="129"/>
      </rPr>
      <t>費用</t>
    </r>
    <phoneticPr fontId="1" type="noConversion"/>
  </si>
  <si>
    <r>
      <rPr>
        <sz val="12"/>
        <color theme="1"/>
        <rFont val="Malgun Gothic"/>
        <family val="2"/>
        <charset val="129"/>
      </rPr>
      <t>加油</t>
    </r>
    <phoneticPr fontId="1" type="noConversion"/>
  </si>
  <si>
    <r>
      <rPr>
        <sz val="12"/>
        <color theme="1"/>
        <rFont val="Malgun Gothic"/>
        <family val="2"/>
        <charset val="129"/>
      </rPr>
      <t>吃飯</t>
    </r>
    <phoneticPr fontId="1" type="noConversion"/>
  </si>
  <si>
    <r>
      <rPr>
        <sz val="12"/>
        <color theme="1"/>
        <rFont val="Malgun Gothic"/>
        <family val="2"/>
        <charset val="129"/>
      </rPr>
      <t>其</t>
    </r>
    <r>
      <rPr>
        <sz val="12"/>
        <color theme="1"/>
        <rFont val="Tahoma"/>
        <family val="2"/>
      </rPr>
      <t>它</t>
    </r>
    <phoneticPr fontId="1" type="noConversion"/>
  </si>
  <si>
    <r>
      <rPr>
        <sz val="12"/>
        <color theme="1"/>
        <rFont val="Malgun Gothic"/>
        <family val="2"/>
        <charset val="129"/>
      </rPr>
      <t>兩小學費</t>
    </r>
    <phoneticPr fontId="1" type="noConversion"/>
  </si>
  <si>
    <r>
      <rPr>
        <sz val="12"/>
        <color theme="1"/>
        <rFont val="Malgun Gothic"/>
        <family val="2"/>
        <charset val="129"/>
      </rPr>
      <t>旅遊</t>
    </r>
    <phoneticPr fontId="1" type="noConversion"/>
  </si>
  <si>
    <r>
      <rPr>
        <sz val="12"/>
        <color theme="1"/>
        <rFont val="Malgun Gothic"/>
        <family val="2"/>
        <charset val="129"/>
      </rPr>
      <t>家庭聚會</t>
    </r>
    <phoneticPr fontId="1" type="noConversion"/>
  </si>
  <si>
    <r>
      <rPr>
        <sz val="12"/>
        <color theme="1"/>
        <rFont val="Malgun Gothic"/>
        <family val="2"/>
        <charset val="129"/>
      </rPr>
      <t>稅費</t>
    </r>
    <phoneticPr fontId="1" type="noConversion"/>
  </si>
  <si>
    <r>
      <rPr>
        <sz val="12"/>
        <color theme="1"/>
        <rFont val="Malgun Gothic"/>
        <family val="2"/>
        <charset val="129"/>
      </rPr>
      <t>保險</t>
    </r>
    <phoneticPr fontId="1" type="noConversion"/>
  </si>
  <si>
    <r>
      <rPr>
        <sz val="12"/>
        <color theme="1"/>
        <rFont val="Malgun Gothic"/>
        <family val="2"/>
        <charset val="129"/>
      </rPr>
      <t>尿布</t>
    </r>
    <phoneticPr fontId="1" type="noConversion"/>
  </si>
  <si>
    <r>
      <t>奶</t>
    </r>
    <r>
      <rPr>
        <sz val="12"/>
        <color theme="1"/>
        <rFont val="Malgun Gothic"/>
        <family val="2"/>
        <charset val="129"/>
      </rPr>
      <t>粉</t>
    </r>
    <phoneticPr fontId="1" type="noConversion"/>
  </si>
  <si>
    <r>
      <rPr>
        <sz val="12"/>
        <color theme="1"/>
        <rFont val="Malgun Gothic"/>
        <family val="2"/>
        <charset val="129"/>
      </rPr>
      <t>生活</t>
    </r>
    <phoneticPr fontId="1" type="noConversion"/>
  </si>
  <si>
    <r>
      <rPr>
        <sz val="12"/>
        <color theme="1"/>
        <rFont val="Malgun Gothic"/>
        <family val="2"/>
        <charset val="129"/>
      </rPr>
      <t>兩小學費</t>
    </r>
  </si>
  <si>
    <r>
      <rPr>
        <sz val="12"/>
        <color theme="1"/>
        <rFont val="Malgun Gothic"/>
        <family val="2"/>
        <charset val="129"/>
      </rPr>
      <t>加油</t>
    </r>
    <phoneticPr fontId="1" type="noConversion"/>
  </si>
  <si>
    <r>
      <rPr>
        <sz val="12"/>
        <color theme="1"/>
        <rFont val="Malgun Gothic"/>
        <family val="2"/>
        <charset val="129"/>
      </rPr>
      <t>吃飯</t>
    </r>
    <phoneticPr fontId="1" type="noConversion"/>
  </si>
  <si>
    <r>
      <rPr>
        <sz val="12"/>
        <color theme="1"/>
        <rFont val="Malgun Gothic"/>
        <family val="2"/>
        <charset val="129"/>
      </rPr>
      <t>尿布</t>
    </r>
    <phoneticPr fontId="1" type="noConversion"/>
  </si>
  <si>
    <r>
      <t>奶</t>
    </r>
    <r>
      <rPr>
        <sz val="12"/>
        <color theme="1"/>
        <rFont val="Malgun Gothic"/>
        <family val="2"/>
        <charset val="129"/>
      </rPr>
      <t>粉</t>
    </r>
    <phoneticPr fontId="1" type="noConversion"/>
  </si>
  <si>
    <r>
      <rPr>
        <sz val="12"/>
        <color theme="1"/>
        <rFont val="Malgun Gothic"/>
        <family val="2"/>
        <charset val="129"/>
      </rPr>
      <t>其</t>
    </r>
    <r>
      <rPr>
        <sz val="12"/>
        <color theme="1"/>
        <rFont val="Tahoma"/>
        <family val="2"/>
      </rPr>
      <t>它</t>
    </r>
    <phoneticPr fontId="1" type="noConversion"/>
  </si>
  <si>
    <r>
      <rPr>
        <sz val="12"/>
        <color theme="1"/>
        <rFont val="Malgun Gothic"/>
        <family val="2"/>
        <charset val="129"/>
      </rPr>
      <t>兩小學費</t>
    </r>
    <phoneticPr fontId="1" type="noConversion"/>
  </si>
  <si>
    <t>生活</t>
    <phoneticPr fontId="1" type="noConversion"/>
  </si>
  <si>
    <r>
      <rPr>
        <sz val="12"/>
        <color theme="1"/>
        <rFont val="Malgun Gothic"/>
        <family val="2"/>
        <charset val="129"/>
      </rPr>
      <t>生活</t>
    </r>
    <phoneticPr fontId="1" type="noConversion"/>
  </si>
  <si>
    <r>
      <rPr>
        <sz val="12"/>
        <color theme="1"/>
        <rFont val="Malgun Gothic"/>
        <family val="2"/>
        <charset val="129"/>
      </rPr>
      <t>生活</t>
    </r>
    <phoneticPr fontId="1" type="noConversion"/>
  </si>
  <si>
    <r>
      <rPr>
        <sz val="12"/>
        <color theme="1"/>
        <rFont val="Malgun Gothic"/>
        <family val="2"/>
        <charset val="129"/>
      </rPr>
      <t>生活</t>
    </r>
    <phoneticPr fontId="1" type="noConversion"/>
  </si>
  <si>
    <t>月份</t>
    <phoneticPr fontId="1" type="noConversion"/>
  </si>
  <si>
    <t>吃飯</t>
    <phoneticPr fontId="1" type="noConversion"/>
  </si>
  <si>
    <t>合庫+永豐</t>
    <phoneticPr fontId="1" type="noConversion"/>
  </si>
  <si>
    <t>兩小學費</t>
    <phoneticPr fontId="1" type="noConversion"/>
  </si>
  <si>
    <t>永豐三井卡</t>
    <phoneticPr fontId="1" type="noConversion"/>
  </si>
  <si>
    <t>費用</t>
  </si>
  <si>
    <t>加油</t>
  </si>
  <si>
    <t>吃飯</t>
  </si>
  <si>
    <t>尿布</t>
  </si>
  <si>
    <t>奶粉</t>
  </si>
  <si>
    <t>其它</t>
  </si>
  <si>
    <t>兩小學費</t>
  </si>
  <si>
    <t>N</t>
  </si>
  <si>
    <t>A</t>
  </si>
  <si>
    <t>L</t>
  </si>
  <si>
    <t>D</t>
  </si>
  <si>
    <t>旅遊</t>
  </si>
  <si>
    <t>家庭聚會</t>
  </si>
  <si>
    <t>稅費</t>
  </si>
  <si>
    <t>保險</t>
  </si>
  <si>
    <t>月份</t>
  </si>
  <si>
    <r>
      <rPr>
        <sz val="12"/>
        <color theme="1"/>
        <rFont val="Malgun Gothic"/>
        <family val="2"/>
        <charset val="129"/>
      </rPr>
      <t>尿布</t>
    </r>
    <r>
      <rPr>
        <sz val="12"/>
        <color theme="1"/>
        <rFont val="Tahoma"/>
        <family val="2"/>
      </rPr>
      <t/>
    </r>
    <phoneticPr fontId="1" type="noConversion"/>
  </si>
  <si>
    <t>V</t>
    <phoneticPr fontId="1" type="noConversion"/>
  </si>
  <si>
    <t>台灣之星</t>
    <phoneticPr fontId="1" type="noConversion"/>
  </si>
  <si>
    <t>Ubear線上繳</t>
    <phoneticPr fontId="1" type="noConversion"/>
  </si>
  <si>
    <t>學費</t>
    <phoneticPr fontId="1" type="noConversion"/>
  </si>
  <si>
    <t>悠游付+Ubear</t>
    <phoneticPr fontId="1" type="noConversion"/>
  </si>
  <si>
    <t>icashPay</t>
    <phoneticPr fontId="1" type="noConversion"/>
  </si>
  <si>
    <t>悠游付+Ubear/街口支付</t>
    <phoneticPr fontId="1" type="noConversion"/>
  </si>
  <si>
    <t>街口</t>
    <phoneticPr fontId="1" type="noConversion"/>
  </si>
  <si>
    <t>訂金</t>
    <phoneticPr fontId="1" type="noConversion"/>
  </si>
  <si>
    <t>簽約金</t>
    <phoneticPr fontId="1" type="noConversion"/>
  </si>
  <si>
    <t>項目</t>
    <phoneticPr fontId="1" type="noConversion"/>
  </si>
  <si>
    <t>金額</t>
    <phoneticPr fontId="1" type="noConversion"/>
  </si>
  <si>
    <t>日期</t>
    <phoneticPr fontId="1" type="noConversion"/>
  </si>
  <si>
    <t>%</t>
    <phoneticPr fontId="1" type="noConversion"/>
  </si>
  <si>
    <t>車貸</t>
    <phoneticPr fontId="1" type="noConversion"/>
  </si>
  <si>
    <t>第一次工程款</t>
    <phoneticPr fontId="1" type="noConversion"/>
  </si>
  <si>
    <t>第二次工程款</t>
    <phoneticPr fontId="1" type="noConversion"/>
  </si>
  <si>
    <t>第三次工程款</t>
    <phoneticPr fontId="1" type="noConversion"/>
  </si>
  <si>
    <t>交屋款</t>
    <phoneticPr fontId="1" type="noConversion"/>
  </si>
  <si>
    <r>
      <rPr>
        <sz val="12"/>
        <color theme="1"/>
        <rFont val="細明體"/>
        <family val="3"/>
        <charset val="136"/>
      </rPr>
      <t>代墊款</t>
    </r>
    <r>
      <rPr>
        <sz val="12"/>
        <color theme="1"/>
        <rFont val="Tahoma"/>
        <family val="2"/>
      </rPr>
      <t>+</t>
    </r>
    <r>
      <rPr>
        <sz val="12"/>
        <color theme="1"/>
        <rFont val="細明體"/>
        <family val="3"/>
        <charset val="136"/>
      </rPr>
      <t>管理費</t>
    </r>
    <phoneticPr fontId="1" type="noConversion"/>
  </si>
  <si>
    <t>V</t>
    <phoneticPr fontId="1" type="noConversion"/>
  </si>
  <si>
    <r>
      <t>Total-</t>
    </r>
    <r>
      <rPr>
        <sz val="12"/>
        <color theme="1"/>
        <rFont val="細明體"/>
        <family val="3"/>
        <charset val="136"/>
      </rPr>
      <t>車貸</t>
    </r>
    <phoneticPr fontId="1" type="noConversion"/>
  </si>
  <si>
    <t xml:space="preserve"> </t>
    <phoneticPr fontId="1" type="noConversion"/>
  </si>
  <si>
    <t>王董Creditcard</t>
    <phoneticPr fontId="1" type="noConversion"/>
  </si>
  <si>
    <t>家用品</t>
    <phoneticPr fontId="1" type="noConversion"/>
  </si>
  <si>
    <t>合庫+永豐+星展</t>
    <phoneticPr fontId="1" type="noConversion"/>
  </si>
  <si>
    <r>
      <t>Total-</t>
    </r>
    <r>
      <rPr>
        <sz val="12"/>
        <color theme="1"/>
        <rFont val="細明體"/>
        <family val="3"/>
        <charset val="136"/>
      </rPr>
      <t>車貸(本月)</t>
    </r>
    <phoneticPr fontId="1" type="noConversion"/>
  </si>
  <si>
    <r>
      <t>Total(</t>
    </r>
    <r>
      <rPr>
        <sz val="12"/>
        <color theme="1"/>
        <rFont val="細明體"/>
        <family val="3"/>
        <charset val="136"/>
      </rPr>
      <t>到本月)</t>
    </r>
    <phoneticPr fontId="1" type="noConversion"/>
  </si>
  <si>
    <t>占預計支出比例</t>
    <phoneticPr fontId="1" type="noConversion"/>
  </si>
  <si>
    <r>
      <t>Total</t>
    </r>
    <r>
      <rPr>
        <sz val="12"/>
        <color theme="1"/>
        <rFont val="Tahoma"/>
        <family val="2"/>
      </rPr>
      <t>-</t>
    </r>
    <r>
      <rPr>
        <sz val="12"/>
        <color theme="1"/>
        <rFont val="細明體"/>
        <family val="3"/>
        <charset val="136"/>
      </rPr>
      <t>車貸</t>
    </r>
    <phoneticPr fontId="1" type="noConversion"/>
  </si>
  <si>
    <t>合計</t>
    <phoneticPr fontId="1" type="noConversion"/>
  </si>
  <si>
    <t>支出%</t>
    <phoneticPr fontId="1" type="noConversion"/>
  </si>
  <si>
    <t>實際占預計支出%</t>
    <phoneticPr fontId="1" type="noConversion"/>
  </si>
  <si>
    <t>剩餘/超支 $$</t>
    <phoneticPr fontId="1" type="noConversion"/>
  </si>
  <si>
    <t>尿布</t>
    <phoneticPr fontId="1" type="noConversion"/>
  </si>
  <si>
    <t>家用品</t>
    <phoneticPr fontId="1" type="noConversion"/>
  </si>
  <si>
    <t>月支出估計</t>
    <phoneticPr fontId="1" type="noConversion"/>
  </si>
  <si>
    <t>預計支出/月</t>
    <phoneticPr fontId="1" type="noConversion"/>
  </si>
  <si>
    <t>月份</t>
    <phoneticPr fontId="1" type="noConversion"/>
  </si>
  <si>
    <t>Total</t>
    <phoneticPr fontId="1" type="noConversion"/>
  </si>
  <si>
    <t>生活</t>
    <phoneticPr fontId="1" type="noConversion"/>
  </si>
  <si>
    <t>衣</t>
    <phoneticPr fontId="1" type="noConversion"/>
  </si>
  <si>
    <t>食</t>
    <phoneticPr fontId="1" type="noConversion"/>
  </si>
  <si>
    <t>衣</t>
    <phoneticPr fontId="1" type="noConversion"/>
  </si>
  <si>
    <t>住</t>
    <phoneticPr fontId="1" type="noConversion"/>
  </si>
  <si>
    <t>行</t>
    <phoneticPr fontId="1" type="noConversion"/>
  </si>
  <si>
    <t>育-基本</t>
    <phoneticPr fontId="1" type="noConversion"/>
  </si>
  <si>
    <t>育-才藝</t>
    <phoneticPr fontId="1" type="noConversion"/>
  </si>
  <si>
    <t>旅遊</t>
    <phoneticPr fontId="1" type="noConversion"/>
  </si>
  <si>
    <t>食</t>
    <phoneticPr fontId="1" type="noConversion"/>
  </si>
  <si>
    <t>住</t>
    <phoneticPr fontId="1" type="noConversion"/>
  </si>
  <si>
    <t>育-才藝</t>
    <phoneticPr fontId="1" type="noConversion"/>
  </si>
  <si>
    <t>合庫+永豐+星展+渣打</t>
    <phoneticPr fontId="1" type="noConversion"/>
  </si>
  <si>
    <t>醫療費用</t>
    <phoneticPr fontId="1" type="noConversion"/>
  </si>
  <si>
    <t>YOY%</t>
    <phoneticPr fontId="1" type="noConversion"/>
  </si>
  <si>
    <t>剩餘/超支 $$(本月)</t>
    <phoneticPr fontId="1" type="noConversion"/>
  </si>
  <si>
    <t>全盈+@gogo (ALEX)</t>
    <phoneticPr fontId="1" type="noConversion"/>
  </si>
  <si>
    <t>V</t>
    <phoneticPr fontId="1" type="noConversion"/>
  </si>
  <si>
    <t>剩餘</t>
    <phoneticPr fontId="1" type="noConversion"/>
  </si>
  <si>
    <t>總稅款</t>
    <phoneticPr fontId="1" type="noConversion"/>
  </si>
  <si>
    <t>Richart悠游付</t>
    <phoneticPr fontId="1" type="noConversion"/>
  </si>
  <si>
    <t>台新gogo全盈+</t>
  </si>
  <si>
    <t>合庫無限卡朝慶身分證</t>
    <phoneticPr fontId="1" type="noConversion"/>
  </si>
  <si>
    <t>玫瑰giving卡全盈</t>
    <phoneticPr fontId="1" type="noConversion"/>
  </si>
  <si>
    <t>Icashpay3000以上</t>
    <phoneticPr fontId="1" type="noConversion"/>
  </si>
  <si>
    <t>YOY%</t>
    <phoneticPr fontId="1" type="noConversion"/>
  </si>
  <si>
    <t>年支出估計</t>
    <phoneticPr fontId="1" type="noConversion"/>
  </si>
  <si>
    <t xml:space="preserve"> </t>
    <phoneticPr fontId="1" type="noConversion"/>
  </si>
  <si>
    <t>Gogoro卡</t>
    <phoneticPr fontId="1" type="noConversion"/>
  </si>
  <si>
    <t>Icash自動加值+cube卡(Nancy)</t>
    <phoneticPr fontId="1" type="noConversion"/>
  </si>
  <si>
    <t>水電網路</t>
    <phoneticPr fontId="1" type="noConversion"/>
  </si>
  <si>
    <t>燃料稅</t>
    <phoneticPr fontId="1" type="noConversion"/>
  </si>
  <si>
    <t>預計支出%</t>
    <phoneticPr fontId="1" type="noConversion"/>
  </si>
  <si>
    <t>房貸</t>
    <phoneticPr fontId="1" type="noConversion"/>
  </si>
  <si>
    <t xml:space="preserve"> </t>
    <phoneticPr fontId="1" type="noConversion"/>
  </si>
  <si>
    <t>年支出</t>
    <phoneticPr fontId="1" type="noConversion"/>
  </si>
  <si>
    <t>年支出(不含車貸)</t>
    <phoneticPr fontId="1" type="noConversion"/>
  </si>
  <si>
    <t>年度</t>
    <phoneticPr fontId="1" type="noConversion"/>
  </si>
  <si>
    <t>202312</t>
    <phoneticPr fontId="1" type="noConversion"/>
  </si>
  <si>
    <t>202212</t>
    <phoneticPr fontId="1" type="noConversion"/>
  </si>
  <si>
    <t>中信LinePAy</t>
    <phoneticPr fontId="1" type="noConversion"/>
  </si>
  <si>
    <t>設計費</t>
    <phoneticPr fontId="1" type="noConversion"/>
  </si>
  <si>
    <t>提案費(折抵設計)</t>
    <phoneticPr fontId="1" type="noConversion"/>
  </si>
  <si>
    <t>樂天</t>
    <phoneticPr fontId="1" type="noConversion"/>
  </si>
  <si>
    <t>上海</t>
    <phoneticPr fontId="1" type="noConversion"/>
  </si>
  <si>
    <t>Total-旅遊</t>
  </si>
  <si>
    <t>Total-旅遊(本月)</t>
  </si>
  <si>
    <r>
      <t>Total-</t>
    </r>
    <r>
      <rPr>
        <sz val="12"/>
        <color theme="1"/>
        <rFont val="細明體"/>
        <family val="3"/>
        <charset val="136"/>
      </rPr>
      <t>旅遊</t>
    </r>
    <r>
      <rPr>
        <sz val="12"/>
        <color theme="1"/>
        <rFont val="Tahoma"/>
        <family val="2"/>
      </rPr>
      <t>(</t>
    </r>
    <r>
      <rPr>
        <sz val="12"/>
        <color theme="1"/>
        <rFont val="細明體"/>
        <family val="3"/>
        <charset val="136"/>
      </rPr>
      <t>本月</t>
    </r>
    <r>
      <rPr>
        <sz val="12"/>
        <color theme="1"/>
        <rFont val="Tahoma"/>
        <family val="2"/>
      </rPr>
      <t>)</t>
    </r>
    <phoneticPr fontId="1" type="noConversion"/>
  </si>
  <si>
    <t>合庫</t>
    <phoneticPr fontId="1" type="noConversion"/>
  </si>
  <si>
    <r>
      <rPr>
        <sz val="12"/>
        <color theme="1"/>
        <rFont val="細明體"/>
        <family val="3"/>
        <charset val="136"/>
      </rPr>
      <t>占比</t>
    </r>
    <r>
      <rPr>
        <sz val="12"/>
        <color theme="1"/>
        <rFont val="Tahoma"/>
        <family val="2"/>
      </rPr>
      <t>%/YOY%</t>
    </r>
    <phoneticPr fontId="1" type="noConversion"/>
  </si>
  <si>
    <r>
      <t>Total-</t>
    </r>
    <r>
      <rPr>
        <sz val="12"/>
        <color theme="1"/>
        <rFont val="細明體"/>
        <family val="3"/>
        <charset val="136"/>
      </rPr>
      <t>房貸(本月)</t>
    </r>
    <phoneticPr fontId="1" type="noConversion"/>
  </si>
  <si>
    <t>202412</t>
    <phoneticPr fontId="1" type="noConversion"/>
  </si>
  <si>
    <t>202312</t>
    <phoneticPr fontId="1" type="noConversion"/>
  </si>
  <si>
    <t>新光無限卡</t>
    <phoneticPr fontId="1" type="noConversion"/>
  </si>
  <si>
    <t>星展</t>
    <phoneticPr fontId="1" type="noConversion"/>
  </si>
  <si>
    <t>永豐</t>
    <phoneticPr fontId="1" type="noConversion"/>
  </si>
  <si>
    <t>合庫+上海</t>
    <phoneticPr fontId="1" type="noConversion"/>
  </si>
  <si>
    <r>
      <rPr>
        <sz val="12"/>
        <color theme="1"/>
        <rFont val="Malgun Gothic"/>
        <family val="2"/>
        <charset val="129"/>
      </rPr>
      <t>國泰</t>
    </r>
    <r>
      <rPr>
        <sz val="12"/>
        <color theme="1"/>
        <rFont val="Tahoma"/>
        <family val="2"/>
      </rPr>
      <t>KOKO</t>
    </r>
    <phoneticPr fontId="1" type="noConversion"/>
  </si>
  <si>
    <r>
      <rPr>
        <sz val="12"/>
        <color theme="1"/>
        <rFont val="Malgun Gothic"/>
        <family val="2"/>
        <charset val="129"/>
      </rPr>
      <t>國泰</t>
    </r>
    <r>
      <rPr>
        <sz val="12"/>
        <color theme="1"/>
        <rFont val="Tahoma"/>
        <family val="2"/>
      </rPr>
      <t>Cube</t>
    </r>
    <phoneticPr fontId="1" type="noConversion"/>
  </si>
  <si>
    <t>上海+樂天+遠銀</t>
    <phoneticPr fontId="1" type="noConversion"/>
  </si>
  <si>
    <t>SISLEY</t>
  </si>
  <si>
    <t>uniopen+會員禮</t>
  </si>
  <si>
    <t>clarins</t>
  </si>
  <si>
    <t>中信鼎極卡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</si>
</sst>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m&quot;月&quot;d&quot;日&quot;"/>
    <numFmt numFmtId="177" formatCode="_-* #,##0_-;\-* #,##0_-;_-* &quot;-&quot;??_-;_-@_-"/>
    <numFmt numFmtId="178" formatCode="0.0%"/>
    <numFmt numFmtId="179" formatCode="&quot;$&quot;#,##0.00"/>
    <numFmt numFmtId="180" formatCode="#,##0_ ;[Red]\-#,##0\ "/>
    <numFmt numFmtId="181" formatCode="0.00_);[Red]\(0.00\)"/>
    <numFmt numFmtId="182" formatCode="#,##0_);[Red]\(#,##0\)"/>
    <numFmt numFmtId="183" formatCode="0.00_ "/>
    <numFmt numFmtId="184" formatCode="0_ "/>
    <numFmt numFmtId="185" formatCode="0.000"/>
    <numFmt numFmtId="186" formatCode="#,##0.00%;[Red]\-#,##0.00%"/>
  </numFmts>
  <fonts count="3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2" tint="-9.9978637043366805E-2"/>
      <name val="新細明體"/>
      <family val="2"/>
      <charset val="136"/>
      <scheme val="minor"/>
    </font>
    <font>
      <u val="double"/>
      <sz val="12"/>
      <color theme="1"/>
      <name val="新細明體"/>
      <family val="2"/>
      <charset val="136"/>
      <scheme val="minor"/>
    </font>
    <font>
      <u val="double"/>
      <sz val="12"/>
      <color theme="1"/>
      <name val="新細明體"/>
      <family val="1"/>
      <charset val="136"/>
      <scheme val="minor"/>
    </font>
    <font>
      <u/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2"/>
      <color theme="1"/>
      <name val="Tahoma"/>
      <family val="2"/>
    </font>
    <font>
      <sz val="12"/>
      <color theme="1"/>
      <name val="新細明體"/>
      <family val="2"/>
      <charset val="136"/>
    </font>
    <font>
      <b/>
      <sz val="12"/>
      <color theme="1"/>
      <name val="Tahoma"/>
      <family val="2"/>
    </font>
    <font>
      <sz val="12"/>
      <color theme="1"/>
      <name val="細明體"/>
      <family val="3"/>
      <charset val="136"/>
    </font>
    <font>
      <b/>
      <sz val="12"/>
      <color theme="0"/>
      <name val="Tahoma"/>
      <family val="2"/>
    </font>
    <font>
      <sz val="12"/>
      <name val="Tahoma"/>
      <family val="2"/>
    </font>
    <font>
      <sz val="12"/>
      <color theme="1"/>
      <name val="Malgun Gothic"/>
      <family val="2"/>
      <charset val="129"/>
    </font>
    <font>
      <sz val="12"/>
      <color rgb="FFFF0000"/>
      <name val="Tahoma"/>
      <family val="2"/>
    </font>
    <font>
      <sz val="12"/>
      <color theme="0"/>
      <name val="Tahoma"/>
      <family val="2"/>
    </font>
    <font>
      <b/>
      <u val="singleAccounting"/>
      <sz val="12"/>
      <color theme="1"/>
      <name val="Tahoma"/>
      <family val="2"/>
    </font>
    <font>
      <b/>
      <sz val="12"/>
      <color indexed="81"/>
      <name val="細明體"/>
      <family val="3"/>
      <charset val="136"/>
    </font>
    <font>
      <b/>
      <u/>
      <sz val="12"/>
      <color theme="1"/>
      <name val="Tahoma"/>
      <family val="2"/>
    </font>
    <font>
      <sz val="12"/>
      <color theme="0"/>
      <name val="細明體"/>
      <family val="3"/>
      <charset val="136"/>
    </font>
    <font>
      <b/>
      <sz val="12"/>
      <color theme="1"/>
      <name val="細明體"/>
      <family val="3"/>
      <charset val="136"/>
    </font>
    <font>
      <b/>
      <sz val="12"/>
      <name val="Tahoma"/>
      <family val="2"/>
    </font>
    <font>
      <sz val="12"/>
      <color theme="0" tint="-0.14999847407452621"/>
      <name val="Tahoma"/>
      <family val="2"/>
    </font>
    <font>
      <sz val="12"/>
      <color theme="1"/>
      <name val="細明體"/>
      <family val="2"/>
      <charset val="136"/>
    </font>
    <font>
      <sz val="12"/>
      <color theme="1"/>
      <name val="Tahoma"/>
      <family val="2"/>
      <charset val="129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3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0" fillId="0" borderId="0" xfId="0">
      <alignment vertical="center"/>
    </xf>
    <xf numFmtId="177" fontId="0" fillId="0" borderId="0" xfId="1" applyNumberFormat="1" applyFont="1">
      <alignment vertical="center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177" fontId="0" fillId="0" borderId="1" xfId="1" applyNumberFormat="1" applyFont="1" applyBorder="1">
      <alignment vertical="center"/>
    </xf>
    <xf numFmtId="177" fontId="0" fillId="2" borderId="1" xfId="1" applyNumberFormat="1" applyFont="1" applyFill="1" applyBorder="1">
      <alignment vertical="center"/>
    </xf>
    <xf numFmtId="177" fontId="0" fillId="3" borderId="1" xfId="1" applyNumberFormat="1" applyFont="1" applyFill="1" applyBorder="1">
      <alignment vertical="center"/>
    </xf>
    <xf numFmtId="177" fontId="0" fillId="0" borderId="1" xfId="1" applyNumberFormat="1" applyFont="1" applyFill="1" applyBorder="1">
      <alignment vertical="center"/>
    </xf>
    <xf numFmtId="177" fontId="8" fillId="0" borderId="0" xfId="1" applyNumberFormat="1" applyFont="1">
      <alignment vertical="center"/>
    </xf>
    <xf numFmtId="0" fontId="7" fillId="0" borderId="0" xfId="0" applyFont="1" applyAlignment="1">
      <alignment horizontal="left" vertical="center"/>
    </xf>
    <xf numFmtId="9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76" fontId="0" fillId="0" borderId="1" xfId="0" applyNumberFormat="1" applyBorder="1">
      <alignment vertical="center"/>
    </xf>
    <xf numFmtId="0" fontId="5" fillId="0" borderId="1" xfId="0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quotePrefix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1" fillId="0" borderId="0" xfId="0" applyFont="1" applyBorder="1">
      <alignment vertical="center"/>
    </xf>
    <xf numFmtId="179" fontId="12" fillId="0" borderId="3" xfId="0" applyNumberFormat="1" applyFont="1" applyBorder="1">
      <alignment vertical="center"/>
    </xf>
    <xf numFmtId="0" fontId="12" fillId="0" borderId="0" xfId="0" applyFont="1">
      <alignment vertical="center"/>
    </xf>
    <xf numFmtId="0" fontId="12" fillId="2" borderId="2" xfId="0" applyFont="1" applyFill="1" applyBorder="1">
      <alignment vertical="center"/>
    </xf>
    <xf numFmtId="0" fontId="12" fillId="0" borderId="2" xfId="0" applyFont="1" applyBorder="1">
      <alignment vertical="center"/>
    </xf>
    <xf numFmtId="0" fontId="12" fillId="2" borderId="0" xfId="0" applyFont="1" applyFill="1" applyBorder="1">
      <alignment vertical="center"/>
    </xf>
    <xf numFmtId="14" fontId="12" fillId="0" borderId="0" xfId="0" applyNumberFormat="1" applyFont="1">
      <alignment vertical="center"/>
    </xf>
    <xf numFmtId="176" fontId="12" fillId="0" borderId="0" xfId="0" applyNumberFormat="1" applyFont="1">
      <alignment vertical="center"/>
    </xf>
    <xf numFmtId="177" fontId="13" fillId="0" borderId="0" xfId="1" applyNumberFormat="1" applyFont="1">
      <alignment vertical="center"/>
    </xf>
    <xf numFmtId="0" fontId="12" fillId="0" borderId="1" xfId="0" applyFont="1" applyBorder="1">
      <alignment vertical="center"/>
    </xf>
    <xf numFmtId="14" fontId="12" fillId="0" borderId="1" xfId="0" applyNumberFormat="1" applyFont="1" applyBorder="1">
      <alignment vertical="center"/>
    </xf>
    <xf numFmtId="177" fontId="12" fillId="0" borderId="1" xfId="1" applyNumberFormat="1" applyFont="1" applyBorder="1">
      <alignment vertical="center"/>
    </xf>
    <xf numFmtId="14" fontId="12" fillId="4" borderId="1" xfId="0" applyNumberFormat="1" applyFont="1" applyFill="1" applyBorder="1">
      <alignment vertical="center"/>
    </xf>
    <xf numFmtId="177" fontId="12" fillId="4" borderId="1" xfId="1" applyNumberFormat="1" applyFont="1" applyFill="1" applyBorder="1">
      <alignment vertical="center"/>
    </xf>
    <xf numFmtId="0" fontId="12" fillId="4" borderId="1" xfId="0" applyFont="1" applyFill="1" applyBorder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6" borderId="6" xfId="1" applyNumberFormat="1" applyFont="1" applyFill="1" applyBorder="1" applyAlignment="1">
      <alignment horizontal="center" vertical="center"/>
    </xf>
    <xf numFmtId="177" fontId="18" fillId="6" borderId="6" xfId="0" applyNumberFormat="1" applyFont="1" applyFill="1" applyBorder="1">
      <alignment vertical="center"/>
    </xf>
    <xf numFmtId="0" fontId="18" fillId="0" borderId="0" xfId="0" applyFont="1">
      <alignment vertical="center"/>
    </xf>
    <xf numFmtId="0" fontId="18" fillId="7" borderId="7" xfId="0" applyFont="1" applyFill="1" applyBorder="1" applyAlignment="1">
      <alignment horizontal="center" vertical="center"/>
    </xf>
    <xf numFmtId="177" fontId="18" fillId="7" borderId="7" xfId="0" applyNumberFormat="1" applyFont="1" applyFill="1" applyBorder="1">
      <alignment vertical="center"/>
    </xf>
    <xf numFmtId="177" fontId="18" fillId="5" borderId="5" xfId="1" applyNumberFormat="1" applyFont="1" applyFill="1" applyBorder="1" applyAlignment="1">
      <alignment horizontal="center" vertical="center"/>
    </xf>
    <xf numFmtId="177" fontId="18" fillId="5" borderId="5" xfId="0" applyNumberFormat="1" applyFont="1" applyFill="1" applyBorder="1">
      <alignment vertical="center"/>
    </xf>
    <xf numFmtId="177" fontId="20" fillId="0" borderId="0" xfId="0" applyNumberFormat="1" applyFont="1">
      <alignment vertical="center"/>
    </xf>
    <xf numFmtId="177" fontId="18" fillId="0" borderId="0" xfId="1" applyNumberFormat="1" applyFont="1">
      <alignment vertical="center"/>
    </xf>
    <xf numFmtId="177" fontId="18" fillId="0" borderId="0" xfId="0" applyNumberFormat="1" applyFont="1">
      <alignment vertical="center"/>
    </xf>
    <xf numFmtId="0" fontId="21" fillId="0" borderId="0" xfId="0" applyFont="1" applyAlignment="1">
      <alignment horizontal="center" vertical="center"/>
    </xf>
    <xf numFmtId="177" fontId="22" fillId="8" borderId="0" xfId="0" applyNumberFormat="1" applyFont="1" applyFill="1">
      <alignment vertical="center"/>
    </xf>
    <xf numFmtId="0" fontId="21" fillId="0" borderId="0" xfId="0" applyFont="1">
      <alignment vertical="center"/>
    </xf>
    <xf numFmtId="0" fontId="18" fillId="0" borderId="4" xfId="0" applyFont="1" applyBorder="1">
      <alignment vertical="center"/>
    </xf>
    <xf numFmtId="9" fontId="18" fillId="0" borderId="0" xfId="2" applyFont="1">
      <alignment vertical="center"/>
    </xf>
    <xf numFmtId="0" fontId="19" fillId="0" borderId="0" xfId="0" applyFont="1" applyAlignment="1">
      <alignment horizontal="center" vertical="center"/>
    </xf>
    <xf numFmtId="180" fontId="18" fillId="6" borderId="6" xfId="1" applyNumberFormat="1" applyFont="1" applyFill="1" applyBorder="1">
      <alignment vertical="center"/>
    </xf>
    <xf numFmtId="180" fontId="18" fillId="6" borderId="6" xfId="0" applyNumberFormat="1" applyFont="1" applyFill="1" applyBorder="1">
      <alignment vertical="center"/>
    </xf>
    <xf numFmtId="180" fontId="18" fillId="7" borderId="7" xfId="1" applyNumberFormat="1" applyFont="1" applyFill="1" applyBorder="1">
      <alignment vertical="center"/>
    </xf>
    <xf numFmtId="180" fontId="18" fillId="7" borderId="7" xfId="0" applyNumberFormat="1" applyFont="1" applyFill="1" applyBorder="1">
      <alignment vertical="center"/>
    </xf>
    <xf numFmtId="180" fontId="18" fillId="5" borderId="5" xfId="1" applyNumberFormat="1" applyFont="1" applyFill="1" applyBorder="1">
      <alignment vertical="center"/>
    </xf>
    <xf numFmtId="180" fontId="20" fillId="0" borderId="0" xfId="1" applyNumberFormat="1" applyFont="1">
      <alignment vertical="center"/>
    </xf>
    <xf numFmtId="180" fontId="18" fillId="5" borderId="5" xfId="0" applyNumberFormat="1" applyFont="1" applyFill="1" applyBorder="1">
      <alignment vertical="center"/>
    </xf>
    <xf numFmtId="180" fontId="18" fillId="0" borderId="0" xfId="1" applyNumberFormat="1" applyFont="1">
      <alignment vertical="center"/>
    </xf>
    <xf numFmtId="180" fontId="18" fillId="0" borderId="0" xfId="0" applyNumberFormat="1" applyFont="1">
      <alignment vertical="center"/>
    </xf>
    <xf numFmtId="180" fontId="20" fillId="0" borderId="0" xfId="0" applyNumberFormat="1" applyFont="1">
      <alignment vertical="center"/>
    </xf>
    <xf numFmtId="14" fontId="18" fillId="0" borderId="0" xfId="0" applyNumberFormat="1" applyFont="1">
      <alignment vertical="center"/>
    </xf>
    <xf numFmtId="180" fontId="18" fillId="0" borderId="3" xfId="0" applyNumberFormat="1" applyFont="1" applyBorder="1" applyAlignment="1">
      <alignment horizontal="right" vertical="center"/>
    </xf>
    <xf numFmtId="180" fontId="23" fillId="9" borderId="3" xfId="0" applyNumberFormat="1" applyFont="1" applyFill="1" applyBorder="1" applyAlignment="1">
      <alignment horizontal="right" vertical="center"/>
    </xf>
    <xf numFmtId="177" fontId="23" fillId="9" borderId="4" xfId="1" applyNumberFormat="1" applyFont="1" applyFill="1" applyBorder="1">
      <alignment vertical="center"/>
    </xf>
    <xf numFmtId="178" fontId="18" fillId="0" borderId="0" xfId="2" applyNumberFormat="1" applyFont="1">
      <alignment vertical="center"/>
    </xf>
    <xf numFmtId="43" fontId="18" fillId="0" borderId="0" xfId="0" applyNumberFormat="1" applyFont="1">
      <alignment vertical="center"/>
    </xf>
    <xf numFmtId="0" fontId="0" fillId="0" borderId="0" xfId="0">
      <alignment vertical="center"/>
    </xf>
    <xf numFmtId="177" fontId="0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0" fontId="18" fillId="6" borderId="8" xfId="1" applyNumberFormat="1" applyFont="1" applyFill="1" applyBorder="1">
      <alignment vertical="center"/>
    </xf>
    <xf numFmtId="180" fontId="18" fillId="6" borderId="8" xfId="0" applyNumberFormat="1" applyFont="1" applyFill="1" applyBorder="1">
      <alignment vertical="center"/>
    </xf>
    <xf numFmtId="177" fontId="18" fillId="6" borderId="8" xfId="0" applyNumberFormat="1" applyFont="1" applyFill="1" applyBorder="1">
      <alignment vertical="center"/>
    </xf>
    <xf numFmtId="177" fontId="18" fillId="5" borderId="9" xfId="1" applyNumberFormat="1" applyFont="1" applyFill="1" applyBorder="1" applyAlignment="1">
      <alignment horizontal="center" vertical="center"/>
    </xf>
    <xf numFmtId="177" fontId="18" fillId="5" borderId="10" xfId="1" applyNumberFormat="1" applyFont="1" applyFill="1" applyBorder="1" applyAlignment="1">
      <alignment horizontal="center" vertical="center"/>
    </xf>
    <xf numFmtId="177" fontId="18" fillId="7" borderId="7" xfId="0" applyNumberFormat="1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77" fontId="18" fillId="7" borderId="7" xfId="1" applyNumberFormat="1" applyFont="1" applyFill="1" applyBorder="1" applyAlignment="1">
      <alignment horizontal="center" vertical="center"/>
    </xf>
    <xf numFmtId="177" fontId="18" fillId="7" borderId="7" xfId="1" applyNumberFormat="1" applyFont="1" applyFill="1" applyBorder="1" applyAlignment="1">
      <alignment horizontal="right" vertical="center"/>
    </xf>
    <xf numFmtId="177" fontId="18" fillId="7" borderId="9" xfId="1" applyNumberFormat="1" applyFont="1" applyFill="1" applyBorder="1" applyAlignment="1">
      <alignment horizontal="center" vertical="center"/>
    </xf>
    <xf numFmtId="180" fontId="18" fillId="7" borderId="8" xfId="0" applyNumberFormat="1" applyFont="1" applyFill="1" applyBorder="1">
      <alignment vertical="center"/>
    </xf>
    <xf numFmtId="0" fontId="18" fillId="7" borderId="7" xfId="0" applyFont="1" applyFill="1" applyBorder="1" applyAlignment="1">
      <alignment horizontal="right" vertical="center"/>
    </xf>
    <xf numFmtId="0" fontId="18" fillId="0" borderId="0" xfId="0" applyNumberFormat="1" applyFont="1">
      <alignment vertical="center"/>
    </xf>
    <xf numFmtId="177" fontId="18" fillId="5" borderId="9" xfId="1" applyNumberFormat="1" applyFont="1" applyFill="1" applyBorder="1" applyAlignment="1">
      <alignment horizontal="right" vertical="center"/>
    </xf>
    <xf numFmtId="49" fontId="18" fillId="0" borderId="0" xfId="0" applyNumberFormat="1" applyFont="1">
      <alignment vertical="center"/>
    </xf>
    <xf numFmtId="49" fontId="18" fillId="0" borderId="0" xfId="0" applyNumberFormat="1" applyFont="1" applyAlignment="1">
      <alignment vertical="center"/>
    </xf>
    <xf numFmtId="49" fontId="18" fillId="6" borderId="6" xfId="1" applyNumberFormat="1" applyFont="1" applyFill="1" applyBorder="1" applyAlignment="1">
      <alignment horizontal="center" vertical="center"/>
    </xf>
    <xf numFmtId="49" fontId="18" fillId="6" borderId="8" xfId="1" applyNumberFormat="1" applyFont="1" applyFill="1" applyBorder="1" applyAlignment="1">
      <alignment horizontal="center" vertical="center"/>
    </xf>
    <xf numFmtId="49" fontId="18" fillId="6" borderId="7" xfId="1" applyNumberFormat="1" applyFont="1" applyFill="1" applyBorder="1" applyAlignment="1">
      <alignment horizontal="center" vertical="center"/>
    </xf>
    <xf numFmtId="49" fontId="18" fillId="7" borderId="7" xfId="0" applyNumberFormat="1" applyFont="1" applyFill="1" applyBorder="1" applyAlignment="1">
      <alignment horizontal="center" vertical="center"/>
    </xf>
    <xf numFmtId="49" fontId="18" fillId="5" borderId="9" xfId="1" applyNumberFormat="1" applyFont="1" applyFill="1" applyBorder="1" applyAlignment="1">
      <alignment horizontal="center" vertical="center"/>
    </xf>
    <xf numFmtId="49" fontId="18" fillId="5" borderId="10" xfId="1" applyNumberFormat="1" applyFont="1" applyFill="1" applyBorder="1" applyAlignment="1">
      <alignment horizontal="center" vertical="center"/>
    </xf>
    <xf numFmtId="49" fontId="18" fillId="5" borderId="5" xfId="1" applyNumberFormat="1" applyFont="1" applyFill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24" fillId="6" borderId="6" xfId="1" applyNumberFormat="1" applyFont="1" applyFill="1" applyBorder="1" applyAlignment="1">
      <alignment horizontal="center" vertical="center"/>
    </xf>
    <xf numFmtId="177" fontId="25" fillId="5" borderId="5" xfId="1" applyNumberFormat="1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right" vertical="center"/>
    </xf>
    <xf numFmtId="0" fontId="23" fillId="7" borderId="7" xfId="0" applyFont="1" applyFill="1" applyBorder="1" applyAlignment="1">
      <alignment horizontal="center" vertical="center"/>
    </xf>
    <xf numFmtId="49" fontId="24" fillId="6" borderId="8" xfId="1" applyNumberFormat="1" applyFont="1" applyFill="1" applyBorder="1" applyAlignment="1">
      <alignment horizontal="center" vertical="center"/>
    </xf>
    <xf numFmtId="177" fontId="18" fillId="0" borderId="0" xfId="1" applyNumberFormat="1" applyFont="1" applyAlignment="1">
      <alignment horizontal="center" vertical="center"/>
    </xf>
    <xf numFmtId="177" fontId="23" fillId="5" borderId="5" xfId="1" applyNumberFormat="1" applyFont="1" applyFill="1" applyBorder="1" applyAlignment="1">
      <alignment horizontal="center" vertical="center"/>
    </xf>
    <xf numFmtId="177" fontId="18" fillId="7" borderId="7" xfId="1" applyNumberFormat="1" applyFont="1" applyFill="1" applyBorder="1" applyAlignment="1">
      <alignment vertical="center"/>
    </xf>
    <xf numFmtId="177" fontId="18" fillId="4" borderId="14" xfId="1" applyNumberFormat="1" applyFont="1" applyFill="1" applyBorder="1">
      <alignment vertical="center"/>
    </xf>
    <xf numFmtId="177" fontId="18" fillId="4" borderId="0" xfId="1" applyNumberFormat="1" applyFont="1" applyFill="1" applyBorder="1">
      <alignment vertical="center"/>
    </xf>
    <xf numFmtId="177" fontId="18" fillId="4" borderId="15" xfId="1" applyNumberFormat="1" applyFont="1" applyFill="1" applyBorder="1">
      <alignment vertical="center"/>
    </xf>
    <xf numFmtId="177" fontId="18" fillId="4" borderId="16" xfId="1" applyNumberFormat="1" applyFont="1" applyFill="1" applyBorder="1">
      <alignment vertical="center"/>
    </xf>
    <xf numFmtId="177" fontId="18" fillId="4" borderId="5" xfId="1" applyNumberFormat="1" applyFont="1" applyFill="1" applyBorder="1">
      <alignment vertical="center"/>
    </xf>
    <xf numFmtId="177" fontId="18" fillId="4" borderId="17" xfId="1" applyNumberFormat="1" applyFont="1" applyFill="1" applyBorder="1">
      <alignment vertical="center"/>
    </xf>
    <xf numFmtId="177" fontId="18" fillId="13" borderId="14" xfId="1" applyNumberFormat="1" applyFont="1" applyFill="1" applyBorder="1">
      <alignment vertical="center"/>
    </xf>
    <xf numFmtId="177" fontId="18" fillId="13" borderId="0" xfId="1" applyNumberFormat="1" applyFont="1" applyFill="1" applyBorder="1">
      <alignment vertical="center"/>
    </xf>
    <xf numFmtId="177" fontId="18" fillId="13" borderId="15" xfId="1" applyNumberFormat="1" applyFont="1" applyFill="1" applyBorder="1">
      <alignment vertical="center"/>
    </xf>
    <xf numFmtId="0" fontId="26" fillId="8" borderId="12" xfId="0" applyFont="1" applyFill="1" applyBorder="1" applyAlignment="1">
      <alignment horizontal="center" vertical="center"/>
    </xf>
    <xf numFmtId="0" fontId="26" fillId="8" borderId="4" xfId="0" applyFont="1" applyFill="1" applyBorder="1" applyAlignment="1">
      <alignment horizontal="center" vertical="center"/>
    </xf>
    <xf numFmtId="0" fontId="26" fillId="8" borderId="13" xfId="0" applyFont="1" applyFill="1" applyBorder="1" applyAlignment="1">
      <alignment horizontal="center" vertical="center"/>
    </xf>
    <xf numFmtId="0" fontId="26" fillId="8" borderId="14" xfId="0" applyFont="1" applyFill="1" applyBorder="1" applyAlignment="1">
      <alignment horizontal="center" vertical="center"/>
    </xf>
    <xf numFmtId="0" fontId="26" fillId="8" borderId="0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176" fontId="18" fillId="0" borderId="0" xfId="0" applyNumberFormat="1" applyFont="1">
      <alignment vertical="center"/>
    </xf>
    <xf numFmtId="10" fontId="18" fillId="0" borderId="0" xfId="2" applyNumberFormat="1" applyFont="1">
      <alignment vertical="center"/>
    </xf>
    <xf numFmtId="177" fontId="27" fillId="0" borderId="0" xfId="1" applyNumberFormat="1" applyFont="1">
      <alignment vertical="center"/>
    </xf>
    <xf numFmtId="177" fontId="18" fillId="12" borderId="0" xfId="1" applyNumberFormat="1" applyFont="1" applyFill="1">
      <alignment vertical="center"/>
    </xf>
    <xf numFmtId="10" fontId="18" fillId="3" borderId="0" xfId="0" applyNumberFormat="1" applyFont="1" applyFill="1">
      <alignment vertical="center"/>
    </xf>
    <xf numFmtId="0" fontId="18" fillId="0" borderId="1" xfId="0" applyFont="1" applyBorder="1" applyAlignment="1">
      <alignment horizontal="center" vertical="center"/>
    </xf>
    <xf numFmtId="10" fontId="18" fillId="0" borderId="1" xfId="2" applyNumberFormat="1" applyFont="1" applyBorder="1">
      <alignment vertical="center"/>
    </xf>
    <xf numFmtId="0" fontId="21" fillId="0" borderId="1" xfId="0" applyFont="1" applyBorder="1" applyAlignment="1">
      <alignment horizontal="center" vertical="center"/>
    </xf>
    <xf numFmtId="14" fontId="18" fillId="0" borderId="1" xfId="0" applyNumberFormat="1" applyFont="1" applyBorder="1">
      <alignment vertical="center"/>
    </xf>
    <xf numFmtId="177" fontId="18" fillId="0" borderId="1" xfId="1" applyNumberFormat="1" applyFont="1" applyBorder="1">
      <alignment vertical="center"/>
    </xf>
    <xf numFmtId="177" fontId="18" fillId="7" borderId="7" xfId="1" applyNumberFormat="1" applyFont="1" applyFill="1" applyBorder="1" applyAlignment="1">
      <alignment horizontal="left" vertical="center" indent="1"/>
    </xf>
    <xf numFmtId="10" fontId="21" fillId="0" borderId="0" xfId="0" applyNumberFormat="1" applyFont="1">
      <alignment vertical="center"/>
    </xf>
    <xf numFmtId="49" fontId="24" fillId="5" borderId="10" xfId="1" applyNumberFormat="1" applyFont="1" applyFill="1" applyBorder="1" applyAlignment="1">
      <alignment horizontal="center" vertical="center"/>
    </xf>
    <xf numFmtId="180" fontId="18" fillId="6" borderId="6" xfId="1" applyNumberFormat="1" applyFont="1" applyFill="1" applyBorder="1" applyAlignment="1">
      <alignment horizontal="right" vertical="center"/>
    </xf>
    <xf numFmtId="180" fontId="18" fillId="6" borderId="8" xfId="1" applyNumberFormat="1" applyFont="1" applyFill="1" applyBorder="1" applyAlignment="1">
      <alignment horizontal="right" vertical="center"/>
    </xf>
    <xf numFmtId="177" fontId="18" fillId="5" borderId="10" xfId="1" applyNumberFormat="1" applyFont="1" applyFill="1" applyBorder="1" applyAlignment="1">
      <alignment horizontal="right" vertical="center"/>
    </xf>
    <xf numFmtId="177" fontId="18" fillId="5" borderId="5" xfId="1" applyNumberFormat="1" applyFont="1" applyFill="1" applyBorder="1" applyAlignment="1">
      <alignment horizontal="right" vertical="center"/>
    </xf>
    <xf numFmtId="0" fontId="18" fillId="7" borderId="7" xfId="0" applyFont="1" applyFill="1" applyBorder="1" applyAlignment="1">
      <alignment vertical="center"/>
    </xf>
    <xf numFmtId="0" fontId="18" fillId="0" borderId="1" xfId="0" applyFont="1" applyBorder="1">
      <alignment vertical="center"/>
    </xf>
    <xf numFmtId="43" fontId="18" fillId="6" borderId="8" xfId="1" applyFont="1" applyFill="1" applyBorder="1">
      <alignment vertical="center"/>
    </xf>
    <xf numFmtId="3" fontId="18" fillId="0" borderId="0" xfId="0" applyNumberFormat="1" applyFont="1">
      <alignment vertical="center"/>
    </xf>
    <xf numFmtId="0" fontId="18" fillId="7" borderId="7" xfId="0" quotePrefix="1" applyFont="1" applyFill="1" applyBorder="1" applyAlignment="1">
      <alignment horizontal="center" vertical="center"/>
    </xf>
    <xf numFmtId="181" fontId="18" fillId="0" borderId="0" xfId="0" applyNumberFormat="1" applyFont="1">
      <alignment vertical="center"/>
    </xf>
    <xf numFmtId="180" fontId="18" fillId="6" borderId="6" xfId="0" applyNumberFormat="1" applyFont="1" applyFill="1" applyBorder="1" applyAlignment="1">
      <alignment horizontal="right" vertical="center"/>
    </xf>
    <xf numFmtId="180" fontId="18" fillId="6" borderId="8" xfId="0" applyNumberFormat="1" applyFont="1" applyFill="1" applyBorder="1" applyAlignment="1">
      <alignment horizontal="right" vertical="center"/>
    </xf>
    <xf numFmtId="180" fontId="20" fillId="0" borderId="0" xfId="1" applyNumberFormat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180" fontId="18" fillId="7" borderId="7" xfId="0" applyNumberFormat="1" applyFont="1" applyFill="1" applyBorder="1" applyAlignment="1">
      <alignment horizontal="right" vertical="center"/>
    </xf>
    <xf numFmtId="177" fontId="18" fillId="5" borderId="0" xfId="0" applyNumberFormat="1" applyFont="1" applyFill="1">
      <alignment vertical="center"/>
    </xf>
    <xf numFmtId="177" fontId="18" fillId="14" borderId="0" xfId="0" applyNumberFormat="1" applyFont="1" applyFill="1">
      <alignment vertical="center"/>
    </xf>
    <xf numFmtId="177" fontId="18" fillId="9" borderId="0" xfId="1" applyNumberFormat="1" applyFont="1" applyFill="1">
      <alignment vertical="center"/>
    </xf>
    <xf numFmtId="177" fontId="23" fillId="15" borderId="4" xfId="1" applyNumberFormat="1" applyFont="1" applyFill="1" applyBorder="1">
      <alignment vertical="center"/>
    </xf>
    <xf numFmtId="178" fontId="29" fillId="0" borderId="0" xfId="2" applyNumberFormat="1" applyFont="1">
      <alignment vertical="center"/>
    </xf>
    <xf numFmtId="0" fontId="30" fillId="16" borderId="0" xfId="0" applyFont="1" applyFill="1" applyAlignment="1">
      <alignment horizontal="center" vertical="center"/>
    </xf>
    <xf numFmtId="177" fontId="18" fillId="6" borderId="0" xfId="0" applyNumberFormat="1" applyFont="1" applyFill="1">
      <alignment vertical="center"/>
    </xf>
    <xf numFmtId="0" fontId="30" fillId="8" borderId="4" xfId="0" applyFont="1" applyFill="1" applyBorder="1" applyAlignment="1">
      <alignment horizontal="center" vertical="center"/>
    </xf>
    <xf numFmtId="182" fontId="20" fillId="17" borderId="0" xfId="1" applyNumberFormat="1" applyFont="1" applyFill="1">
      <alignment vertical="center"/>
    </xf>
    <xf numFmtId="177" fontId="22" fillId="18" borderId="3" xfId="1" applyNumberFormat="1" applyFont="1" applyFill="1" applyBorder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0" fontId="21" fillId="19" borderId="0" xfId="0" applyFont="1" applyFill="1">
      <alignment vertical="center"/>
    </xf>
    <xf numFmtId="0" fontId="18" fillId="19" borderId="0" xfId="0" applyFont="1" applyFill="1">
      <alignment vertical="center"/>
    </xf>
    <xf numFmtId="0" fontId="31" fillId="19" borderId="21" xfId="0" applyFont="1" applyFill="1" applyBorder="1">
      <alignment vertical="center"/>
    </xf>
    <xf numFmtId="0" fontId="20" fillId="0" borderId="21" xfId="0" applyFont="1" applyBorder="1" applyAlignment="1">
      <alignment horizontal="center" vertical="center"/>
    </xf>
    <xf numFmtId="0" fontId="18" fillId="20" borderId="3" xfId="0" applyFont="1" applyFill="1" applyBorder="1" applyAlignment="1">
      <alignment horizontal="center" vertical="center"/>
    </xf>
    <xf numFmtId="177" fontId="20" fillId="20" borderId="3" xfId="0" applyNumberFormat="1" applyFont="1" applyFill="1" applyBorder="1">
      <alignment vertical="center"/>
    </xf>
    <xf numFmtId="0" fontId="18" fillId="0" borderId="22" xfId="0" applyFont="1" applyBorder="1">
      <alignment vertical="center"/>
    </xf>
    <xf numFmtId="0" fontId="30" fillId="16" borderId="23" xfId="0" applyFont="1" applyFill="1" applyBorder="1" applyAlignment="1">
      <alignment horizontal="center" vertical="center"/>
    </xf>
    <xf numFmtId="177" fontId="18" fillId="6" borderId="23" xfId="0" applyNumberFormat="1" applyFont="1" applyFill="1" applyBorder="1">
      <alignment vertical="center"/>
    </xf>
    <xf numFmtId="177" fontId="18" fillId="6" borderId="24" xfId="0" applyNumberFormat="1" applyFont="1" applyFill="1" applyBorder="1">
      <alignment vertical="center"/>
    </xf>
    <xf numFmtId="0" fontId="18" fillId="0" borderId="0" xfId="0" applyNumberFormat="1" applyFont="1" applyAlignment="1">
      <alignment horizontal="center" vertical="center"/>
    </xf>
    <xf numFmtId="177" fontId="32" fillId="0" borderId="3" xfId="1" applyNumberFormat="1" applyFont="1" applyFill="1" applyBorder="1" applyAlignment="1">
      <alignment horizontal="center" vertical="center"/>
    </xf>
    <xf numFmtId="49" fontId="21" fillId="6" borderId="8" xfId="1" applyNumberFormat="1" applyFont="1" applyFill="1" applyBorder="1" applyAlignment="1">
      <alignment horizontal="center" vertical="center"/>
    </xf>
    <xf numFmtId="49" fontId="21" fillId="6" borderId="6" xfId="1" applyNumberFormat="1" applyFont="1" applyFill="1" applyBorder="1" applyAlignment="1">
      <alignment horizontal="center" vertical="center"/>
    </xf>
    <xf numFmtId="49" fontId="24" fillId="5" borderId="9" xfId="1" applyNumberFormat="1" applyFont="1" applyFill="1" applyBorder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77" fontId="21" fillId="5" borderId="10" xfId="1" applyNumberFormat="1" applyFont="1" applyFill="1" applyBorder="1" applyAlignment="1">
      <alignment horizontal="center" vertical="center"/>
    </xf>
    <xf numFmtId="9" fontId="18" fillId="9" borderId="0" xfId="2" applyFont="1" applyFill="1">
      <alignment vertical="center"/>
    </xf>
    <xf numFmtId="177" fontId="18" fillId="22" borderId="0" xfId="1" applyNumberFormat="1" applyFont="1" applyFill="1">
      <alignment vertical="center"/>
    </xf>
    <xf numFmtId="1" fontId="18" fillId="7" borderId="7" xfId="0" applyNumberFormat="1" applyFont="1" applyFill="1" applyBorder="1" applyAlignment="1">
      <alignment horizontal="center" vertical="center"/>
    </xf>
    <xf numFmtId="182" fontId="18" fillId="0" borderId="0" xfId="0" applyNumberFormat="1" applyFont="1">
      <alignment vertical="center"/>
    </xf>
    <xf numFmtId="1" fontId="18" fillId="7" borderId="7" xfId="0" applyNumberFormat="1" applyFont="1" applyFill="1" applyBorder="1" applyAlignment="1">
      <alignment horizontal="right" vertical="center"/>
    </xf>
    <xf numFmtId="177" fontId="18" fillId="5" borderId="0" xfId="1" applyNumberFormat="1" applyFont="1" applyFill="1">
      <alignment vertical="center"/>
    </xf>
    <xf numFmtId="0" fontId="0" fillId="0" borderId="0" xfId="0" applyAlignment="1">
      <alignment horizontal="center" vertical="center"/>
    </xf>
    <xf numFmtId="177" fontId="0" fillId="23" borderId="0" xfId="1" applyNumberFormat="1" applyFont="1" applyFill="1">
      <alignment vertical="center"/>
    </xf>
    <xf numFmtId="177" fontId="0" fillId="9" borderId="0" xfId="1" applyNumberFormat="1" applyFont="1" applyFill="1">
      <alignment vertical="center"/>
    </xf>
    <xf numFmtId="184" fontId="18" fillId="21" borderId="23" xfId="0" applyNumberFormat="1" applyFont="1" applyFill="1" applyBorder="1" applyAlignment="1">
      <alignment horizontal="center" vertical="center"/>
    </xf>
    <xf numFmtId="185" fontId="18" fillId="0" borderId="0" xfId="0" applyNumberFormat="1" applyFont="1">
      <alignment vertical="center"/>
    </xf>
    <xf numFmtId="177" fontId="18" fillId="0" borderId="21" xfId="0" applyNumberFormat="1" applyFont="1" applyBorder="1">
      <alignment vertical="center"/>
    </xf>
    <xf numFmtId="0" fontId="30" fillId="8" borderId="14" xfId="0" applyFont="1" applyFill="1" applyBorder="1" applyAlignment="1">
      <alignment horizontal="center" vertical="center"/>
    </xf>
    <xf numFmtId="0" fontId="30" fillId="8" borderId="0" xfId="0" applyFont="1" applyFill="1" applyBorder="1" applyAlignment="1">
      <alignment horizontal="center" vertical="center"/>
    </xf>
    <xf numFmtId="0" fontId="30" fillId="8" borderId="15" xfId="0" applyFont="1" applyFill="1" applyBorder="1" applyAlignment="1">
      <alignment horizontal="center" vertical="center"/>
    </xf>
    <xf numFmtId="178" fontId="18" fillId="0" borderId="25" xfId="2" applyNumberFormat="1" applyFont="1" applyBorder="1">
      <alignment vertical="center"/>
    </xf>
    <xf numFmtId="178" fontId="18" fillId="0" borderId="26" xfId="2" applyNumberFormat="1" applyFont="1" applyBorder="1">
      <alignment vertical="center"/>
    </xf>
    <xf numFmtId="178" fontId="18" fillId="0" borderId="27" xfId="2" applyNumberFormat="1" applyFont="1" applyBorder="1">
      <alignment vertical="center"/>
    </xf>
    <xf numFmtId="178" fontId="18" fillId="0" borderId="25" xfId="2" applyNumberFormat="1" applyFont="1" applyBorder="1" applyAlignment="1">
      <alignment horizontal="center" vertical="center"/>
    </xf>
    <xf numFmtId="184" fontId="18" fillId="0" borderId="0" xfId="0" applyNumberFormat="1" applyFont="1" applyAlignment="1">
      <alignment horizontal="center" vertical="center"/>
    </xf>
    <xf numFmtId="177" fontId="18" fillId="13" borderId="28" xfId="1" applyNumberFormat="1" applyFont="1" applyFill="1" applyBorder="1">
      <alignment vertical="center"/>
    </xf>
    <xf numFmtId="177" fontId="18" fillId="13" borderId="29" xfId="1" applyNumberFormat="1" applyFont="1" applyFill="1" applyBorder="1">
      <alignment vertical="center"/>
    </xf>
    <xf numFmtId="177" fontId="18" fillId="13" borderId="30" xfId="1" applyNumberFormat="1" applyFont="1" applyFill="1" applyBorder="1">
      <alignment vertical="center"/>
    </xf>
    <xf numFmtId="177" fontId="18" fillId="13" borderId="31" xfId="1" applyNumberFormat="1" applyFont="1" applyFill="1" applyBorder="1">
      <alignment vertical="center"/>
    </xf>
    <xf numFmtId="177" fontId="18" fillId="13" borderId="32" xfId="1" applyNumberFormat="1" applyFont="1" applyFill="1" applyBorder="1">
      <alignment vertical="center"/>
    </xf>
    <xf numFmtId="177" fontId="18" fillId="4" borderId="31" xfId="1" applyNumberFormat="1" applyFont="1" applyFill="1" applyBorder="1">
      <alignment vertical="center"/>
    </xf>
    <xf numFmtId="177" fontId="18" fillId="4" borderId="32" xfId="1" applyNumberFormat="1" applyFont="1" applyFill="1" applyBorder="1">
      <alignment vertical="center"/>
    </xf>
    <xf numFmtId="177" fontId="18" fillId="13" borderId="33" xfId="1" applyNumberFormat="1" applyFont="1" applyFill="1" applyBorder="1">
      <alignment vertical="center"/>
    </xf>
    <xf numFmtId="177" fontId="18" fillId="4" borderId="33" xfId="1" applyNumberFormat="1" applyFont="1" applyFill="1" applyBorder="1">
      <alignment vertical="center"/>
    </xf>
    <xf numFmtId="177" fontId="18" fillId="13" borderId="34" xfId="1" applyNumberFormat="1" applyFont="1" applyFill="1" applyBorder="1">
      <alignment vertical="center"/>
    </xf>
    <xf numFmtId="177" fontId="18" fillId="13" borderId="35" xfId="1" applyNumberFormat="1" applyFont="1" applyFill="1" applyBorder="1">
      <alignment vertical="center"/>
    </xf>
    <xf numFmtId="177" fontId="18" fillId="13" borderId="36" xfId="1" applyNumberFormat="1" applyFont="1" applyFill="1" applyBorder="1">
      <alignment vertical="center"/>
    </xf>
    <xf numFmtId="177" fontId="18" fillId="13" borderId="37" xfId="1" applyNumberFormat="1" applyFont="1" applyFill="1" applyBorder="1">
      <alignment vertical="center"/>
    </xf>
    <xf numFmtId="177" fontId="18" fillId="13" borderId="38" xfId="1" applyNumberFormat="1" applyFont="1" applyFill="1" applyBorder="1">
      <alignment vertical="center"/>
    </xf>
    <xf numFmtId="177" fontId="18" fillId="4" borderId="37" xfId="1" applyNumberFormat="1" applyFont="1" applyFill="1" applyBorder="1">
      <alignment vertical="center"/>
    </xf>
    <xf numFmtId="177" fontId="18" fillId="4" borderId="38" xfId="1" applyNumberFormat="1" applyFont="1" applyFill="1" applyBorder="1">
      <alignment vertical="center"/>
    </xf>
    <xf numFmtId="177" fontId="18" fillId="4" borderId="39" xfId="1" applyNumberFormat="1" applyFont="1" applyFill="1" applyBorder="1">
      <alignment vertical="center"/>
    </xf>
    <xf numFmtId="177" fontId="18" fillId="4" borderId="40" xfId="1" applyNumberFormat="1" applyFont="1" applyFill="1" applyBorder="1">
      <alignment vertical="center"/>
    </xf>
    <xf numFmtId="177" fontId="18" fillId="4" borderId="41" xfId="1" applyNumberFormat="1" applyFont="1" applyFill="1" applyBorder="1">
      <alignment vertical="center"/>
    </xf>
    <xf numFmtId="178" fontId="18" fillId="0" borderId="42" xfId="2" applyNumberFormat="1" applyFont="1" applyBorder="1" applyAlignment="1">
      <alignment horizontal="center" vertical="center"/>
    </xf>
    <xf numFmtId="178" fontId="18" fillId="0" borderId="43" xfId="2" applyNumberFormat="1" applyFont="1" applyBorder="1">
      <alignment vertical="center"/>
    </xf>
    <xf numFmtId="177" fontId="18" fillId="4" borderId="44" xfId="1" applyNumberFormat="1" applyFont="1" applyFill="1" applyBorder="1">
      <alignment vertical="center"/>
    </xf>
    <xf numFmtId="177" fontId="18" fillId="4" borderId="45" xfId="1" applyNumberFormat="1" applyFont="1" applyFill="1" applyBorder="1">
      <alignment vertical="center"/>
    </xf>
    <xf numFmtId="183" fontId="33" fillId="0" borderId="0" xfId="0" applyNumberFormat="1" applyFont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9" fontId="20" fillId="7" borderId="0" xfId="2" applyNumberFormat="1" applyFont="1" applyFill="1" applyAlignment="1">
      <alignment horizontal="center" vertical="center"/>
    </xf>
    <xf numFmtId="10" fontId="21" fillId="0" borderId="0" xfId="2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177" fontId="4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183" fontId="33" fillId="0" borderId="0" xfId="0" quotePrefix="1" applyNumberFormat="1" applyFont="1" applyAlignment="1">
      <alignment horizontal="center" vertical="center"/>
    </xf>
    <xf numFmtId="10" fontId="18" fillId="0" borderId="1" xfId="2" applyNumberFormat="1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177" fontId="18" fillId="0" borderId="1" xfId="1" applyNumberFormat="1" applyFont="1" applyBorder="1" applyAlignment="1">
      <alignment horizontal="center" vertical="center"/>
    </xf>
    <xf numFmtId="180" fontId="0" fillId="6" borderId="8" xfId="1" applyNumberFormat="1" applyFont="1" applyFill="1" applyBorder="1">
      <alignment vertical="center"/>
    </xf>
    <xf numFmtId="177" fontId="18" fillId="5" borderId="9" xfId="1" applyNumberFormat="1" applyFont="1" applyFill="1" applyBorder="1" applyAlignment="1">
      <alignment vertical="center"/>
    </xf>
    <xf numFmtId="0" fontId="24" fillId="0" borderId="0" xfId="0" applyFont="1" applyAlignment="1">
      <alignment horizontal="center" vertical="center"/>
    </xf>
    <xf numFmtId="177" fontId="18" fillId="24" borderId="0" xfId="0" applyNumberFormat="1" applyFont="1" applyFill="1">
      <alignment vertical="center"/>
    </xf>
    <xf numFmtId="0" fontId="18" fillId="0" borderId="0" xfId="0" applyFont="1" applyBorder="1" applyAlignment="1">
      <alignment horizontal="center" vertical="center"/>
    </xf>
    <xf numFmtId="9" fontId="18" fillId="0" borderId="0" xfId="2" applyNumberFormat="1" applyFont="1">
      <alignment vertical="center"/>
    </xf>
    <xf numFmtId="186" fontId="20" fillId="7" borderId="0" xfId="2" applyNumberFormat="1" applyFont="1" applyFill="1" applyAlignment="1">
      <alignment horizontal="center" vertical="center"/>
    </xf>
    <xf numFmtId="180" fontId="18" fillId="2" borderId="8" xfId="0" applyNumberFormat="1" applyFont="1" applyFill="1" applyBorder="1">
      <alignment vertical="center"/>
    </xf>
    <xf numFmtId="178" fontId="18" fillId="0" borderId="42" xfId="2" applyNumberFormat="1" applyFont="1" applyBorder="1" applyAlignment="1">
      <alignment horizontal="center" vertical="center"/>
    </xf>
    <xf numFmtId="186" fontId="18" fillId="7" borderId="34" xfId="2" applyNumberFormat="1" applyFont="1" applyFill="1" applyBorder="1" applyAlignment="1">
      <alignment horizontal="center" vertical="center"/>
    </xf>
    <xf numFmtId="186" fontId="18" fillId="7" borderId="35" xfId="2" applyNumberFormat="1" applyFont="1" applyFill="1" applyBorder="1" applyAlignment="1">
      <alignment horizontal="center" vertical="center"/>
    </xf>
    <xf numFmtId="186" fontId="18" fillId="7" borderId="46" xfId="2" applyNumberFormat="1" applyFont="1" applyFill="1" applyBorder="1" applyAlignment="1">
      <alignment horizontal="center" vertical="center"/>
    </xf>
    <xf numFmtId="186" fontId="18" fillId="7" borderId="34" xfId="2" applyNumberFormat="1" applyFont="1" applyFill="1" applyBorder="1">
      <alignment vertical="center"/>
    </xf>
    <xf numFmtId="186" fontId="18" fillId="7" borderId="35" xfId="2" applyNumberFormat="1" applyFont="1" applyFill="1" applyBorder="1">
      <alignment vertical="center"/>
    </xf>
    <xf numFmtId="186" fontId="18" fillId="7" borderId="36" xfId="2" applyNumberFormat="1" applyFont="1" applyFill="1" applyBorder="1">
      <alignment vertical="center"/>
    </xf>
    <xf numFmtId="186" fontId="18" fillId="7" borderId="47" xfId="2" applyNumberFormat="1" applyFont="1" applyFill="1" applyBorder="1">
      <alignment vertical="center"/>
    </xf>
    <xf numFmtId="177" fontId="18" fillId="7" borderId="48" xfId="1" applyNumberFormat="1" applyFont="1" applyFill="1" applyBorder="1" applyAlignment="1">
      <alignment horizontal="center" vertical="center"/>
    </xf>
    <xf numFmtId="177" fontId="18" fillId="7" borderId="49" xfId="1" applyNumberFormat="1" applyFont="1" applyFill="1" applyBorder="1" applyAlignment="1">
      <alignment horizontal="center" vertical="center"/>
    </xf>
    <xf numFmtId="177" fontId="18" fillId="7" borderId="50" xfId="1" applyNumberFormat="1" applyFont="1" applyFill="1" applyBorder="1" applyAlignment="1">
      <alignment horizontal="center" vertical="center"/>
    </xf>
    <xf numFmtId="177" fontId="18" fillId="7" borderId="51" xfId="1" applyNumberFormat="1" applyFont="1" applyFill="1" applyBorder="1" applyAlignment="1">
      <alignment horizontal="center" vertical="center"/>
    </xf>
    <xf numFmtId="177" fontId="18" fillId="7" borderId="52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1" xfId="0" applyNumberFormat="1" applyFont="1" applyBorder="1">
      <alignment vertical="center"/>
    </xf>
    <xf numFmtId="177" fontId="18" fillId="0" borderId="1" xfId="0" applyNumberFormat="1" applyFont="1" applyBorder="1">
      <alignment vertical="center"/>
    </xf>
    <xf numFmtId="177" fontId="18" fillId="13" borderId="0" xfId="0" applyNumberFormat="1" applyFont="1" applyFill="1">
      <alignment vertical="center"/>
    </xf>
    <xf numFmtId="177" fontId="18" fillId="13" borderId="0" xfId="1" applyNumberFormat="1" applyFont="1" applyFill="1">
      <alignment vertical="center"/>
    </xf>
    <xf numFmtId="0" fontId="30" fillId="8" borderId="12" xfId="0" applyFont="1" applyFill="1" applyBorder="1" applyAlignment="1">
      <alignment horizontal="center" vertical="center"/>
    </xf>
    <xf numFmtId="0" fontId="30" fillId="8" borderId="13" xfId="0" applyFont="1" applyFill="1" applyBorder="1" applyAlignment="1">
      <alignment horizontal="center" vertical="center"/>
    </xf>
    <xf numFmtId="0" fontId="26" fillId="8" borderId="18" xfId="0" applyFont="1" applyFill="1" applyBorder="1" applyAlignment="1">
      <alignment horizontal="center" vertical="center"/>
    </xf>
    <xf numFmtId="0" fontId="26" fillId="8" borderId="19" xfId="0" applyFont="1" applyFill="1" applyBorder="1" applyAlignment="1">
      <alignment horizontal="center" vertical="center"/>
    </xf>
    <xf numFmtId="0" fontId="26" fillId="8" borderId="20" xfId="0" applyFont="1" applyFill="1" applyBorder="1" applyAlignment="1">
      <alignment horizontal="center" vertical="center"/>
    </xf>
    <xf numFmtId="177" fontId="18" fillId="13" borderId="16" xfId="1" applyNumberFormat="1" applyFont="1" applyFill="1" applyBorder="1">
      <alignment vertical="center"/>
    </xf>
    <xf numFmtId="177" fontId="18" fillId="13" borderId="44" xfId="1" applyNumberFormat="1" applyFont="1" applyFill="1" applyBorder="1">
      <alignment vertical="center"/>
    </xf>
    <xf numFmtId="177" fontId="18" fillId="13" borderId="5" xfId="1" applyNumberFormat="1" applyFont="1" applyFill="1" applyBorder="1">
      <alignment vertical="center"/>
    </xf>
    <xf numFmtId="177" fontId="18" fillId="13" borderId="45" xfId="1" applyNumberFormat="1" applyFont="1" applyFill="1" applyBorder="1">
      <alignment vertical="center"/>
    </xf>
    <xf numFmtId="177" fontId="18" fillId="13" borderId="39" xfId="1" applyNumberFormat="1" applyFont="1" applyFill="1" applyBorder="1">
      <alignment vertical="center"/>
    </xf>
    <xf numFmtId="177" fontId="18" fillId="13" borderId="40" xfId="1" applyNumberFormat="1" applyFont="1" applyFill="1" applyBorder="1">
      <alignment vertical="center"/>
    </xf>
    <xf numFmtId="177" fontId="18" fillId="13" borderId="41" xfId="1" applyNumberFormat="1" applyFont="1" applyFill="1" applyBorder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7" fontId="18" fillId="11" borderId="0" xfId="0" applyNumberFormat="1" applyFont="1" applyFill="1" applyAlignment="1">
      <alignment vertical="center"/>
    </xf>
    <xf numFmtId="0" fontId="18" fillId="11" borderId="0" xfId="0" applyFont="1" applyFill="1" applyAlignment="1">
      <alignment vertical="center"/>
    </xf>
    <xf numFmtId="0" fontId="0" fillId="0" borderId="0" xfId="0" applyAlignment="1">
      <alignment vertical="center"/>
    </xf>
    <xf numFmtId="177" fontId="18" fillId="10" borderId="0" xfId="0" applyNumberFormat="1" applyFont="1" applyFill="1" applyAlignment="1">
      <alignment vertical="center"/>
    </xf>
    <xf numFmtId="0" fontId="18" fillId="10" borderId="0" xfId="0" applyFont="1" applyFill="1" applyAlignment="1">
      <alignment vertical="center"/>
    </xf>
    <xf numFmtId="177" fontId="18" fillId="12" borderId="0" xfId="0" applyNumberFormat="1" applyFont="1" applyFill="1" applyAlignment="1">
      <alignment vertical="center"/>
    </xf>
    <xf numFmtId="0" fontId="18" fillId="12" borderId="0" xfId="0" applyFont="1" applyFill="1" applyAlignment="1">
      <alignment vertical="center"/>
    </xf>
    <xf numFmtId="178" fontId="18" fillId="0" borderId="42" xfId="2" applyNumberFormat="1" applyFont="1" applyFill="1" applyBorder="1" applyAlignment="1">
      <alignment horizontal="center" vertical="center"/>
    </xf>
    <xf numFmtId="178" fontId="18" fillId="0" borderId="19" xfId="2" applyNumberFormat="1" applyFont="1" applyFill="1" applyBorder="1" applyAlignment="1">
      <alignment horizontal="center" vertical="center"/>
    </xf>
    <xf numFmtId="178" fontId="18" fillId="0" borderId="43" xfId="2" applyNumberFormat="1" applyFont="1" applyFill="1" applyBorder="1" applyAlignment="1">
      <alignment horizontal="center" vertical="center"/>
    </xf>
    <xf numFmtId="178" fontId="18" fillId="0" borderId="42" xfId="2" applyNumberFormat="1" applyFont="1" applyBorder="1" applyAlignment="1">
      <alignment horizontal="center" vertical="center"/>
    </xf>
    <xf numFmtId="178" fontId="18" fillId="0" borderId="43" xfId="2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8" fontId="18" fillId="0" borderId="18" xfId="2" applyNumberFormat="1" applyFont="1" applyBorder="1" applyAlignment="1">
      <alignment horizontal="center" vertical="center"/>
    </xf>
    <xf numFmtId="178" fontId="0" fillId="0" borderId="19" xfId="2" applyNumberFormat="1" applyFont="1" applyBorder="1" applyAlignment="1">
      <alignment horizontal="center" vertical="center"/>
    </xf>
    <xf numFmtId="178" fontId="0" fillId="0" borderId="20" xfId="2" applyNumberFormat="1" applyFont="1" applyBorder="1" applyAlignment="1">
      <alignment horizontal="center" vertical="center"/>
    </xf>
    <xf numFmtId="178" fontId="18" fillId="0" borderId="26" xfId="2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18" fillId="0" borderId="26" xfId="2" applyNumberFormat="1" applyFont="1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186" fontId="18" fillId="7" borderId="35" xfId="2" applyNumberFormat="1" applyFont="1" applyFill="1" applyBorder="1" applyAlignment="1">
      <alignment horizontal="center" vertical="center"/>
    </xf>
    <xf numFmtId="186" fontId="0" fillId="7" borderId="35" xfId="0" applyNumberForma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72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'2024'!$A$1:$A$3</c:f>
              <c:strCache>
                <c:ptCount val="3"/>
                <c:pt idx="0">
                  <c:v>生活</c:v>
                </c:pt>
                <c:pt idx="1">
                  <c:v>想要&amp;奢侈品</c:v>
                </c:pt>
                <c:pt idx="2">
                  <c:v>一次性支出</c:v>
                </c:pt>
              </c:strCache>
            </c:strRef>
          </c:cat>
          <c:val>
            <c:numRef>
              <c:f>'2024'!$C$1:$C$3</c:f>
              <c:numCache>
                <c:formatCode>0%</c:formatCode>
                <c:ptCount val="3"/>
                <c:pt idx="0">
                  <c:v>0.45084877048362537</c:v>
                </c:pt>
                <c:pt idx="1">
                  <c:v>5.6997169109842281E-2</c:v>
                </c:pt>
                <c:pt idx="2">
                  <c:v>0.49215406040653231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4-406F-BF3C-9144D59E6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613398603924542E-2"/>
          <c:y val="0.11635562442101707"/>
          <c:w val="0.88959552965587396"/>
          <c:h val="0.8164503250941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'2024'!$W$9</c:f>
              <c:strCache>
                <c:ptCount val="1"/>
                <c:pt idx="0">
                  <c:v>生活</c:v>
                </c:pt>
              </c:strCache>
            </c:strRef>
          </c:tx>
          <c:invertIfNegative val="0"/>
          <c:cat>
            <c:numRef>
              <c:f>'2024'!$V$10:$V$21</c:f>
              <c:numCache>
                <c:formatCode>General</c:formatCode>
                <c:ptCount val="1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</c:numCache>
            </c:numRef>
          </c:cat>
          <c:val>
            <c:numRef>
              <c:f>'2024'!$W$10:$W$21</c:f>
              <c:numCache>
                <c:formatCode>_-* #,##0_-;\-* #,##0_-;_-* "-"??_-;_-@_-</c:formatCode>
                <c:ptCount val="12"/>
                <c:pt idx="0">
                  <c:v>70147</c:v>
                </c:pt>
                <c:pt idx="1">
                  <c:v>91362</c:v>
                </c:pt>
                <c:pt idx="2">
                  <c:v>145225</c:v>
                </c:pt>
                <c:pt idx="3">
                  <c:v>90131</c:v>
                </c:pt>
                <c:pt idx="4">
                  <c:v>98046</c:v>
                </c:pt>
                <c:pt idx="5">
                  <c:v>89519</c:v>
                </c:pt>
                <c:pt idx="6">
                  <c:v>72519</c:v>
                </c:pt>
                <c:pt idx="7">
                  <c:v>28457</c:v>
                </c:pt>
                <c:pt idx="8">
                  <c:v>115276</c:v>
                </c:pt>
                <c:pt idx="9">
                  <c:v>73556</c:v>
                </c:pt>
                <c:pt idx="10">
                  <c:v>61366</c:v>
                </c:pt>
                <c:pt idx="11">
                  <c:v>66002.333333333328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5-47FF-95C3-DA93AFD621B2}"/>
            </c:ext>
          </c:extLst>
        </c:ser>
        <c:ser>
          <c:idx val="1"/>
          <c:order val="1"/>
          <c:tx>
            <c:strRef>
              <c:f>'2024'!$X$9</c:f>
              <c:strCache>
                <c:ptCount val="1"/>
                <c:pt idx="0">
                  <c:v>想要&amp;奢侈品</c:v>
                </c:pt>
              </c:strCache>
            </c:strRef>
          </c:tx>
          <c:invertIfNegative val="0"/>
          <c:cat>
            <c:numRef>
              <c:f>'2024'!$V$10:$V$21</c:f>
              <c:numCache>
                <c:formatCode>General</c:formatCode>
                <c:ptCount val="1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</c:numCache>
            </c:numRef>
          </c:cat>
          <c:val>
            <c:numRef>
              <c:f>'2024'!$X$10:$X$21</c:f>
              <c:numCache>
                <c:formatCode>_-* #,##0_-;\-* #,##0_-;_-* "-"??_-;_-@_-</c:formatCode>
                <c:ptCount val="12"/>
                <c:pt idx="0">
                  <c:v>9116</c:v>
                </c:pt>
                <c:pt idx="1">
                  <c:v>9469</c:v>
                </c:pt>
                <c:pt idx="2">
                  <c:v>9920</c:v>
                </c:pt>
                <c:pt idx="3">
                  <c:v>7900</c:v>
                </c:pt>
                <c:pt idx="4">
                  <c:v>15200</c:v>
                </c:pt>
                <c:pt idx="5">
                  <c:v>3949</c:v>
                </c:pt>
                <c:pt idx="6">
                  <c:v>36940</c:v>
                </c:pt>
                <c:pt idx="7">
                  <c:v>802</c:v>
                </c:pt>
                <c:pt idx="8">
                  <c:v>1900</c:v>
                </c:pt>
                <c:pt idx="9">
                  <c:v>1605</c:v>
                </c:pt>
                <c:pt idx="10">
                  <c:v>14122</c:v>
                </c:pt>
                <c:pt idx="11">
                  <c:v>15702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65-47FF-95C3-DA93AFD621B2}"/>
            </c:ext>
          </c:extLst>
        </c:ser>
        <c:ser>
          <c:idx val="2"/>
          <c:order val="2"/>
          <c:tx>
            <c:strRef>
              <c:f>'2024'!$Y$9</c:f>
              <c:strCache>
                <c:ptCount val="1"/>
                <c:pt idx="0">
                  <c:v>一次性支出</c:v>
                </c:pt>
              </c:strCache>
            </c:strRef>
          </c:tx>
          <c:invertIfNegative val="0"/>
          <c:cat>
            <c:numRef>
              <c:f>'2024'!$V$10:$V$21</c:f>
              <c:numCache>
                <c:formatCode>General</c:formatCode>
                <c:ptCount val="1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</c:numCache>
            </c:numRef>
          </c:cat>
          <c:val>
            <c:numRef>
              <c:f>'2024'!$Y$10:$Y$21</c:f>
              <c:numCache>
                <c:formatCode>_-* #,##0_-;\-* #,##0_-;_-* "-"??_-;_-@_-</c:formatCode>
                <c:ptCount val="12"/>
                <c:pt idx="0">
                  <c:v>191040</c:v>
                </c:pt>
                <c:pt idx="1">
                  <c:v>55526</c:v>
                </c:pt>
                <c:pt idx="2">
                  <c:v>8148</c:v>
                </c:pt>
                <c:pt idx="3">
                  <c:v>41411</c:v>
                </c:pt>
                <c:pt idx="4">
                  <c:v>60498</c:v>
                </c:pt>
                <c:pt idx="5">
                  <c:v>18015</c:v>
                </c:pt>
                <c:pt idx="6">
                  <c:v>29589</c:v>
                </c:pt>
                <c:pt idx="7">
                  <c:v>483914.5</c:v>
                </c:pt>
                <c:pt idx="8">
                  <c:v>156326</c:v>
                </c:pt>
                <c:pt idx="9">
                  <c:v>10666</c:v>
                </c:pt>
                <c:pt idx="10">
                  <c:v>34828.729999999996</c:v>
                </c:pt>
                <c:pt idx="11">
                  <c:v>3408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65-47FF-95C3-DA93AFD62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849216"/>
        <c:axId val="959850752"/>
      </c:barChart>
      <c:lineChart>
        <c:grouping val="standard"/>
        <c:varyColors val="0"/>
        <c:ser>
          <c:idx val="3"/>
          <c:order val="3"/>
          <c:tx>
            <c:strRef>
              <c:f>'2024'!$Z$9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cat>
            <c:numRef>
              <c:f>'2024'!$V$10:$V$21</c:f>
              <c:numCache>
                <c:formatCode>General</c:formatCode>
                <c:ptCount val="1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</c:numCache>
            </c:numRef>
          </c:cat>
          <c:val>
            <c:numRef>
              <c:f>'2024'!$Z$10:$Z$21</c:f>
              <c:numCache>
                <c:formatCode>_-* #,##0_-;\-* #,##0_-;_-* "-"??_-;_-@_-</c:formatCode>
                <c:ptCount val="12"/>
                <c:pt idx="0">
                  <c:v>270303</c:v>
                </c:pt>
                <c:pt idx="1">
                  <c:v>156357</c:v>
                </c:pt>
                <c:pt idx="2">
                  <c:v>163293</c:v>
                </c:pt>
                <c:pt idx="3">
                  <c:v>139442</c:v>
                </c:pt>
                <c:pt idx="4">
                  <c:v>173744</c:v>
                </c:pt>
                <c:pt idx="5">
                  <c:v>111483</c:v>
                </c:pt>
                <c:pt idx="6">
                  <c:v>139048</c:v>
                </c:pt>
                <c:pt idx="7">
                  <c:v>513173.5</c:v>
                </c:pt>
                <c:pt idx="8">
                  <c:v>273502</c:v>
                </c:pt>
                <c:pt idx="9">
                  <c:v>85827</c:v>
                </c:pt>
                <c:pt idx="10">
                  <c:v>110316.73</c:v>
                </c:pt>
                <c:pt idx="11">
                  <c:v>85112.333333333328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65-47FF-95C3-DA93AFD62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849216"/>
        <c:axId val="959850752"/>
      </c:lineChart>
      <c:catAx>
        <c:axId val="95984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9850752"/>
        <c:crosses val="autoZero"/>
        <c:auto val="1"/>
        <c:lblAlgn val="ctr"/>
        <c:lblOffset val="100"/>
        <c:noMultiLvlLbl val="0"/>
      </c:catAx>
      <c:valAx>
        <c:axId val="959850752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95984921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生活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8C-4CF0-9C43-9C7F436757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8C-4CF0-9C43-9C7F436757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8C-4CF0-9C43-9C7F436757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8C-4CF0-9C43-9C7F436757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8C-4CF0-9C43-9C7F436757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8C-4CF0-9C43-9C7F436757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8C-4CF0-9C43-9C7F436757D8}"/>
              </c:ext>
            </c:extLst>
          </c:dPt>
          <c:cat>
            <c:strRef>
              <c:f>'2024'!$AE$9:$AK$9</c:f>
              <c:strCache>
                <c:ptCount val="7"/>
                <c:pt idx="0">
                  <c:v>食</c:v>
                </c:pt>
                <c:pt idx="1">
                  <c:v>衣</c:v>
                </c:pt>
                <c:pt idx="2">
                  <c:v>住</c:v>
                </c:pt>
                <c:pt idx="3">
                  <c:v>行</c:v>
                </c:pt>
                <c:pt idx="4">
                  <c:v>育-基本</c:v>
                </c:pt>
                <c:pt idx="5">
                  <c:v>育-才藝</c:v>
                </c:pt>
                <c:pt idx="6">
                  <c:v>醫療費用</c:v>
                </c:pt>
              </c:strCache>
            </c:strRef>
          </c:cat>
          <c:val>
            <c:numRef>
              <c:f>'2024'!$AE$5:$AK$5</c:f>
              <c:numCache>
                <c:formatCode>_-* #,##0_-;\-* #,##0_-;_-* "-"??_-;_-@_-</c:formatCode>
                <c:ptCount val="7"/>
                <c:pt idx="0">
                  <c:v>329501</c:v>
                </c:pt>
                <c:pt idx="1">
                  <c:v>20649</c:v>
                </c:pt>
                <c:pt idx="2">
                  <c:v>79384</c:v>
                </c:pt>
                <c:pt idx="3">
                  <c:v>78715</c:v>
                </c:pt>
                <c:pt idx="4">
                  <c:v>346741</c:v>
                </c:pt>
                <c:pt idx="5">
                  <c:v>130035</c:v>
                </c:pt>
                <c:pt idx="6">
                  <c:v>16581.333333333332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28C-4CF0-9C43-9C7F43675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想要</a:t>
            </a:r>
            <a:r>
              <a:rPr lang="en-US" altLang="zh-TW"/>
              <a:t>&amp;</a:t>
            </a:r>
            <a:r>
              <a:rPr lang="zh-TW" altLang="en-US"/>
              <a:t>奢侈品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14-40E4-8BEB-3C827F6295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14-40E4-8BEB-3C827F6295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14-40E4-8BEB-3C827F6295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14-40E4-8BEB-3C827F6295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14-40E4-8BEB-3C827F6295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14-40E4-8BEB-3C827F6295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514-40E4-8BEB-3C827F62955C}"/>
              </c:ext>
            </c:extLst>
          </c:dPt>
          <c:cat>
            <c:strRef>
              <c:f>'2024'!$AL$9:$AP$9</c:f>
              <c:strCache>
                <c:ptCount val="5"/>
                <c:pt idx="0">
                  <c:v>N</c:v>
                </c:pt>
                <c:pt idx="1">
                  <c:v>A</c:v>
                </c:pt>
                <c:pt idx="2">
                  <c:v>L</c:v>
                </c:pt>
                <c:pt idx="3">
                  <c:v>D</c:v>
                </c:pt>
                <c:pt idx="4">
                  <c:v>其它</c:v>
                </c:pt>
              </c:strCache>
            </c:strRef>
          </c:cat>
          <c:val>
            <c:numRef>
              <c:f>'2024'!$AL$5:$AP$5</c:f>
              <c:numCache>
                <c:formatCode>_-* #,##0_-;\-* #,##0_-;_-* "-"??_-;_-@_-</c:formatCode>
                <c:ptCount val="5"/>
                <c:pt idx="0">
                  <c:v>73462</c:v>
                </c:pt>
                <c:pt idx="1">
                  <c:v>21510</c:v>
                </c:pt>
                <c:pt idx="2">
                  <c:v>12167</c:v>
                </c:pt>
                <c:pt idx="3">
                  <c:v>8151</c:v>
                </c:pt>
                <c:pt idx="4">
                  <c:v>11335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14-40E4-8BEB-3C827F629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一次性支出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75-4681-AC19-97A104F649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75-4681-AC19-97A104F649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75-4681-AC19-97A104F649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75-4681-AC19-97A104F649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675-4681-AC19-97A104F649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675-4681-AC19-97A104F649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675-4681-AC19-97A104F6492A}"/>
              </c:ext>
            </c:extLst>
          </c:dPt>
          <c:cat>
            <c:strRef>
              <c:f>'2024'!$AQ$9:$AU$9</c:f>
              <c:strCache>
                <c:ptCount val="5"/>
                <c:pt idx="0">
                  <c:v>旅遊</c:v>
                </c:pt>
                <c:pt idx="1">
                  <c:v>家庭聚會</c:v>
                </c:pt>
                <c:pt idx="2">
                  <c:v>稅費</c:v>
                </c:pt>
                <c:pt idx="3">
                  <c:v>保險</c:v>
                </c:pt>
                <c:pt idx="4">
                  <c:v>其它</c:v>
                </c:pt>
              </c:strCache>
            </c:strRef>
          </c:cat>
          <c:val>
            <c:numRef>
              <c:f>'2024'!$AQ$5:$AU$5</c:f>
              <c:numCache>
                <c:formatCode>_-* #,##0_-;\-* #,##0_-;_-* "-"??_-;_-@_-</c:formatCode>
                <c:ptCount val="5"/>
                <c:pt idx="0">
                  <c:v>886419.23</c:v>
                </c:pt>
                <c:pt idx="1">
                  <c:v>25706</c:v>
                </c:pt>
                <c:pt idx="2">
                  <c:v>79666</c:v>
                </c:pt>
                <c:pt idx="3">
                  <c:v>55049</c:v>
                </c:pt>
                <c:pt idx="4">
                  <c:v>46530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675-4681-AC19-97A104F64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'2023'!$A$1:$A$3</c:f>
              <c:strCache>
                <c:ptCount val="3"/>
                <c:pt idx="0">
                  <c:v>生活</c:v>
                </c:pt>
                <c:pt idx="1">
                  <c:v>想要&amp;奢侈品</c:v>
                </c:pt>
                <c:pt idx="2">
                  <c:v>一次性支出</c:v>
                </c:pt>
              </c:strCache>
            </c:strRef>
          </c:cat>
          <c:val>
            <c:numRef>
              <c:f>'2023'!$C$1:$C$3</c:f>
              <c:numCache>
                <c:formatCode>0%</c:formatCode>
                <c:ptCount val="3"/>
                <c:pt idx="0">
                  <c:v>0.453651678249611</c:v>
                </c:pt>
                <c:pt idx="1">
                  <c:v>7.1359642185574348E-2</c:v>
                </c:pt>
                <c:pt idx="2">
                  <c:v>0.47498867956481472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9-48BD-A029-257C90C85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613398603924542E-2"/>
          <c:y val="0.11635562442101707"/>
          <c:w val="0.88959552965587396"/>
          <c:h val="0.8164503250941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'2023'!$W$9</c:f>
              <c:strCache>
                <c:ptCount val="1"/>
                <c:pt idx="0">
                  <c:v>生活</c:v>
                </c:pt>
              </c:strCache>
            </c:strRef>
          </c:tx>
          <c:invertIfNegative val="0"/>
          <c:cat>
            <c:numRef>
              <c:f>'2023'!$V$10:$V$21</c:f>
              <c:numCache>
                <c:formatCode>General</c:formatCode>
                <c:ptCount val="12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</c:numCache>
            </c:numRef>
          </c:cat>
          <c:val>
            <c:numRef>
              <c:f>'2023'!$W$10:$W$21</c:f>
              <c:numCache>
                <c:formatCode>_-* #,##0_-;\-* #,##0_-;_-* "-"??_-;_-@_-</c:formatCode>
                <c:ptCount val="12"/>
                <c:pt idx="0">
                  <c:v>79200</c:v>
                </c:pt>
                <c:pt idx="1">
                  <c:v>89755</c:v>
                </c:pt>
                <c:pt idx="2">
                  <c:v>106277</c:v>
                </c:pt>
                <c:pt idx="3">
                  <c:v>83077</c:v>
                </c:pt>
                <c:pt idx="4">
                  <c:v>75189</c:v>
                </c:pt>
                <c:pt idx="5">
                  <c:v>77913</c:v>
                </c:pt>
                <c:pt idx="6">
                  <c:v>80948</c:v>
                </c:pt>
                <c:pt idx="7">
                  <c:v>115480</c:v>
                </c:pt>
                <c:pt idx="8">
                  <c:v>131306</c:v>
                </c:pt>
                <c:pt idx="9">
                  <c:v>74439</c:v>
                </c:pt>
                <c:pt idx="10">
                  <c:v>66255</c:v>
                </c:pt>
                <c:pt idx="11">
                  <c:v>66375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B-4E7F-8614-F58FE5EA6598}"/>
            </c:ext>
          </c:extLst>
        </c:ser>
        <c:ser>
          <c:idx val="1"/>
          <c:order val="1"/>
          <c:tx>
            <c:strRef>
              <c:f>'2023'!$X$9</c:f>
              <c:strCache>
                <c:ptCount val="1"/>
                <c:pt idx="0">
                  <c:v>想要&amp;奢侈品</c:v>
                </c:pt>
              </c:strCache>
            </c:strRef>
          </c:tx>
          <c:invertIfNegative val="0"/>
          <c:cat>
            <c:numRef>
              <c:f>'2023'!$V$10:$V$21</c:f>
              <c:numCache>
                <c:formatCode>General</c:formatCode>
                <c:ptCount val="12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</c:numCache>
            </c:numRef>
          </c:cat>
          <c:val>
            <c:numRef>
              <c:f>'2023'!$X$10:$X$21</c:f>
              <c:numCache>
                <c:formatCode>_-* #,##0_-;\-* #,##0_-;_-* "-"??_-;_-@_-</c:formatCode>
                <c:ptCount val="12"/>
                <c:pt idx="0">
                  <c:v>47777</c:v>
                </c:pt>
                <c:pt idx="1">
                  <c:v>2218</c:v>
                </c:pt>
                <c:pt idx="2">
                  <c:v>4371</c:v>
                </c:pt>
                <c:pt idx="3">
                  <c:v>9891</c:v>
                </c:pt>
                <c:pt idx="4">
                  <c:v>16920</c:v>
                </c:pt>
                <c:pt idx="5">
                  <c:v>9335</c:v>
                </c:pt>
                <c:pt idx="6">
                  <c:v>13438</c:v>
                </c:pt>
                <c:pt idx="7">
                  <c:v>16620</c:v>
                </c:pt>
                <c:pt idx="8">
                  <c:v>13494</c:v>
                </c:pt>
                <c:pt idx="9">
                  <c:v>11500</c:v>
                </c:pt>
                <c:pt idx="10">
                  <c:v>8180</c:v>
                </c:pt>
                <c:pt idx="11">
                  <c:v>10826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5B-4E7F-8614-F58FE5EA6598}"/>
            </c:ext>
          </c:extLst>
        </c:ser>
        <c:ser>
          <c:idx val="2"/>
          <c:order val="2"/>
          <c:tx>
            <c:strRef>
              <c:f>'2023'!$Y$9</c:f>
              <c:strCache>
                <c:ptCount val="1"/>
                <c:pt idx="0">
                  <c:v>一次性支出</c:v>
                </c:pt>
              </c:strCache>
            </c:strRef>
          </c:tx>
          <c:invertIfNegative val="0"/>
          <c:cat>
            <c:numRef>
              <c:f>'2023'!$V$10:$V$21</c:f>
              <c:numCache>
                <c:formatCode>General</c:formatCode>
                <c:ptCount val="12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</c:numCache>
            </c:numRef>
          </c:cat>
          <c:val>
            <c:numRef>
              <c:f>'2023'!$Y$10:$Y$21</c:f>
              <c:numCache>
                <c:formatCode>_-* #,##0_-;\-* #,##0_-;_-* "-"??_-;_-@_-</c:formatCode>
                <c:ptCount val="12"/>
                <c:pt idx="0">
                  <c:v>86141</c:v>
                </c:pt>
                <c:pt idx="1">
                  <c:v>101660</c:v>
                </c:pt>
                <c:pt idx="2">
                  <c:v>77572</c:v>
                </c:pt>
                <c:pt idx="3">
                  <c:v>93830</c:v>
                </c:pt>
                <c:pt idx="4">
                  <c:v>108232</c:v>
                </c:pt>
                <c:pt idx="5">
                  <c:v>97964</c:v>
                </c:pt>
                <c:pt idx="6">
                  <c:v>134425</c:v>
                </c:pt>
                <c:pt idx="7">
                  <c:v>118038</c:v>
                </c:pt>
                <c:pt idx="8">
                  <c:v>45011</c:v>
                </c:pt>
                <c:pt idx="9">
                  <c:v>167513.51</c:v>
                </c:pt>
                <c:pt idx="10">
                  <c:v>49015</c:v>
                </c:pt>
                <c:pt idx="11">
                  <c:v>16020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5B-4E7F-8614-F58FE5EA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849216"/>
        <c:axId val="959850752"/>
      </c:barChart>
      <c:lineChart>
        <c:grouping val="standard"/>
        <c:varyColors val="0"/>
        <c:ser>
          <c:idx val="3"/>
          <c:order val="3"/>
          <c:tx>
            <c:strRef>
              <c:f>'2023'!$Z$9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cat>
            <c:numRef>
              <c:f>'2023'!$V$10:$V$21</c:f>
              <c:numCache>
                <c:formatCode>General</c:formatCode>
                <c:ptCount val="12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</c:numCache>
            </c:numRef>
          </c:cat>
          <c:val>
            <c:numRef>
              <c:f>'2023'!$Z$10:$Z$21</c:f>
              <c:numCache>
                <c:formatCode>_-* #,##0_-;\-* #,##0_-;_-* "-"??_-;_-@_-</c:formatCode>
                <c:ptCount val="12"/>
                <c:pt idx="0">
                  <c:v>213118</c:v>
                </c:pt>
                <c:pt idx="1">
                  <c:v>193633</c:v>
                </c:pt>
                <c:pt idx="2">
                  <c:v>188220</c:v>
                </c:pt>
                <c:pt idx="3">
                  <c:v>186798</c:v>
                </c:pt>
                <c:pt idx="4">
                  <c:v>200341</c:v>
                </c:pt>
                <c:pt idx="5">
                  <c:v>185212</c:v>
                </c:pt>
                <c:pt idx="6">
                  <c:v>228811</c:v>
                </c:pt>
                <c:pt idx="7">
                  <c:v>250138</c:v>
                </c:pt>
                <c:pt idx="8">
                  <c:v>189811</c:v>
                </c:pt>
                <c:pt idx="9">
                  <c:v>253452.51</c:v>
                </c:pt>
                <c:pt idx="10">
                  <c:v>123450</c:v>
                </c:pt>
                <c:pt idx="11">
                  <c:v>93221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5B-4E7F-8614-F58FE5EA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849216"/>
        <c:axId val="959850752"/>
      </c:lineChart>
      <c:catAx>
        <c:axId val="95984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9850752"/>
        <c:crosses val="autoZero"/>
        <c:auto val="1"/>
        <c:lblAlgn val="ctr"/>
        <c:lblOffset val="100"/>
        <c:noMultiLvlLbl val="0"/>
      </c:catAx>
      <c:valAx>
        <c:axId val="959850752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95984921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生活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33-45AA-9098-8BF14B2381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33-45AA-9098-8BF14B2381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33-45AA-9098-8BF14B2381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33-45AA-9098-8BF14B2381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33-45AA-9098-8BF14B2381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33-45AA-9098-8BF14B2381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333-45AA-9098-8BF14B23817D}"/>
              </c:ext>
            </c:extLst>
          </c:dPt>
          <c:cat>
            <c:strRef>
              <c:f>'2023'!$AE$9:$AK$9</c:f>
              <c:strCache>
                <c:ptCount val="7"/>
                <c:pt idx="0">
                  <c:v>食</c:v>
                </c:pt>
                <c:pt idx="1">
                  <c:v>衣</c:v>
                </c:pt>
                <c:pt idx="2">
                  <c:v>住</c:v>
                </c:pt>
                <c:pt idx="3">
                  <c:v>醫療費用</c:v>
                </c:pt>
                <c:pt idx="4">
                  <c:v>育-基本</c:v>
                </c:pt>
                <c:pt idx="5">
                  <c:v>育-才藝</c:v>
                </c:pt>
                <c:pt idx="6">
                  <c:v>行</c:v>
                </c:pt>
              </c:strCache>
            </c:strRef>
          </c:cat>
          <c:val>
            <c:numRef>
              <c:f>'2023'!$AE$5:$AK$5</c:f>
              <c:numCache>
                <c:formatCode>_-* #,##0_-;\-* #,##0_-;_-* "-"??_-;_-@_-</c:formatCode>
                <c:ptCount val="7"/>
                <c:pt idx="0">
                  <c:v>326495</c:v>
                </c:pt>
                <c:pt idx="1">
                  <c:v>9822</c:v>
                </c:pt>
                <c:pt idx="2">
                  <c:v>132865</c:v>
                </c:pt>
                <c:pt idx="3">
                  <c:v>9830</c:v>
                </c:pt>
                <c:pt idx="4">
                  <c:v>274401</c:v>
                </c:pt>
                <c:pt idx="5">
                  <c:v>215412</c:v>
                </c:pt>
                <c:pt idx="6">
                  <c:v>77389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333-45AA-9098-8BF14B238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想要</a:t>
            </a:r>
            <a:r>
              <a:rPr lang="en-US" altLang="zh-TW"/>
              <a:t>&amp;</a:t>
            </a:r>
            <a:r>
              <a:rPr lang="zh-TW" altLang="en-US"/>
              <a:t>奢侈品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B8-49A9-AE5C-7C85E3784D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B8-49A9-AE5C-7C85E3784D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B8-49A9-AE5C-7C85E3784D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B8-49A9-AE5C-7C85E3784D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B8-49A9-AE5C-7C85E3784D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EB8-49A9-AE5C-7C85E3784D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EB8-49A9-AE5C-7C85E3784D5E}"/>
              </c:ext>
            </c:extLst>
          </c:dPt>
          <c:cat>
            <c:strRef>
              <c:f>'2023'!$AL$9:$AP$9</c:f>
              <c:strCache>
                <c:ptCount val="5"/>
                <c:pt idx="0">
                  <c:v>N</c:v>
                </c:pt>
                <c:pt idx="1">
                  <c:v>A</c:v>
                </c:pt>
                <c:pt idx="2">
                  <c:v>L</c:v>
                </c:pt>
                <c:pt idx="3">
                  <c:v>D</c:v>
                </c:pt>
                <c:pt idx="4">
                  <c:v>其它</c:v>
                </c:pt>
              </c:strCache>
            </c:strRef>
          </c:cat>
          <c:val>
            <c:numRef>
              <c:f>'2023'!$AL$5:$AP$5</c:f>
              <c:numCache>
                <c:formatCode>_-* #,##0_-;\-* #,##0_-;_-* "-"??_-;_-@_-</c:formatCode>
                <c:ptCount val="5"/>
                <c:pt idx="0">
                  <c:v>34350</c:v>
                </c:pt>
                <c:pt idx="1">
                  <c:v>62188</c:v>
                </c:pt>
                <c:pt idx="2">
                  <c:v>16451</c:v>
                </c:pt>
                <c:pt idx="3">
                  <c:v>8318</c:v>
                </c:pt>
                <c:pt idx="4">
                  <c:v>43263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EB8-49A9-AE5C-7C85E3784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一次性支出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34-4F59-8232-25CD82C5F6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34-4F59-8232-25CD82C5F6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34-4F59-8232-25CD82C5F6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34-4F59-8232-25CD82C5F6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C34-4F59-8232-25CD82C5F6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C34-4F59-8232-25CD82C5F6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C34-4F59-8232-25CD82C5F6C3}"/>
              </c:ext>
            </c:extLst>
          </c:dPt>
          <c:cat>
            <c:strRef>
              <c:f>'2023'!$AQ$9:$AU$9</c:f>
              <c:strCache>
                <c:ptCount val="5"/>
                <c:pt idx="0">
                  <c:v>旅遊</c:v>
                </c:pt>
                <c:pt idx="1">
                  <c:v>家庭聚會</c:v>
                </c:pt>
                <c:pt idx="2">
                  <c:v>稅費</c:v>
                </c:pt>
                <c:pt idx="3">
                  <c:v>保險</c:v>
                </c:pt>
                <c:pt idx="4">
                  <c:v>其它</c:v>
                </c:pt>
              </c:strCache>
            </c:strRef>
          </c:cat>
          <c:val>
            <c:numRef>
              <c:f>'2023'!$AQ$5:$AU$5</c:f>
              <c:numCache>
                <c:formatCode>_-* #,##0_-;\-* #,##0_-;_-* "-"??_-;_-@_-</c:formatCode>
                <c:ptCount val="5"/>
                <c:pt idx="0">
                  <c:v>512501.51</c:v>
                </c:pt>
                <c:pt idx="1">
                  <c:v>20247</c:v>
                </c:pt>
                <c:pt idx="2">
                  <c:v>373083</c:v>
                </c:pt>
                <c:pt idx="3">
                  <c:v>62538</c:v>
                </c:pt>
                <c:pt idx="4">
                  <c:v>127052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C34-4F59-8232-25CD82C5F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'2025'!$A$1:$A$3</c:f>
              <c:strCache>
                <c:ptCount val="3"/>
                <c:pt idx="0">
                  <c:v>生活</c:v>
                </c:pt>
                <c:pt idx="1">
                  <c:v>想要&amp;奢侈品</c:v>
                </c:pt>
                <c:pt idx="2">
                  <c:v>一次性支出</c:v>
                </c:pt>
              </c:strCache>
            </c:strRef>
          </c:cat>
          <c:val>
            <c:numRef>
              <c:f>'2025'!$C$1:$C$3</c:f>
              <c:numCache>
                <c:formatCode>0%</c:formatCode>
                <c:ptCount val="3"/>
                <c:pt idx="0">
                  <c:v>0.5362793051932665</c:v>
                </c:pt>
                <c:pt idx="1">
                  <c:v>2.8038284882220765E-2</c:v>
                </c:pt>
                <c:pt idx="2">
                  <c:v>0.43568240992451268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4-460C-B00A-025F232E9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613398603924542E-2"/>
          <c:y val="0.11635562442101707"/>
          <c:w val="0.88959552965587396"/>
          <c:h val="0.8164503250941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'2025'!$W$9</c:f>
              <c:strCache>
                <c:ptCount val="1"/>
                <c:pt idx="0">
                  <c:v>生活</c:v>
                </c:pt>
              </c:strCache>
            </c:strRef>
          </c:tx>
          <c:invertIfNegative val="0"/>
          <c:cat>
            <c:numRef>
              <c:f>'2025'!$V$10:$V$21</c:f>
              <c:numCache>
                <c:formatCode>General</c:formatCode>
                <c:ptCount val="12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</c:numCache>
            </c:numRef>
          </c:cat>
          <c:val>
            <c:numRef>
              <c:f>'2025'!$W$10:$W$21</c:f>
              <c:numCache>
                <c:formatCode>_-* #,##0_-;\-* #,##0_-;_-* "-"??_-;_-@_-</c:formatCode>
                <c:ptCount val="12"/>
                <c:pt idx="0">
                  <c:v>140706</c:v>
                </c:pt>
                <c:pt idx="1">
                  <c:v>74309</c:v>
                </c:pt>
                <c:pt idx="2">
                  <c:v>128566</c:v>
                </c:pt>
                <c:pt idx="3">
                  <c:v>63201</c:v>
                </c:pt>
                <c:pt idx="4">
                  <c:v>52893</c:v>
                </c:pt>
                <c:pt idx="5">
                  <c:v>57540</c:v>
                </c:pt>
                <c:pt idx="6">
                  <c:v>62798</c:v>
                </c:pt>
                <c:pt idx="7">
                  <c:v>146362</c:v>
                </c:pt>
                <c:pt idx="8">
                  <c:v>98000</c:v>
                </c:pt>
                <c:pt idx="9">
                  <c:v>78884</c:v>
                </c:pt>
                <c:pt idx="10">
                  <c:v>80754</c:v>
                </c:pt>
                <c:pt idx="11">
                  <c:v>70460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5-4E4D-89DB-7FFE95E321B5}"/>
            </c:ext>
          </c:extLst>
        </c:ser>
        <c:ser>
          <c:idx val="1"/>
          <c:order val="1"/>
          <c:tx>
            <c:strRef>
              <c:f>'2025'!$X$9</c:f>
              <c:strCache>
                <c:ptCount val="1"/>
                <c:pt idx="0">
                  <c:v>想要&amp;奢侈品</c:v>
                </c:pt>
              </c:strCache>
            </c:strRef>
          </c:tx>
          <c:invertIfNegative val="0"/>
          <c:cat>
            <c:numRef>
              <c:f>'2025'!$V$10:$V$21</c:f>
              <c:numCache>
                <c:formatCode>General</c:formatCode>
                <c:ptCount val="12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</c:numCache>
            </c:numRef>
          </c:cat>
          <c:val>
            <c:numRef>
              <c:f>'2025'!$X$10:$X$21</c:f>
              <c:numCache>
                <c:formatCode>_-* #,##0_-;\-* #,##0_-;_-* "-"??_-;_-@_-</c:formatCode>
                <c:ptCount val="12"/>
                <c:pt idx="0">
                  <c:v>120</c:v>
                </c:pt>
                <c:pt idx="1">
                  <c:v>1183</c:v>
                </c:pt>
                <c:pt idx="2">
                  <c:v>2922</c:v>
                </c:pt>
                <c:pt idx="3">
                  <c:v>3916</c:v>
                </c:pt>
                <c:pt idx="4">
                  <c:v>1445</c:v>
                </c:pt>
                <c:pt idx="5">
                  <c:v>3658</c:v>
                </c:pt>
                <c:pt idx="6">
                  <c:v>17285</c:v>
                </c:pt>
                <c:pt idx="7">
                  <c:v>2400</c:v>
                </c:pt>
                <c:pt idx="8">
                  <c:v>1666</c:v>
                </c:pt>
                <c:pt idx="9">
                  <c:v>3443</c:v>
                </c:pt>
                <c:pt idx="10">
                  <c:v>2776</c:v>
                </c:pt>
                <c:pt idx="11">
                  <c:v>14317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45-4E4D-89DB-7FFE95E321B5}"/>
            </c:ext>
          </c:extLst>
        </c:ser>
        <c:ser>
          <c:idx val="2"/>
          <c:order val="2"/>
          <c:tx>
            <c:strRef>
              <c:f>'2025'!$Y$9</c:f>
              <c:strCache>
                <c:ptCount val="1"/>
                <c:pt idx="0">
                  <c:v>一次性支出</c:v>
                </c:pt>
              </c:strCache>
            </c:strRef>
          </c:tx>
          <c:invertIfNegative val="0"/>
          <c:cat>
            <c:numRef>
              <c:f>'2025'!$V$10:$V$21</c:f>
              <c:numCache>
                <c:formatCode>General</c:formatCode>
                <c:ptCount val="12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</c:numCache>
            </c:numRef>
          </c:cat>
          <c:val>
            <c:numRef>
              <c:f>'2025'!$Y$10:$Y$21</c:f>
              <c:numCache>
                <c:formatCode>_-* #,##0_-;\-* #,##0_-;_-* "-"??_-;_-@_-</c:formatCode>
                <c:ptCount val="12"/>
                <c:pt idx="0">
                  <c:v>38997.333333333328</c:v>
                </c:pt>
                <c:pt idx="1">
                  <c:v>108442.33333333333</c:v>
                </c:pt>
                <c:pt idx="2">
                  <c:v>14831.333333333332</c:v>
                </c:pt>
                <c:pt idx="3">
                  <c:v>30166.333333333332</c:v>
                </c:pt>
                <c:pt idx="4">
                  <c:v>226613.8</c:v>
                </c:pt>
                <c:pt idx="5">
                  <c:v>54068</c:v>
                </c:pt>
                <c:pt idx="6">
                  <c:v>133193</c:v>
                </c:pt>
                <c:pt idx="7">
                  <c:v>29069</c:v>
                </c:pt>
                <c:pt idx="8">
                  <c:v>0</c:v>
                </c:pt>
                <c:pt idx="9">
                  <c:v>172924.96299999999</c:v>
                </c:pt>
                <c:pt idx="10">
                  <c:v>42641</c:v>
                </c:pt>
                <c:pt idx="11">
                  <c:v>5724.6666666666661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45-4E4D-89DB-7FFE95E32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849216"/>
        <c:axId val="959850752"/>
      </c:barChart>
      <c:lineChart>
        <c:grouping val="standard"/>
        <c:varyColors val="0"/>
        <c:ser>
          <c:idx val="3"/>
          <c:order val="3"/>
          <c:tx>
            <c:strRef>
              <c:f>'2025'!$Z$9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cat>
            <c:numRef>
              <c:f>'2025'!$V$10:$V$21</c:f>
              <c:numCache>
                <c:formatCode>General</c:formatCode>
                <c:ptCount val="12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</c:numCache>
            </c:numRef>
          </c:cat>
          <c:val>
            <c:numRef>
              <c:f>'2025'!$Z$10:$Z$21</c:f>
              <c:numCache>
                <c:formatCode>_-* #,##0_-;\-* #,##0_-;_-* "-"??_-;_-@_-</c:formatCode>
                <c:ptCount val="12"/>
                <c:pt idx="0">
                  <c:v>179823.33333333331</c:v>
                </c:pt>
                <c:pt idx="1">
                  <c:v>183934.33333333331</c:v>
                </c:pt>
                <c:pt idx="2">
                  <c:v>146319.33333333334</c:v>
                </c:pt>
                <c:pt idx="3">
                  <c:v>97283.333333333328</c:v>
                </c:pt>
                <c:pt idx="4">
                  <c:v>280951.8</c:v>
                </c:pt>
                <c:pt idx="5">
                  <c:v>115266</c:v>
                </c:pt>
                <c:pt idx="6">
                  <c:v>213276</c:v>
                </c:pt>
                <c:pt idx="7">
                  <c:v>177831</c:v>
                </c:pt>
                <c:pt idx="8">
                  <c:v>99666</c:v>
                </c:pt>
                <c:pt idx="9">
                  <c:v>255251.96299999999</c:v>
                </c:pt>
                <c:pt idx="10">
                  <c:v>126171</c:v>
                </c:pt>
                <c:pt idx="11">
                  <c:v>90501.666666666672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45-4E4D-89DB-7FFE95E32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849216"/>
        <c:axId val="959850752"/>
      </c:lineChart>
      <c:catAx>
        <c:axId val="95984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9850752"/>
        <c:crosses val="autoZero"/>
        <c:auto val="1"/>
        <c:lblAlgn val="ctr"/>
        <c:lblOffset val="100"/>
        <c:noMultiLvlLbl val="0"/>
      </c:catAx>
      <c:valAx>
        <c:axId val="959850752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95984921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'2026'!$A$1:$A$3</c:f>
              <c:strCache>
                <c:ptCount val="3"/>
                <c:pt idx="0">
                  <c:v>生活</c:v>
                </c:pt>
                <c:pt idx="1">
                  <c:v>想要&amp;奢侈品</c:v>
                </c:pt>
                <c:pt idx="2">
                  <c:v>一次性支出</c:v>
                </c:pt>
              </c:strCache>
            </c:strRef>
          </c:cat>
          <c:val>
            <c:numRef>
              <c:f>'2026'!$C$1:$C$3</c:f>
              <c:numCache>
                <c:formatCode>0%</c:formatCode>
                <c:ptCount val="3"/>
                <c:pt idx="0">
                  <c:v>0.48672049493183722</c:v>
                </c:pt>
                <c:pt idx="1">
                  <c:v>1.86979263152935E-2</c:v>
                </c:pt>
                <c:pt idx="2">
                  <c:v>0.4945815787528689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E-4754-A47D-3E7C97EFE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613398603924542E-2"/>
          <c:y val="0.11635562442101707"/>
          <c:w val="0.88959552965587396"/>
          <c:h val="0.8164503250941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'2026'!$W$9</c:f>
              <c:strCache>
                <c:ptCount val="1"/>
                <c:pt idx="0">
                  <c:v>生活</c:v>
                </c:pt>
              </c:strCache>
            </c:strRef>
          </c:tx>
          <c:invertIfNegative val="0"/>
          <c:cat>
            <c:numRef>
              <c:f>'2026'!$V$10:$V$21</c:f>
              <c:numCache>
                <c:formatCode>General</c:formatCode>
                <c:ptCount val="12"/>
                <c:pt idx="0">
                  <c:v>202601</c:v>
                </c:pt>
                <c:pt idx="1">
                  <c:v>202602</c:v>
                </c:pt>
                <c:pt idx="2">
                  <c:v>202603</c:v>
                </c:pt>
                <c:pt idx="3">
                  <c:v>202604</c:v>
                </c:pt>
                <c:pt idx="4">
                  <c:v>202605</c:v>
                </c:pt>
                <c:pt idx="5">
                  <c:v>202606</c:v>
                </c:pt>
                <c:pt idx="6">
                  <c:v>202607</c:v>
                </c:pt>
                <c:pt idx="7">
                  <c:v>202608</c:v>
                </c:pt>
                <c:pt idx="8">
                  <c:v>202609</c:v>
                </c:pt>
                <c:pt idx="9">
                  <c:v>202610</c:v>
                </c:pt>
                <c:pt idx="10">
                  <c:v>202611</c:v>
                </c:pt>
                <c:pt idx="11">
                  <c:v>202612</c:v>
                </c:pt>
              </c:numCache>
            </c:numRef>
          </c:cat>
          <c:val>
            <c:numRef>
              <c:f>'2026'!$W$10:$W$21</c:f>
              <c:numCache>
                <c:formatCode>_-* #,##0_-;\-* #,##0_-;_-* "-"??_-;_-@_-</c:formatCode>
                <c:ptCount val="12"/>
                <c:pt idx="0">
                  <c:v>97179</c:v>
                </c:pt>
                <c:pt idx="1">
                  <c:v>58231</c:v>
                </c:pt>
                <c:pt idx="2">
                  <c:v>156908</c:v>
                </c:pt>
                <c:pt idx="3">
                  <c:v>61428</c:v>
                </c:pt>
                <c:pt idx="4">
                  <c:v>81247</c:v>
                </c:pt>
                <c:pt idx="5">
                  <c:v>95046</c:v>
                </c:pt>
                <c:pt idx="6">
                  <c:v>60595</c:v>
                </c:pt>
                <c:pt idx="7">
                  <c:v>64393</c:v>
                </c:pt>
                <c:pt idx="8">
                  <c:v>64413</c:v>
                </c:pt>
                <c:pt idx="9">
                  <c:v>64413</c:v>
                </c:pt>
                <c:pt idx="10">
                  <c:v>54920</c:v>
                </c:pt>
                <c:pt idx="11">
                  <c:v>21612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C-4A94-952E-97DF6AC051EF}"/>
            </c:ext>
          </c:extLst>
        </c:ser>
        <c:ser>
          <c:idx val="1"/>
          <c:order val="1"/>
          <c:tx>
            <c:strRef>
              <c:f>'2026'!$X$9</c:f>
              <c:strCache>
                <c:ptCount val="1"/>
                <c:pt idx="0">
                  <c:v>想要&amp;奢侈品</c:v>
                </c:pt>
              </c:strCache>
            </c:strRef>
          </c:tx>
          <c:invertIfNegative val="0"/>
          <c:cat>
            <c:numRef>
              <c:f>'2026'!$V$10:$V$21</c:f>
              <c:numCache>
                <c:formatCode>General</c:formatCode>
                <c:ptCount val="12"/>
                <c:pt idx="0">
                  <c:v>202601</c:v>
                </c:pt>
                <c:pt idx="1">
                  <c:v>202602</c:v>
                </c:pt>
                <c:pt idx="2">
                  <c:v>202603</c:v>
                </c:pt>
                <c:pt idx="3">
                  <c:v>202604</c:v>
                </c:pt>
                <c:pt idx="4">
                  <c:v>202605</c:v>
                </c:pt>
                <c:pt idx="5">
                  <c:v>202606</c:v>
                </c:pt>
                <c:pt idx="6">
                  <c:v>202607</c:v>
                </c:pt>
                <c:pt idx="7">
                  <c:v>202608</c:v>
                </c:pt>
                <c:pt idx="8">
                  <c:v>202609</c:v>
                </c:pt>
                <c:pt idx="9">
                  <c:v>202610</c:v>
                </c:pt>
                <c:pt idx="10">
                  <c:v>202611</c:v>
                </c:pt>
                <c:pt idx="11">
                  <c:v>202612</c:v>
                </c:pt>
              </c:numCache>
            </c:numRef>
          </c:cat>
          <c:val>
            <c:numRef>
              <c:f>'2026'!$X$10:$X$21</c:f>
              <c:numCache>
                <c:formatCode>_-* #,##0_-;\-* #,##0_-;_-* "-"??_-;_-@_-</c:formatCode>
                <c:ptCount val="12"/>
                <c:pt idx="0">
                  <c:v>2640</c:v>
                </c:pt>
                <c:pt idx="1">
                  <c:v>309</c:v>
                </c:pt>
                <c:pt idx="2">
                  <c:v>3999</c:v>
                </c:pt>
                <c:pt idx="3">
                  <c:v>3268</c:v>
                </c:pt>
                <c:pt idx="4">
                  <c:v>6959</c:v>
                </c:pt>
                <c:pt idx="5">
                  <c:v>11569</c:v>
                </c:pt>
                <c:pt idx="6">
                  <c:v>1428</c:v>
                </c:pt>
                <c:pt idx="7">
                  <c:v>3649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FC-4A94-952E-97DF6AC051EF}"/>
            </c:ext>
          </c:extLst>
        </c:ser>
        <c:ser>
          <c:idx val="2"/>
          <c:order val="2"/>
          <c:tx>
            <c:strRef>
              <c:f>'2026'!$Y$9</c:f>
              <c:strCache>
                <c:ptCount val="1"/>
                <c:pt idx="0">
                  <c:v>一次性支出</c:v>
                </c:pt>
              </c:strCache>
            </c:strRef>
          </c:tx>
          <c:invertIfNegative val="0"/>
          <c:cat>
            <c:numRef>
              <c:f>'2026'!$V$10:$V$21</c:f>
              <c:numCache>
                <c:formatCode>General</c:formatCode>
                <c:ptCount val="12"/>
                <c:pt idx="0">
                  <c:v>202601</c:v>
                </c:pt>
                <c:pt idx="1">
                  <c:v>202602</c:v>
                </c:pt>
                <c:pt idx="2">
                  <c:v>202603</c:v>
                </c:pt>
                <c:pt idx="3">
                  <c:v>202604</c:v>
                </c:pt>
                <c:pt idx="4">
                  <c:v>202605</c:v>
                </c:pt>
                <c:pt idx="5">
                  <c:v>202606</c:v>
                </c:pt>
                <c:pt idx="6">
                  <c:v>202607</c:v>
                </c:pt>
                <c:pt idx="7">
                  <c:v>202608</c:v>
                </c:pt>
                <c:pt idx="8">
                  <c:v>202609</c:v>
                </c:pt>
                <c:pt idx="9">
                  <c:v>202610</c:v>
                </c:pt>
                <c:pt idx="10">
                  <c:v>202611</c:v>
                </c:pt>
                <c:pt idx="11">
                  <c:v>202612</c:v>
                </c:pt>
              </c:numCache>
            </c:numRef>
          </c:cat>
          <c:val>
            <c:numRef>
              <c:f>'2026'!$Y$10:$Y$21</c:f>
              <c:numCache>
                <c:formatCode>_-* #,##0_-;\-* #,##0_-;_-* "-"??_-;_-@_-</c:formatCode>
                <c:ptCount val="12"/>
                <c:pt idx="0">
                  <c:v>49093</c:v>
                </c:pt>
                <c:pt idx="1">
                  <c:v>395049.69199999998</c:v>
                </c:pt>
                <c:pt idx="2">
                  <c:v>23047</c:v>
                </c:pt>
                <c:pt idx="3">
                  <c:v>69224</c:v>
                </c:pt>
                <c:pt idx="4">
                  <c:v>107937.16666666667</c:v>
                </c:pt>
                <c:pt idx="5">
                  <c:v>4484.6666666666661</c:v>
                </c:pt>
                <c:pt idx="6">
                  <c:v>227527.01666666666</c:v>
                </c:pt>
                <c:pt idx="7">
                  <c:v>8114.6666666666661</c:v>
                </c:pt>
                <c:pt idx="8">
                  <c:v>3375.6666666666665</c:v>
                </c:pt>
                <c:pt idx="9">
                  <c:v>3375.6666666666665</c:v>
                </c:pt>
                <c:pt idx="10">
                  <c:v>3375.6666666666665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FC-4A94-952E-97DF6AC05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849216"/>
        <c:axId val="959850752"/>
      </c:barChart>
      <c:lineChart>
        <c:grouping val="standard"/>
        <c:varyColors val="0"/>
        <c:ser>
          <c:idx val="3"/>
          <c:order val="3"/>
          <c:tx>
            <c:strRef>
              <c:f>'2026'!$Z$9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cat>
            <c:numRef>
              <c:f>'2026'!$V$10:$V$21</c:f>
              <c:numCache>
                <c:formatCode>General</c:formatCode>
                <c:ptCount val="12"/>
                <c:pt idx="0">
                  <c:v>202601</c:v>
                </c:pt>
                <c:pt idx="1">
                  <c:v>202602</c:v>
                </c:pt>
                <c:pt idx="2">
                  <c:v>202603</c:v>
                </c:pt>
                <c:pt idx="3">
                  <c:v>202604</c:v>
                </c:pt>
                <c:pt idx="4">
                  <c:v>202605</c:v>
                </c:pt>
                <c:pt idx="5">
                  <c:v>202606</c:v>
                </c:pt>
                <c:pt idx="6">
                  <c:v>202607</c:v>
                </c:pt>
                <c:pt idx="7">
                  <c:v>202608</c:v>
                </c:pt>
                <c:pt idx="8">
                  <c:v>202609</c:v>
                </c:pt>
                <c:pt idx="9">
                  <c:v>202610</c:v>
                </c:pt>
                <c:pt idx="10">
                  <c:v>202611</c:v>
                </c:pt>
                <c:pt idx="11">
                  <c:v>202612</c:v>
                </c:pt>
              </c:numCache>
            </c:numRef>
          </c:cat>
          <c:val>
            <c:numRef>
              <c:f>'2026'!$Z$10:$Z$21</c:f>
              <c:numCache>
                <c:formatCode>_-* #,##0_-;\-* #,##0_-;_-* "-"??_-;_-@_-</c:formatCode>
                <c:ptCount val="12"/>
                <c:pt idx="0">
                  <c:v>148912</c:v>
                </c:pt>
                <c:pt idx="1">
                  <c:v>453589.69199999998</c:v>
                </c:pt>
                <c:pt idx="2">
                  <c:v>183954</c:v>
                </c:pt>
                <c:pt idx="3">
                  <c:v>133920</c:v>
                </c:pt>
                <c:pt idx="4">
                  <c:v>196143.16666666669</c:v>
                </c:pt>
                <c:pt idx="5">
                  <c:v>111099.66666666667</c:v>
                </c:pt>
                <c:pt idx="6">
                  <c:v>289550.01666666666</c:v>
                </c:pt>
                <c:pt idx="7">
                  <c:v>76156.666666666672</c:v>
                </c:pt>
                <c:pt idx="8">
                  <c:v>67788.666666666672</c:v>
                </c:pt>
                <c:pt idx="9">
                  <c:v>67788.666666666672</c:v>
                </c:pt>
                <c:pt idx="10">
                  <c:v>58295.666666666664</c:v>
                </c:pt>
                <c:pt idx="11">
                  <c:v>21612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FC-4A94-952E-97DF6AC05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849216"/>
        <c:axId val="959850752"/>
      </c:lineChart>
      <c:catAx>
        <c:axId val="95984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9850752"/>
        <c:crosses val="autoZero"/>
        <c:auto val="1"/>
        <c:lblAlgn val="ctr"/>
        <c:lblOffset val="100"/>
        <c:noMultiLvlLbl val="0"/>
      </c:catAx>
      <c:valAx>
        <c:axId val="959850752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95984921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生活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18-4D64-B978-8A76E2362A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18-4D64-B978-8A76E2362A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18-4D64-B978-8A76E2362A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18-4D64-B978-8A76E2362A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18-4D64-B978-8A76E2362A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918-4D64-B978-8A76E2362AF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918-4D64-B978-8A76E2362AF4}"/>
              </c:ext>
            </c:extLst>
          </c:dPt>
          <c:cat>
            <c:strRef>
              <c:f>'2026'!$AE$9:$AK$9</c:f>
              <c:strCache>
                <c:ptCount val="7"/>
                <c:pt idx="0">
                  <c:v>食</c:v>
                </c:pt>
                <c:pt idx="1">
                  <c:v>衣</c:v>
                </c:pt>
                <c:pt idx="2">
                  <c:v>住</c:v>
                </c:pt>
                <c:pt idx="3">
                  <c:v>醫療費用</c:v>
                </c:pt>
                <c:pt idx="4">
                  <c:v>育-基本</c:v>
                </c:pt>
                <c:pt idx="5">
                  <c:v>育-才藝</c:v>
                </c:pt>
                <c:pt idx="6">
                  <c:v>行</c:v>
                </c:pt>
              </c:strCache>
            </c:strRef>
          </c:cat>
          <c:val>
            <c:numRef>
              <c:f>'2026'!$AE$5:$AK$5</c:f>
              <c:numCache>
                <c:formatCode>_-* #,##0_-;\-* #,##0_-;_-* "-"??_-;_-@_-</c:formatCode>
                <c:ptCount val="7"/>
                <c:pt idx="0">
                  <c:v>226759</c:v>
                </c:pt>
                <c:pt idx="1">
                  <c:v>4782</c:v>
                </c:pt>
                <c:pt idx="2">
                  <c:v>187682</c:v>
                </c:pt>
                <c:pt idx="3">
                  <c:v>7059</c:v>
                </c:pt>
                <c:pt idx="4">
                  <c:v>220957</c:v>
                </c:pt>
                <c:pt idx="5">
                  <c:v>146366</c:v>
                </c:pt>
                <c:pt idx="6">
                  <c:v>86780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918-4D64-B978-8A76E2362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想要</a:t>
            </a:r>
            <a:r>
              <a:rPr lang="en-US" altLang="zh-TW"/>
              <a:t>&amp;</a:t>
            </a:r>
            <a:r>
              <a:rPr lang="zh-TW" altLang="en-US"/>
              <a:t>奢侈品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25-4421-A30D-9D31DEB7BE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25-4421-A30D-9D31DEB7BE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25-4421-A30D-9D31DEB7BE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25-4421-A30D-9D31DEB7BE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25-4421-A30D-9D31DEB7BE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925-4421-A30D-9D31DEB7BE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925-4421-A30D-9D31DEB7BEFF}"/>
              </c:ext>
            </c:extLst>
          </c:dPt>
          <c:cat>
            <c:strRef>
              <c:f>'2026'!$AL$9:$AP$9</c:f>
              <c:strCache>
                <c:ptCount val="5"/>
                <c:pt idx="0">
                  <c:v>N</c:v>
                </c:pt>
                <c:pt idx="1">
                  <c:v>A</c:v>
                </c:pt>
                <c:pt idx="2">
                  <c:v>L</c:v>
                </c:pt>
                <c:pt idx="3">
                  <c:v>D</c:v>
                </c:pt>
                <c:pt idx="4">
                  <c:v>其它</c:v>
                </c:pt>
              </c:strCache>
            </c:strRef>
          </c:cat>
          <c:val>
            <c:numRef>
              <c:f>'2026'!$AL$5:$AP$5</c:f>
              <c:numCache>
                <c:formatCode>_-* #,##0_-;\-* #,##0_-;_-* "-"??_-;_-@_-</c:formatCode>
                <c:ptCount val="5"/>
                <c:pt idx="0">
                  <c:v>8127</c:v>
                </c:pt>
                <c:pt idx="1">
                  <c:v>2320</c:v>
                </c:pt>
                <c:pt idx="2">
                  <c:v>13669</c:v>
                </c:pt>
                <c:pt idx="3">
                  <c:v>3374</c:v>
                </c:pt>
                <c:pt idx="4">
                  <c:v>6331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925-4421-A30D-9D31DEB7B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一次性支出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4E-4362-9759-E52EBC0818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4E-4362-9759-E52EBC0818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4E-4362-9759-E52EBC0818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4E-4362-9759-E52EBC0818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4E-4362-9759-E52EBC0818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4E-4362-9759-E52EBC0818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4E-4362-9759-E52EBC081834}"/>
              </c:ext>
            </c:extLst>
          </c:dPt>
          <c:cat>
            <c:strRef>
              <c:f>'2026'!$AQ$9:$AU$9</c:f>
              <c:strCache>
                <c:ptCount val="5"/>
                <c:pt idx="0">
                  <c:v>旅遊</c:v>
                </c:pt>
                <c:pt idx="1">
                  <c:v>家庭聚會</c:v>
                </c:pt>
                <c:pt idx="2">
                  <c:v>稅費</c:v>
                </c:pt>
                <c:pt idx="3">
                  <c:v>保險</c:v>
                </c:pt>
                <c:pt idx="4">
                  <c:v>其它</c:v>
                </c:pt>
              </c:strCache>
            </c:strRef>
          </c:cat>
          <c:val>
            <c:numRef>
              <c:f>'2026'!$AQ$5:$AU$5</c:f>
              <c:numCache>
                <c:formatCode>_-* #,##0_-;\-* #,##0_-;_-* "-"??_-;_-@_-</c:formatCode>
                <c:ptCount val="5"/>
                <c:pt idx="0">
                  <c:v>713858.54200000002</c:v>
                </c:pt>
                <c:pt idx="1">
                  <c:v>9974</c:v>
                </c:pt>
                <c:pt idx="2">
                  <c:v>33099</c:v>
                </c:pt>
                <c:pt idx="3">
                  <c:v>41682.666666666664</c:v>
                </c:pt>
                <c:pt idx="4">
                  <c:v>95990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44E-4362-9759-E52EBC08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'2027'!$A$1:$A$3</c:f>
              <c:strCache>
                <c:ptCount val="3"/>
                <c:pt idx="0">
                  <c:v>生活</c:v>
                </c:pt>
                <c:pt idx="1">
                  <c:v>想要&amp;奢侈品</c:v>
                </c:pt>
                <c:pt idx="2">
                  <c:v>一次性支出</c:v>
                </c:pt>
              </c:strCache>
            </c:strRef>
          </c:cat>
          <c:val>
            <c:numRef>
              <c:f>'2027'!$C$1:$C$3</c:f>
              <c:numCache>
                <c:formatCode>0%</c:formatCode>
                <c:ptCount val="3"/>
                <c:pt idx="0">
                  <c:v>0.62793457769454952</c:v>
                </c:pt>
                <c:pt idx="1">
                  <c:v>0</c:v>
                </c:pt>
                <c:pt idx="2">
                  <c:v>0.37206542230545059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6-4C27-9C38-73D83CB66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613398603924542E-2"/>
          <c:y val="0.11635562442101707"/>
          <c:w val="0.88959552965587396"/>
          <c:h val="0.8164503250941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'2027'!$W$9</c:f>
              <c:strCache>
                <c:ptCount val="1"/>
                <c:pt idx="0">
                  <c:v>生活</c:v>
                </c:pt>
              </c:strCache>
            </c:strRef>
          </c:tx>
          <c:invertIfNegative val="0"/>
          <c:cat>
            <c:numRef>
              <c:f>'2027'!$V$10:$V$21</c:f>
              <c:numCache>
                <c:formatCode>General</c:formatCode>
                <c:ptCount val="12"/>
                <c:pt idx="0">
                  <c:v>202701</c:v>
                </c:pt>
                <c:pt idx="1">
                  <c:v>202702</c:v>
                </c:pt>
                <c:pt idx="2">
                  <c:v>202703</c:v>
                </c:pt>
                <c:pt idx="3">
                  <c:v>202704</c:v>
                </c:pt>
                <c:pt idx="4">
                  <c:v>202705</c:v>
                </c:pt>
                <c:pt idx="5">
                  <c:v>202706</c:v>
                </c:pt>
                <c:pt idx="6">
                  <c:v>202707</c:v>
                </c:pt>
                <c:pt idx="7">
                  <c:v>202708</c:v>
                </c:pt>
                <c:pt idx="8">
                  <c:v>202709</c:v>
                </c:pt>
                <c:pt idx="9">
                  <c:v>202710</c:v>
                </c:pt>
                <c:pt idx="10">
                  <c:v>202711</c:v>
                </c:pt>
                <c:pt idx="11">
                  <c:v>202712</c:v>
                </c:pt>
              </c:numCache>
            </c:numRef>
          </c:cat>
          <c:val>
            <c:numRef>
              <c:f>'2027'!$W$10:$W$21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27665.333333333332</c:v>
                </c:pt>
                <c:pt idx="3">
                  <c:v>27665.333333333332</c:v>
                </c:pt>
                <c:pt idx="4">
                  <c:v>27665.333333333332</c:v>
                </c:pt>
                <c:pt idx="5">
                  <c:v>20914</c:v>
                </c:pt>
                <c:pt idx="6">
                  <c:v>14414</c:v>
                </c:pt>
                <c:pt idx="7">
                  <c:v>14414</c:v>
                </c:pt>
                <c:pt idx="8">
                  <c:v>20914</c:v>
                </c:pt>
                <c:pt idx="9">
                  <c:v>20914</c:v>
                </c:pt>
                <c:pt idx="10">
                  <c:v>20914</c:v>
                </c:pt>
                <c:pt idx="11">
                  <c:v>20914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F-44E2-80C0-446283DF79D5}"/>
            </c:ext>
          </c:extLst>
        </c:ser>
        <c:ser>
          <c:idx val="1"/>
          <c:order val="1"/>
          <c:tx>
            <c:strRef>
              <c:f>'2027'!$X$9</c:f>
              <c:strCache>
                <c:ptCount val="1"/>
                <c:pt idx="0">
                  <c:v>想要&amp;奢侈品</c:v>
                </c:pt>
              </c:strCache>
            </c:strRef>
          </c:tx>
          <c:invertIfNegative val="0"/>
          <c:cat>
            <c:numRef>
              <c:f>'2027'!$V$10:$V$21</c:f>
              <c:numCache>
                <c:formatCode>General</c:formatCode>
                <c:ptCount val="12"/>
                <c:pt idx="0">
                  <c:v>202701</c:v>
                </c:pt>
                <c:pt idx="1">
                  <c:v>202702</c:v>
                </c:pt>
                <c:pt idx="2">
                  <c:v>202703</c:v>
                </c:pt>
                <c:pt idx="3">
                  <c:v>202704</c:v>
                </c:pt>
                <c:pt idx="4">
                  <c:v>202705</c:v>
                </c:pt>
                <c:pt idx="5">
                  <c:v>202706</c:v>
                </c:pt>
                <c:pt idx="6">
                  <c:v>202707</c:v>
                </c:pt>
                <c:pt idx="7">
                  <c:v>202708</c:v>
                </c:pt>
                <c:pt idx="8">
                  <c:v>202709</c:v>
                </c:pt>
                <c:pt idx="9">
                  <c:v>202710</c:v>
                </c:pt>
                <c:pt idx="10">
                  <c:v>202711</c:v>
                </c:pt>
                <c:pt idx="11">
                  <c:v>202712</c:v>
                </c:pt>
              </c:numCache>
            </c:numRef>
          </c:cat>
          <c:val>
            <c:numRef>
              <c:f>'2027'!$X$10:$X$21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F-44E2-80C0-446283DF79D5}"/>
            </c:ext>
          </c:extLst>
        </c:ser>
        <c:ser>
          <c:idx val="2"/>
          <c:order val="2"/>
          <c:tx>
            <c:strRef>
              <c:f>'2027'!$Y$9</c:f>
              <c:strCache>
                <c:ptCount val="1"/>
                <c:pt idx="0">
                  <c:v>一次性支出</c:v>
                </c:pt>
              </c:strCache>
            </c:strRef>
          </c:tx>
          <c:invertIfNegative val="0"/>
          <c:cat>
            <c:numRef>
              <c:f>'2027'!$V$10:$V$21</c:f>
              <c:numCache>
                <c:formatCode>General</c:formatCode>
                <c:ptCount val="12"/>
                <c:pt idx="0">
                  <c:v>202701</c:v>
                </c:pt>
                <c:pt idx="1">
                  <c:v>202702</c:v>
                </c:pt>
                <c:pt idx="2">
                  <c:v>202703</c:v>
                </c:pt>
                <c:pt idx="3">
                  <c:v>202704</c:v>
                </c:pt>
                <c:pt idx="4">
                  <c:v>202705</c:v>
                </c:pt>
                <c:pt idx="5">
                  <c:v>202706</c:v>
                </c:pt>
                <c:pt idx="6">
                  <c:v>202707</c:v>
                </c:pt>
                <c:pt idx="7">
                  <c:v>202708</c:v>
                </c:pt>
                <c:pt idx="8">
                  <c:v>202709</c:v>
                </c:pt>
                <c:pt idx="9">
                  <c:v>202710</c:v>
                </c:pt>
                <c:pt idx="10">
                  <c:v>202711</c:v>
                </c:pt>
                <c:pt idx="11">
                  <c:v>202712</c:v>
                </c:pt>
              </c:numCache>
            </c:numRef>
          </c:cat>
          <c:val>
            <c:numRef>
              <c:f>'2027'!$Y$10:$Y$21</c:f>
              <c:numCache>
                <c:formatCode>_-* #,##0_-;\-* #,##0_-;_-* "-"??_-;_-@_-</c:formatCode>
                <c:ptCount val="12"/>
                <c:pt idx="0">
                  <c:v>42270</c:v>
                </c:pt>
                <c:pt idx="1">
                  <c:v>0</c:v>
                </c:pt>
                <c:pt idx="2">
                  <c:v>3376</c:v>
                </c:pt>
                <c:pt idx="3">
                  <c:v>3376</c:v>
                </c:pt>
                <c:pt idx="4">
                  <c:v>22125.5</c:v>
                </c:pt>
                <c:pt idx="5">
                  <c:v>3375.6666666666665</c:v>
                </c:pt>
                <c:pt idx="6">
                  <c:v>43568.166666666664</c:v>
                </c:pt>
                <c:pt idx="7">
                  <c:v>3375.6666666666665</c:v>
                </c:pt>
                <c:pt idx="8">
                  <c:v>3375.6666666666665</c:v>
                </c:pt>
                <c:pt idx="9">
                  <c:v>3375.6666666666665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5F-44E2-80C0-446283DF7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849216"/>
        <c:axId val="959850752"/>
      </c:barChart>
      <c:lineChart>
        <c:grouping val="standard"/>
        <c:varyColors val="0"/>
        <c:ser>
          <c:idx val="3"/>
          <c:order val="3"/>
          <c:tx>
            <c:strRef>
              <c:f>'2027'!$Z$9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cat>
            <c:numRef>
              <c:f>'2027'!$V$10:$V$21</c:f>
              <c:numCache>
                <c:formatCode>General</c:formatCode>
                <c:ptCount val="12"/>
                <c:pt idx="0">
                  <c:v>202701</c:v>
                </c:pt>
                <c:pt idx="1">
                  <c:v>202702</c:v>
                </c:pt>
                <c:pt idx="2">
                  <c:v>202703</c:v>
                </c:pt>
                <c:pt idx="3">
                  <c:v>202704</c:v>
                </c:pt>
                <c:pt idx="4">
                  <c:v>202705</c:v>
                </c:pt>
                <c:pt idx="5">
                  <c:v>202706</c:v>
                </c:pt>
                <c:pt idx="6">
                  <c:v>202707</c:v>
                </c:pt>
                <c:pt idx="7">
                  <c:v>202708</c:v>
                </c:pt>
                <c:pt idx="8">
                  <c:v>202709</c:v>
                </c:pt>
                <c:pt idx="9">
                  <c:v>202710</c:v>
                </c:pt>
                <c:pt idx="10">
                  <c:v>202711</c:v>
                </c:pt>
                <c:pt idx="11">
                  <c:v>202712</c:v>
                </c:pt>
              </c:numCache>
            </c:numRef>
          </c:cat>
          <c:val>
            <c:numRef>
              <c:f>'2027'!$Z$10:$Z$21</c:f>
              <c:numCache>
                <c:formatCode>_-* #,##0_-;\-* #,##0_-;_-* "-"??_-;_-@_-</c:formatCode>
                <c:ptCount val="12"/>
                <c:pt idx="0">
                  <c:v>42270</c:v>
                </c:pt>
                <c:pt idx="1">
                  <c:v>0</c:v>
                </c:pt>
                <c:pt idx="2">
                  <c:v>31041.333333333332</c:v>
                </c:pt>
                <c:pt idx="3">
                  <c:v>31041.333333333332</c:v>
                </c:pt>
                <c:pt idx="4">
                  <c:v>49790.833333333328</c:v>
                </c:pt>
                <c:pt idx="5">
                  <c:v>24289.666666666668</c:v>
                </c:pt>
                <c:pt idx="6">
                  <c:v>57982.166666666664</c:v>
                </c:pt>
                <c:pt idx="7">
                  <c:v>17789.666666666668</c:v>
                </c:pt>
                <c:pt idx="8">
                  <c:v>24289.666666666668</c:v>
                </c:pt>
                <c:pt idx="9">
                  <c:v>24289.666666666668</c:v>
                </c:pt>
                <c:pt idx="10">
                  <c:v>20914</c:v>
                </c:pt>
                <c:pt idx="11">
                  <c:v>20914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5F-44E2-80C0-446283DF7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849216"/>
        <c:axId val="959850752"/>
      </c:lineChart>
      <c:catAx>
        <c:axId val="95984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9850752"/>
        <c:crosses val="autoZero"/>
        <c:auto val="1"/>
        <c:lblAlgn val="ctr"/>
        <c:lblOffset val="100"/>
        <c:noMultiLvlLbl val="0"/>
      </c:catAx>
      <c:valAx>
        <c:axId val="959850752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95984921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生活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9D-4393-8A1C-F41DFC549E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9D-4393-8A1C-F41DFC549E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9D-4393-8A1C-F41DFC549E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69D-4393-8A1C-F41DFC549E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69D-4393-8A1C-F41DFC549E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69D-4393-8A1C-F41DFC549E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69D-4393-8A1C-F41DFC549EC2}"/>
              </c:ext>
            </c:extLst>
          </c:dPt>
          <c:cat>
            <c:strRef>
              <c:f>'2027'!$AE$9:$AK$9</c:f>
              <c:strCache>
                <c:ptCount val="7"/>
                <c:pt idx="0">
                  <c:v>食</c:v>
                </c:pt>
                <c:pt idx="1">
                  <c:v>衣</c:v>
                </c:pt>
                <c:pt idx="2">
                  <c:v>住</c:v>
                </c:pt>
                <c:pt idx="3">
                  <c:v>醫療費用</c:v>
                </c:pt>
                <c:pt idx="4">
                  <c:v>育-基本</c:v>
                </c:pt>
                <c:pt idx="5">
                  <c:v>育-才藝</c:v>
                </c:pt>
                <c:pt idx="6">
                  <c:v>行</c:v>
                </c:pt>
              </c:strCache>
            </c:strRef>
          </c:cat>
          <c:val>
            <c:numRef>
              <c:f>'2027'!$AE$5:$AK$5</c:f>
              <c:numCache>
                <c:formatCode>_-* #,##0_-;\-* #,##0_-;_-* "-"??_-;_-@_-</c:formatCode>
                <c:ptCount val="7"/>
                <c:pt idx="0">
                  <c:v>80000</c:v>
                </c:pt>
                <c:pt idx="1">
                  <c:v>0</c:v>
                </c:pt>
                <c:pt idx="2">
                  <c:v>58170</c:v>
                </c:pt>
                <c:pt idx="3">
                  <c:v>20254</c:v>
                </c:pt>
                <c:pt idx="4">
                  <c:v>52000</c:v>
                </c:pt>
                <c:pt idx="5">
                  <c:v>0</c:v>
                </c:pt>
                <c:pt idx="6">
                  <c:v>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69D-4393-8A1C-F41DFC549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想要</a:t>
            </a:r>
            <a:r>
              <a:rPr lang="en-US" altLang="zh-TW"/>
              <a:t>&amp;</a:t>
            </a:r>
            <a:r>
              <a:rPr lang="zh-TW" altLang="en-US"/>
              <a:t>奢侈品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0D-46E7-A982-0A168D0764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0D-46E7-A982-0A168D0764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0D-46E7-A982-0A168D0764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0D-46E7-A982-0A168D0764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0D-46E7-A982-0A168D0764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0D-46E7-A982-0A168D07644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0D-46E7-A982-0A168D07644B}"/>
              </c:ext>
            </c:extLst>
          </c:dPt>
          <c:cat>
            <c:strRef>
              <c:f>'2027'!$AL$9:$AP$9</c:f>
              <c:strCache>
                <c:ptCount val="5"/>
                <c:pt idx="0">
                  <c:v>N</c:v>
                </c:pt>
                <c:pt idx="1">
                  <c:v>A</c:v>
                </c:pt>
                <c:pt idx="2">
                  <c:v>L</c:v>
                </c:pt>
                <c:pt idx="3">
                  <c:v>D</c:v>
                </c:pt>
                <c:pt idx="4">
                  <c:v>其它</c:v>
                </c:pt>
              </c:strCache>
            </c:strRef>
          </c:cat>
          <c:val>
            <c:numRef>
              <c:f>'2027'!$AL$5:$AP$5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60D-46E7-A982-0A168D076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一次性支出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53-43C9-A2AA-F7D80C62CA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53-43C9-A2AA-F7D80C62CA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53-43C9-A2AA-F7D80C62CA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53-43C9-A2AA-F7D80C62CA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53-43C9-A2AA-F7D80C62CA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E53-43C9-A2AA-F7D80C62CAA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E53-43C9-A2AA-F7D80C62CAAF}"/>
              </c:ext>
            </c:extLst>
          </c:dPt>
          <c:cat>
            <c:strRef>
              <c:f>'2027'!$AQ$9:$AU$9</c:f>
              <c:strCache>
                <c:ptCount val="5"/>
                <c:pt idx="0">
                  <c:v>旅遊</c:v>
                </c:pt>
                <c:pt idx="1">
                  <c:v>家庭聚會</c:v>
                </c:pt>
                <c:pt idx="2">
                  <c:v>稅費</c:v>
                </c:pt>
                <c:pt idx="3">
                  <c:v>保險</c:v>
                </c:pt>
                <c:pt idx="4">
                  <c:v>其它</c:v>
                </c:pt>
              </c:strCache>
            </c:strRef>
          </c:cat>
          <c:val>
            <c:numRef>
              <c:f>'2027'!$AQ$5:$AU$5</c:f>
              <c:numCache>
                <c:formatCode>_-* #,##0_-;\-* #,##0_-;_-* "-"??_-;_-@_-</c:formatCode>
                <c:ptCount val="5"/>
                <c:pt idx="0">
                  <c:v>101212</c:v>
                </c:pt>
                <c:pt idx="1">
                  <c:v>0</c:v>
                </c:pt>
                <c:pt idx="2">
                  <c:v>0</c:v>
                </c:pt>
                <c:pt idx="3">
                  <c:v>27006.333333333336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E53-43C9-A2AA-F7D80C62C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留底!$A$1:$A$3</c:f>
              <c:strCache>
                <c:ptCount val="3"/>
                <c:pt idx="0">
                  <c:v>生活</c:v>
                </c:pt>
                <c:pt idx="1">
                  <c:v>想要&amp;奢侈品</c:v>
                </c:pt>
                <c:pt idx="2">
                  <c:v>一次性支出</c:v>
                </c:pt>
              </c:strCache>
            </c:strRef>
          </c:cat>
          <c:val>
            <c:numRef>
              <c:f>留底!$C$1:$C$3</c:f>
              <c:numCache>
                <c:formatCode>0%</c:formatCode>
                <c:ptCount val="3"/>
                <c:pt idx="0">
                  <c:v>0.98001580269711197</c:v>
                </c:pt>
                <c:pt idx="1">
                  <c:v>0</c:v>
                </c:pt>
                <c:pt idx="2">
                  <c:v>1.9984197302887988E-2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8-49A2-B715-5C813C729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613398603924542E-2"/>
          <c:y val="0.11635562442101707"/>
          <c:w val="0.88959552965587396"/>
          <c:h val="0.8164503250941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留底!$W$9</c:f>
              <c:strCache>
                <c:ptCount val="1"/>
                <c:pt idx="0">
                  <c:v>生活</c:v>
                </c:pt>
              </c:strCache>
            </c:strRef>
          </c:tx>
          <c:invertIfNegative val="0"/>
          <c:cat>
            <c:numRef>
              <c:f>留底!$V$10:$V$21</c:f>
              <c:numCache>
                <c:formatCode>General</c:formatCode>
                <c:ptCount val="12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</c:numCache>
            </c:numRef>
          </c:cat>
          <c:val>
            <c:numRef>
              <c:f>留底!$W$10:$W$21</c:f>
              <c:numCache>
                <c:formatCode>_-* #,##0_-;\-* #,##0_-;_-* "-"??_-;_-@_-</c:formatCode>
                <c:ptCount val="12"/>
                <c:pt idx="0">
                  <c:v>28097</c:v>
                </c:pt>
                <c:pt idx="1">
                  <c:v>28097</c:v>
                </c:pt>
                <c:pt idx="2">
                  <c:v>28097</c:v>
                </c:pt>
                <c:pt idx="3">
                  <c:v>28097</c:v>
                </c:pt>
                <c:pt idx="4">
                  <c:v>28097</c:v>
                </c:pt>
                <c:pt idx="5">
                  <c:v>28097</c:v>
                </c:pt>
                <c:pt idx="6">
                  <c:v>12097</c:v>
                </c:pt>
                <c:pt idx="7">
                  <c:v>12097</c:v>
                </c:pt>
                <c:pt idx="8">
                  <c:v>34597</c:v>
                </c:pt>
                <c:pt idx="9">
                  <c:v>34597</c:v>
                </c:pt>
                <c:pt idx="10">
                  <c:v>34597</c:v>
                </c:pt>
                <c:pt idx="11">
                  <c:v>34597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C-4E27-93ED-E385E5734763}"/>
            </c:ext>
          </c:extLst>
        </c:ser>
        <c:ser>
          <c:idx val="1"/>
          <c:order val="1"/>
          <c:tx>
            <c:strRef>
              <c:f>留底!$X$9</c:f>
              <c:strCache>
                <c:ptCount val="1"/>
                <c:pt idx="0">
                  <c:v>想要&amp;奢侈品</c:v>
                </c:pt>
              </c:strCache>
            </c:strRef>
          </c:tx>
          <c:invertIfNegative val="0"/>
          <c:cat>
            <c:numRef>
              <c:f>留底!$V$10:$V$21</c:f>
              <c:numCache>
                <c:formatCode>General</c:formatCode>
                <c:ptCount val="12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</c:numCache>
            </c:numRef>
          </c:cat>
          <c:val>
            <c:numRef>
              <c:f>留底!$X$10:$X$21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2C-4E27-93ED-E385E5734763}"/>
            </c:ext>
          </c:extLst>
        </c:ser>
        <c:ser>
          <c:idx val="2"/>
          <c:order val="2"/>
          <c:tx>
            <c:strRef>
              <c:f>留底!$Y$9</c:f>
              <c:strCache>
                <c:ptCount val="1"/>
                <c:pt idx="0">
                  <c:v>一次性支出</c:v>
                </c:pt>
              </c:strCache>
            </c:strRef>
          </c:tx>
          <c:invertIfNegative val="0"/>
          <c:cat>
            <c:numRef>
              <c:f>留底!$V$10:$V$21</c:f>
              <c:numCache>
                <c:formatCode>General</c:formatCode>
                <c:ptCount val="12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</c:numCache>
            </c:numRef>
          </c:cat>
          <c:val>
            <c:numRef>
              <c:f>留底!$Y$10:$Y$21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6753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2C-4E27-93ED-E385E5734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849216"/>
        <c:axId val="959850752"/>
      </c:barChart>
      <c:lineChart>
        <c:grouping val="standard"/>
        <c:varyColors val="0"/>
        <c:ser>
          <c:idx val="3"/>
          <c:order val="3"/>
          <c:tx>
            <c:strRef>
              <c:f>留底!$Z$9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cat>
            <c:numRef>
              <c:f>留底!$V$10:$V$21</c:f>
              <c:numCache>
                <c:formatCode>General</c:formatCode>
                <c:ptCount val="12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</c:numCache>
            </c:numRef>
          </c:cat>
          <c:val>
            <c:numRef>
              <c:f>留底!$Z$10:$Z$21</c:f>
              <c:numCache>
                <c:formatCode>_-* #,##0_-;\-* #,##0_-;_-* "-"??_-;_-@_-</c:formatCode>
                <c:ptCount val="12"/>
                <c:pt idx="0">
                  <c:v>28097</c:v>
                </c:pt>
                <c:pt idx="1">
                  <c:v>28097</c:v>
                </c:pt>
                <c:pt idx="2">
                  <c:v>28097</c:v>
                </c:pt>
                <c:pt idx="3">
                  <c:v>28097</c:v>
                </c:pt>
                <c:pt idx="4">
                  <c:v>34850</c:v>
                </c:pt>
                <c:pt idx="5">
                  <c:v>28097</c:v>
                </c:pt>
                <c:pt idx="6">
                  <c:v>12097</c:v>
                </c:pt>
                <c:pt idx="7">
                  <c:v>12097</c:v>
                </c:pt>
                <c:pt idx="8">
                  <c:v>34597</c:v>
                </c:pt>
                <c:pt idx="9">
                  <c:v>34597</c:v>
                </c:pt>
                <c:pt idx="10">
                  <c:v>34597</c:v>
                </c:pt>
                <c:pt idx="11">
                  <c:v>34597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2C-4E27-93ED-E385E5734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849216"/>
        <c:axId val="959850752"/>
      </c:lineChart>
      <c:catAx>
        <c:axId val="95984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9850752"/>
        <c:crosses val="autoZero"/>
        <c:auto val="1"/>
        <c:lblAlgn val="ctr"/>
        <c:lblOffset val="100"/>
        <c:noMultiLvlLbl val="0"/>
      </c:catAx>
      <c:valAx>
        <c:axId val="959850752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95984921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生活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B3-4CCF-9375-BD8176ABC0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B3-4CCF-9375-BD8176ABC0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B3-4CCF-9375-BD8176ABC0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B3-4CCF-9375-BD8176ABC0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B3-4CCF-9375-BD8176ABC0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CB3-4CCF-9375-BD8176ABC0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CB3-4CCF-9375-BD8176ABC0C8}"/>
              </c:ext>
            </c:extLst>
          </c:dPt>
          <c:cat>
            <c:strRef>
              <c:f>留底!$AE$9:$AK$9</c:f>
              <c:strCache>
                <c:ptCount val="7"/>
                <c:pt idx="0">
                  <c:v>食</c:v>
                </c:pt>
                <c:pt idx="1">
                  <c:v>衣</c:v>
                </c:pt>
                <c:pt idx="2">
                  <c:v>住</c:v>
                </c:pt>
                <c:pt idx="3">
                  <c:v>醫療費用</c:v>
                </c:pt>
                <c:pt idx="4">
                  <c:v>育-基本</c:v>
                </c:pt>
                <c:pt idx="5">
                  <c:v>育-才藝</c:v>
                </c:pt>
                <c:pt idx="6">
                  <c:v>行</c:v>
                </c:pt>
              </c:strCache>
            </c:strRef>
          </c:cat>
          <c:val>
            <c:numRef>
              <c:f>留底!$AE$5:$AK$5</c:f>
              <c:numCache>
                <c:formatCode>_-* #,##0_-;\-* #,##0_-;_-* "-"??_-;_-@_-</c:formatCode>
                <c:ptCount val="7"/>
                <c:pt idx="0">
                  <c:v>96000</c:v>
                </c:pt>
                <c:pt idx="1">
                  <c:v>0</c:v>
                </c:pt>
                <c:pt idx="2">
                  <c:v>42000</c:v>
                </c:pt>
                <c:pt idx="3">
                  <c:v>0</c:v>
                </c:pt>
                <c:pt idx="4">
                  <c:v>186000</c:v>
                </c:pt>
                <c:pt idx="5">
                  <c:v>0</c:v>
                </c:pt>
                <c:pt idx="6">
                  <c:v>7164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CB3-4CCF-9375-BD8176ABC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想要</a:t>
            </a:r>
            <a:r>
              <a:rPr lang="en-US" altLang="zh-TW"/>
              <a:t>&amp;</a:t>
            </a:r>
            <a:r>
              <a:rPr lang="zh-TW" altLang="en-US"/>
              <a:t>奢侈品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6B-4F31-9587-85C4983984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6B-4F31-9587-85C4983984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6B-4F31-9587-85C4983984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6B-4F31-9587-85C4983984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6B-4F31-9587-85C4983984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A6B-4F31-9587-85C4983984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A6B-4F31-9587-85C49839842F}"/>
              </c:ext>
            </c:extLst>
          </c:dPt>
          <c:cat>
            <c:strRef>
              <c:f>留底!$AL$9:$AP$9</c:f>
              <c:strCache>
                <c:ptCount val="5"/>
                <c:pt idx="0">
                  <c:v>N</c:v>
                </c:pt>
                <c:pt idx="1">
                  <c:v>A</c:v>
                </c:pt>
                <c:pt idx="2">
                  <c:v>L</c:v>
                </c:pt>
                <c:pt idx="3">
                  <c:v>D</c:v>
                </c:pt>
                <c:pt idx="4">
                  <c:v>其它</c:v>
                </c:pt>
              </c:strCache>
            </c:strRef>
          </c:cat>
          <c:val>
            <c:numRef>
              <c:f>留底!$AL$5:$AP$5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6B-4F31-9587-85C498398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一次性支出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9F-420D-A7B8-5C9C2FF8F2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9F-420D-A7B8-5C9C2FF8F2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9F-420D-A7B8-5C9C2FF8F2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9F-420D-A7B8-5C9C2FF8F2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9F-420D-A7B8-5C9C2FF8F2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9F-420D-A7B8-5C9C2FF8F2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C9F-420D-A7B8-5C9C2FF8F290}"/>
              </c:ext>
            </c:extLst>
          </c:dPt>
          <c:cat>
            <c:strRef>
              <c:f>留底!$AQ$9:$AU$9</c:f>
              <c:strCache>
                <c:ptCount val="5"/>
                <c:pt idx="0">
                  <c:v>旅遊</c:v>
                </c:pt>
                <c:pt idx="1">
                  <c:v>家庭聚會</c:v>
                </c:pt>
                <c:pt idx="2">
                  <c:v>稅費</c:v>
                </c:pt>
                <c:pt idx="3">
                  <c:v>保險</c:v>
                </c:pt>
                <c:pt idx="4">
                  <c:v>其它</c:v>
                </c:pt>
              </c:strCache>
            </c:strRef>
          </c:cat>
          <c:val>
            <c:numRef>
              <c:f>留底!$AQ$5:$AU$5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6753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C9F-420D-A7B8-5C9C2FF8F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'2022'!$A$1:$A$3</c:f>
              <c:strCache>
                <c:ptCount val="3"/>
                <c:pt idx="0">
                  <c:v>生活</c:v>
                </c:pt>
                <c:pt idx="1">
                  <c:v>想要&amp;奢侈品</c:v>
                </c:pt>
                <c:pt idx="2">
                  <c:v>一次性支出</c:v>
                </c:pt>
              </c:strCache>
            </c:strRef>
          </c:cat>
          <c:val>
            <c:numRef>
              <c:f>'2022'!$C$1:$C$3</c:f>
              <c:numCache>
                <c:formatCode>0%</c:formatCode>
                <c:ptCount val="3"/>
                <c:pt idx="0">
                  <c:v>0.55403479841643444</c:v>
                </c:pt>
                <c:pt idx="1">
                  <c:v>9.5529387483660883E-2</c:v>
                </c:pt>
                <c:pt idx="2">
                  <c:v>0.35043581409990471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8-4493-B1EE-22F108C8E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613398603924542E-2"/>
          <c:y val="0.11635562442101707"/>
          <c:w val="0.88959552965587396"/>
          <c:h val="0.8164503250941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'2022'!$W$9</c:f>
              <c:strCache>
                <c:ptCount val="1"/>
                <c:pt idx="0">
                  <c:v>生活</c:v>
                </c:pt>
              </c:strCache>
            </c:strRef>
          </c:tx>
          <c:invertIfNegative val="0"/>
          <c:cat>
            <c:numRef>
              <c:f>'2022'!$V$10:$V$21</c:f>
              <c:numCache>
                <c:formatCode>General</c:formatCode>
                <c:ptCount val="12"/>
                <c:pt idx="0">
                  <c:v>202201</c:v>
                </c:pt>
                <c:pt idx="1">
                  <c:v>202202</c:v>
                </c:pt>
                <c:pt idx="2">
                  <c:v>202203</c:v>
                </c:pt>
                <c:pt idx="3">
                  <c:v>202204</c:v>
                </c:pt>
                <c:pt idx="4">
                  <c:v>202205</c:v>
                </c:pt>
                <c:pt idx="5">
                  <c:v>202206</c:v>
                </c:pt>
                <c:pt idx="6">
                  <c:v>202207</c:v>
                </c:pt>
                <c:pt idx="7">
                  <c:v>202208</c:v>
                </c:pt>
                <c:pt idx="8">
                  <c:v>202209</c:v>
                </c:pt>
                <c:pt idx="9">
                  <c:v>202210</c:v>
                </c:pt>
                <c:pt idx="10">
                  <c:v>202211</c:v>
                </c:pt>
                <c:pt idx="11">
                  <c:v>202212</c:v>
                </c:pt>
              </c:numCache>
            </c:numRef>
          </c:cat>
          <c:val>
            <c:numRef>
              <c:f>'2022'!$W$10:$W$21</c:f>
              <c:numCache>
                <c:formatCode>_-* #,##0_-;\-* #,##0_-;_-* "-"??_-;_-@_-</c:formatCode>
                <c:ptCount val="12"/>
                <c:pt idx="0">
                  <c:v>88708</c:v>
                </c:pt>
                <c:pt idx="1">
                  <c:v>119204</c:v>
                </c:pt>
                <c:pt idx="2">
                  <c:v>80935</c:v>
                </c:pt>
                <c:pt idx="3">
                  <c:v>73737</c:v>
                </c:pt>
                <c:pt idx="4">
                  <c:v>72461</c:v>
                </c:pt>
                <c:pt idx="5">
                  <c:v>103782</c:v>
                </c:pt>
                <c:pt idx="6">
                  <c:v>92502</c:v>
                </c:pt>
                <c:pt idx="7">
                  <c:v>107618</c:v>
                </c:pt>
                <c:pt idx="8">
                  <c:v>109508</c:v>
                </c:pt>
                <c:pt idx="9">
                  <c:v>61882</c:v>
                </c:pt>
                <c:pt idx="10">
                  <c:v>58832</c:v>
                </c:pt>
                <c:pt idx="11">
                  <c:v>93862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A-48FD-B399-3577CF93D5CA}"/>
            </c:ext>
          </c:extLst>
        </c:ser>
        <c:ser>
          <c:idx val="1"/>
          <c:order val="1"/>
          <c:tx>
            <c:strRef>
              <c:f>'2022'!$X$9</c:f>
              <c:strCache>
                <c:ptCount val="1"/>
                <c:pt idx="0">
                  <c:v>想要&amp;奢侈品</c:v>
                </c:pt>
              </c:strCache>
            </c:strRef>
          </c:tx>
          <c:invertIfNegative val="0"/>
          <c:cat>
            <c:numRef>
              <c:f>'2022'!$V$10:$V$21</c:f>
              <c:numCache>
                <c:formatCode>General</c:formatCode>
                <c:ptCount val="12"/>
                <c:pt idx="0">
                  <c:v>202201</c:v>
                </c:pt>
                <c:pt idx="1">
                  <c:v>202202</c:v>
                </c:pt>
                <c:pt idx="2">
                  <c:v>202203</c:v>
                </c:pt>
                <c:pt idx="3">
                  <c:v>202204</c:v>
                </c:pt>
                <c:pt idx="4">
                  <c:v>202205</c:v>
                </c:pt>
                <c:pt idx="5">
                  <c:v>202206</c:v>
                </c:pt>
                <c:pt idx="6">
                  <c:v>202207</c:v>
                </c:pt>
                <c:pt idx="7">
                  <c:v>202208</c:v>
                </c:pt>
                <c:pt idx="8">
                  <c:v>202209</c:v>
                </c:pt>
                <c:pt idx="9">
                  <c:v>202210</c:v>
                </c:pt>
                <c:pt idx="10">
                  <c:v>202211</c:v>
                </c:pt>
                <c:pt idx="11">
                  <c:v>202212</c:v>
                </c:pt>
              </c:numCache>
            </c:numRef>
          </c:cat>
          <c:val>
            <c:numRef>
              <c:f>'2022'!$X$10:$X$21</c:f>
              <c:numCache>
                <c:formatCode>_-* #,##0_-;\-* #,##0_-;_-* "-"??_-;_-@_-</c:formatCode>
                <c:ptCount val="12"/>
                <c:pt idx="0">
                  <c:v>16910</c:v>
                </c:pt>
                <c:pt idx="1">
                  <c:v>12210</c:v>
                </c:pt>
                <c:pt idx="2">
                  <c:v>9808</c:v>
                </c:pt>
                <c:pt idx="3">
                  <c:v>2685</c:v>
                </c:pt>
                <c:pt idx="4">
                  <c:v>4397</c:v>
                </c:pt>
                <c:pt idx="5">
                  <c:v>16479</c:v>
                </c:pt>
                <c:pt idx="6">
                  <c:v>27978</c:v>
                </c:pt>
                <c:pt idx="7">
                  <c:v>5477</c:v>
                </c:pt>
                <c:pt idx="8">
                  <c:v>6062</c:v>
                </c:pt>
                <c:pt idx="9">
                  <c:v>37355</c:v>
                </c:pt>
                <c:pt idx="10">
                  <c:v>13608</c:v>
                </c:pt>
                <c:pt idx="11">
                  <c:v>30324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A-48FD-B399-3577CF93D5CA}"/>
            </c:ext>
          </c:extLst>
        </c:ser>
        <c:ser>
          <c:idx val="2"/>
          <c:order val="2"/>
          <c:tx>
            <c:strRef>
              <c:f>'2022'!$Y$9</c:f>
              <c:strCache>
                <c:ptCount val="1"/>
                <c:pt idx="0">
                  <c:v>一次性支出</c:v>
                </c:pt>
              </c:strCache>
            </c:strRef>
          </c:tx>
          <c:invertIfNegative val="0"/>
          <c:cat>
            <c:numRef>
              <c:f>'2022'!$V$10:$V$21</c:f>
              <c:numCache>
                <c:formatCode>General</c:formatCode>
                <c:ptCount val="12"/>
                <c:pt idx="0">
                  <c:v>202201</c:v>
                </c:pt>
                <c:pt idx="1">
                  <c:v>202202</c:v>
                </c:pt>
                <c:pt idx="2">
                  <c:v>202203</c:v>
                </c:pt>
                <c:pt idx="3">
                  <c:v>202204</c:v>
                </c:pt>
                <c:pt idx="4">
                  <c:v>202205</c:v>
                </c:pt>
                <c:pt idx="5">
                  <c:v>202206</c:v>
                </c:pt>
                <c:pt idx="6">
                  <c:v>202207</c:v>
                </c:pt>
                <c:pt idx="7">
                  <c:v>202208</c:v>
                </c:pt>
                <c:pt idx="8">
                  <c:v>202209</c:v>
                </c:pt>
                <c:pt idx="9">
                  <c:v>202210</c:v>
                </c:pt>
                <c:pt idx="10">
                  <c:v>202211</c:v>
                </c:pt>
                <c:pt idx="11">
                  <c:v>202212</c:v>
                </c:pt>
              </c:numCache>
            </c:numRef>
          </c:cat>
          <c:val>
            <c:numRef>
              <c:f>'2022'!$Y$10:$Y$21</c:f>
              <c:numCache>
                <c:formatCode>_-* #,##0_-;\-* #,##0_-;_-* "-"??_-;_-@_-</c:formatCode>
                <c:ptCount val="12"/>
                <c:pt idx="0">
                  <c:v>49139</c:v>
                </c:pt>
                <c:pt idx="1">
                  <c:v>48603</c:v>
                </c:pt>
                <c:pt idx="2">
                  <c:v>52826</c:v>
                </c:pt>
                <c:pt idx="3">
                  <c:v>53868</c:v>
                </c:pt>
                <c:pt idx="4">
                  <c:v>68511</c:v>
                </c:pt>
                <c:pt idx="5">
                  <c:v>75658</c:v>
                </c:pt>
                <c:pt idx="6">
                  <c:v>37260</c:v>
                </c:pt>
                <c:pt idx="7">
                  <c:v>38795</c:v>
                </c:pt>
                <c:pt idx="8">
                  <c:v>84963</c:v>
                </c:pt>
                <c:pt idx="9">
                  <c:v>42192</c:v>
                </c:pt>
                <c:pt idx="10">
                  <c:v>62317</c:v>
                </c:pt>
                <c:pt idx="11">
                  <c:v>58252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AA-48FD-B399-3577CF93D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849216"/>
        <c:axId val="959850752"/>
      </c:barChart>
      <c:lineChart>
        <c:grouping val="standard"/>
        <c:varyColors val="0"/>
        <c:ser>
          <c:idx val="3"/>
          <c:order val="3"/>
          <c:tx>
            <c:strRef>
              <c:f>'2022'!$Z$9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cat>
            <c:numRef>
              <c:f>'2022'!$V$10:$V$21</c:f>
              <c:numCache>
                <c:formatCode>General</c:formatCode>
                <c:ptCount val="12"/>
                <c:pt idx="0">
                  <c:v>202201</c:v>
                </c:pt>
                <c:pt idx="1">
                  <c:v>202202</c:v>
                </c:pt>
                <c:pt idx="2">
                  <c:v>202203</c:v>
                </c:pt>
                <c:pt idx="3">
                  <c:v>202204</c:v>
                </c:pt>
                <c:pt idx="4">
                  <c:v>202205</c:v>
                </c:pt>
                <c:pt idx="5">
                  <c:v>202206</c:v>
                </c:pt>
                <c:pt idx="6">
                  <c:v>202207</c:v>
                </c:pt>
                <c:pt idx="7">
                  <c:v>202208</c:v>
                </c:pt>
                <c:pt idx="8">
                  <c:v>202209</c:v>
                </c:pt>
                <c:pt idx="9">
                  <c:v>202210</c:v>
                </c:pt>
                <c:pt idx="10">
                  <c:v>202211</c:v>
                </c:pt>
                <c:pt idx="11">
                  <c:v>202212</c:v>
                </c:pt>
              </c:numCache>
            </c:numRef>
          </c:cat>
          <c:val>
            <c:numRef>
              <c:f>'2022'!$Z$10:$Z$21</c:f>
              <c:numCache>
                <c:formatCode>_-* #,##0_-;\-* #,##0_-;_-* "-"??_-;_-@_-</c:formatCode>
                <c:ptCount val="12"/>
                <c:pt idx="0">
                  <c:v>154757</c:v>
                </c:pt>
                <c:pt idx="1">
                  <c:v>180017</c:v>
                </c:pt>
                <c:pt idx="2">
                  <c:v>143569</c:v>
                </c:pt>
                <c:pt idx="3">
                  <c:v>130290</c:v>
                </c:pt>
                <c:pt idx="4">
                  <c:v>145369</c:v>
                </c:pt>
                <c:pt idx="5">
                  <c:v>195919</c:v>
                </c:pt>
                <c:pt idx="6">
                  <c:v>157740</c:v>
                </c:pt>
                <c:pt idx="7">
                  <c:v>151890</c:v>
                </c:pt>
                <c:pt idx="8">
                  <c:v>200533</c:v>
                </c:pt>
                <c:pt idx="9">
                  <c:v>141429</c:v>
                </c:pt>
                <c:pt idx="10">
                  <c:v>134757</c:v>
                </c:pt>
                <c:pt idx="11">
                  <c:v>182438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AA-48FD-B399-3577CF93D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849216"/>
        <c:axId val="959850752"/>
      </c:lineChart>
      <c:catAx>
        <c:axId val="95984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9850752"/>
        <c:crosses val="autoZero"/>
        <c:auto val="1"/>
        <c:lblAlgn val="ctr"/>
        <c:lblOffset val="100"/>
        <c:noMultiLvlLbl val="0"/>
      </c:catAx>
      <c:valAx>
        <c:axId val="959850752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95984921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生活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0E-45E3-979E-D2D5CDACC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0E-45E3-979E-D2D5CDACC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0E-45E3-979E-D2D5CDACCF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0E-45E3-979E-D2D5CDACCF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0E-45E3-979E-D2D5CDACCF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B0E-45E3-979E-D2D5CDACCF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B0E-45E3-979E-D2D5CDACCFA4}"/>
              </c:ext>
            </c:extLst>
          </c:dPt>
          <c:cat>
            <c:strRef>
              <c:f>'2022'!$AE$9:$AK$9</c:f>
              <c:strCache>
                <c:ptCount val="7"/>
                <c:pt idx="0">
                  <c:v>費用</c:v>
                </c:pt>
                <c:pt idx="1">
                  <c:v>加油</c:v>
                </c:pt>
                <c:pt idx="2">
                  <c:v>吃飯</c:v>
                </c:pt>
                <c:pt idx="3">
                  <c:v>尿布</c:v>
                </c:pt>
                <c:pt idx="4">
                  <c:v>奶粉</c:v>
                </c:pt>
                <c:pt idx="5">
                  <c:v>家用品</c:v>
                </c:pt>
                <c:pt idx="6">
                  <c:v>兩小學費</c:v>
                </c:pt>
              </c:strCache>
            </c:strRef>
          </c:cat>
          <c:val>
            <c:numRef>
              <c:f>'2022'!$AE$7:$AK$7</c:f>
              <c:numCache>
                <c:formatCode>_-* #,##0_-;\-* #,##0_-;_-* "-"??_-;_-@_-</c:formatCode>
                <c:ptCount val="7"/>
                <c:pt idx="0">
                  <c:v>181701</c:v>
                </c:pt>
                <c:pt idx="1">
                  <c:v>40833</c:v>
                </c:pt>
                <c:pt idx="2">
                  <c:v>306599</c:v>
                </c:pt>
                <c:pt idx="3">
                  <c:v>0</c:v>
                </c:pt>
                <c:pt idx="4">
                  <c:v>8470</c:v>
                </c:pt>
                <c:pt idx="5">
                  <c:v>60011</c:v>
                </c:pt>
                <c:pt idx="6">
                  <c:v>465417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0E-45E3-979E-D2D5CDACC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想要</a:t>
            </a:r>
            <a:r>
              <a:rPr lang="en-US" altLang="zh-TW"/>
              <a:t>&amp;</a:t>
            </a:r>
            <a:r>
              <a:rPr lang="zh-TW" altLang="en-US"/>
              <a:t>奢侈品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904-AF88-48E2EE2CFA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A9-4904-AF88-48E2EE2CFA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A9-4904-AF88-48E2EE2CFA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A9-4904-AF88-48E2EE2CFA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A9-4904-AF88-48E2EE2CFA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A9-4904-AF88-48E2EE2CFA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CA9-4904-AF88-48E2EE2CFA0E}"/>
              </c:ext>
            </c:extLst>
          </c:dPt>
          <c:cat>
            <c:strRef>
              <c:f>'2022'!$AL$9:$AP$9</c:f>
              <c:strCache>
                <c:ptCount val="5"/>
                <c:pt idx="0">
                  <c:v>N</c:v>
                </c:pt>
                <c:pt idx="1">
                  <c:v>A</c:v>
                </c:pt>
                <c:pt idx="2">
                  <c:v>L</c:v>
                </c:pt>
                <c:pt idx="3">
                  <c:v>D</c:v>
                </c:pt>
                <c:pt idx="4">
                  <c:v>其它</c:v>
                </c:pt>
              </c:strCache>
            </c:strRef>
          </c:cat>
          <c:val>
            <c:numRef>
              <c:f>'2022'!$AL$7:$AP$7</c:f>
              <c:numCache>
                <c:formatCode>_-* #,##0_-;\-* #,##0_-;_-* "-"??_-;_-@_-</c:formatCode>
                <c:ptCount val="5"/>
                <c:pt idx="0">
                  <c:v>80080</c:v>
                </c:pt>
                <c:pt idx="1">
                  <c:v>58952</c:v>
                </c:pt>
                <c:pt idx="2">
                  <c:v>16262</c:v>
                </c:pt>
                <c:pt idx="3">
                  <c:v>15300</c:v>
                </c:pt>
                <c:pt idx="4">
                  <c:v>12699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CA9-4904-AF88-48E2EE2CF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一次性支出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B0-416D-A0EF-6EBB26A1A9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B0-416D-A0EF-6EBB26A1A9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B0-416D-A0EF-6EBB26A1A9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B0-416D-A0EF-6EBB26A1A9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B0-416D-A0EF-6EBB26A1A9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B0-416D-A0EF-6EBB26A1A9F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B0-416D-A0EF-6EBB26A1A9FA}"/>
              </c:ext>
            </c:extLst>
          </c:dPt>
          <c:cat>
            <c:strRef>
              <c:f>'2022'!$AQ$9:$AU$9</c:f>
              <c:strCache>
                <c:ptCount val="5"/>
                <c:pt idx="0">
                  <c:v>旅遊</c:v>
                </c:pt>
                <c:pt idx="1">
                  <c:v>家庭聚會</c:v>
                </c:pt>
                <c:pt idx="2">
                  <c:v>稅費</c:v>
                </c:pt>
                <c:pt idx="3">
                  <c:v>保險</c:v>
                </c:pt>
                <c:pt idx="4">
                  <c:v>其它</c:v>
                </c:pt>
              </c:strCache>
            </c:strRef>
          </c:cat>
          <c:val>
            <c:numRef>
              <c:f>'2022'!$AQ$7:$AU$7</c:f>
              <c:numCache>
                <c:formatCode>_-* #,##0_-;\-* #,##0_-;_-* "-"??_-;_-@_-</c:formatCode>
                <c:ptCount val="5"/>
                <c:pt idx="0">
                  <c:v>117455</c:v>
                </c:pt>
                <c:pt idx="1">
                  <c:v>13256</c:v>
                </c:pt>
                <c:pt idx="2">
                  <c:v>414111</c:v>
                </c:pt>
                <c:pt idx="3">
                  <c:v>33421</c:v>
                </c:pt>
                <c:pt idx="4">
                  <c:v>94141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EB0-416D-A0EF-6EBB26A1A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'2021'!$A$1:$A$3</c:f>
              <c:strCache>
                <c:ptCount val="3"/>
                <c:pt idx="0">
                  <c:v>生活</c:v>
                </c:pt>
                <c:pt idx="1">
                  <c:v>想要&amp;奢侈品</c:v>
                </c:pt>
                <c:pt idx="2">
                  <c:v>一次性支出</c:v>
                </c:pt>
              </c:strCache>
            </c:strRef>
          </c:cat>
          <c:val>
            <c:numRef>
              <c:f>'2021'!$C$1:$C$3</c:f>
              <c:numCache>
                <c:formatCode>0%</c:formatCode>
                <c:ptCount val="3"/>
                <c:pt idx="0">
                  <c:v>0.60263601141606937</c:v>
                </c:pt>
                <c:pt idx="1">
                  <c:v>8.9391343482435867E-2</c:v>
                </c:pt>
                <c:pt idx="2">
                  <c:v>0.30797264510149475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C-41D3-A9A8-DA746AF57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'2021'!$W$9</c:f>
              <c:strCache>
                <c:ptCount val="1"/>
                <c:pt idx="0">
                  <c:v>生活</c:v>
                </c:pt>
              </c:strCache>
            </c:strRef>
          </c:tx>
          <c:invertIfNegative val="0"/>
          <c:cat>
            <c:numRef>
              <c:f>'2021'!$V$10:$V$21</c:f>
              <c:numCache>
                <c:formatCode>General</c:formatCode>
                <c:ptCount val="12"/>
                <c:pt idx="0">
                  <c:v>202101</c:v>
                </c:pt>
                <c:pt idx="1">
                  <c:v>202102</c:v>
                </c:pt>
                <c:pt idx="2">
                  <c:v>202103</c:v>
                </c:pt>
                <c:pt idx="3">
                  <c:v>202104</c:v>
                </c:pt>
                <c:pt idx="4">
                  <c:v>202105</c:v>
                </c:pt>
                <c:pt idx="5">
                  <c:v>202106</c:v>
                </c:pt>
                <c:pt idx="6">
                  <c:v>202107</c:v>
                </c:pt>
                <c:pt idx="7">
                  <c:v>202108</c:v>
                </c:pt>
                <c:pt idx="8">
                  <c:v>202109</c:v>
                </c:pt>
                <c:pt idx="9">
                  <c:v>202110</c:v>
                </c:pt>
                <c:pt idx="10">
                  <c:v>202111</c:v>
                </c:pt>
                <c:pt idx="11">
                  <c:v>202112</c:v>
                </c:pt>
              </c:numCache>
            </c:numRef>
          </c:cat>
          <c:val>
            <c:numRef>
              <c:f>'2021'!$W$10:$W$21</c:f>
              <c:numCache>
                <c:formatCode>_-* #,##0_-;\-* #,##0_-;_-* "-"??_-;_-@_-</c:formatCode>
                <c:ptCount val="12"/>
                <c:pt idx="0">
                  <c:v>112901</c:v>
                </c:pt>
                <c:pt idx="1">
                  <c:v>132209</c:v>
                </c:pt>
                <c:pt idx="2">
                  <c:v>81258</c:v>
                </c:pt>
                <c:pt idx="3">
                  <c:v>70618</c:v>
                </c:pt>
                <c:pt idx="4">
                  <c:v>85442</c:v>
                </c:pt>
                <c:pt idx="5">
                  <c:v>59111</c:v>
                </c:pt>
                <c:pt idx="6">
                  <c:v>71560</c:v>
                </c:pt>
                <c:pt idx="7">
                  <c:v>103529</c:v>
                </c:pt>
                <c:pt idx="8">
                  <c:v>121417</c:v>
                </c:pt>
                <c:pt idx="9">
                  <c:v>76703</c:v>
                </c:pt>
                <c:pt idx="10">
                  <c:v>76814</c:v>
                </c:pt>
                <c:pt idx="11">
                  <c:v>90389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8-4C32-BF5E-8B294ADDCCB0}"/>
            </c:ext>
          </c:extLst>
        </c:ser>
        <c:ser>
          <c:idx val="1"/>
          <c:order val="1"/>
          <c:tx>
            <c:strRef>
              <c:f>'2021'!$X$9</c:f>
              <c:strCache>
                <c:ptCount val="1"/>
                <c:pt idx="0">
                  <c:v>想要&amp;奢侈品</c:v>
                </c:pt>
              </c:strCache>
            </c:strRef>
          </c:tx>
          <c:invertIfNegative val="0"/>
          <c:cat>
            <c:numRef>
              <c:f>'2021'!$V$10:$V$21</c:f>
              <c:numCache>
                <c:formatCode>General</c:formatCode>
                <c:ptCount val="12"/>
                <c:pt idx="0">
                  <c:v>202101</c:v>
                </c:pt>
                <c:pt idx="1">
                  <c:v>202102</c:v>
                </c:pt>
                <c:pt idx="2">
                  <c:v>202103</c:v>
                </c:pt>
                <c:pt idx="3">
                  <c:v>202104</c:v>
                </c:pt>
                <c:pt idx="4">
                  <c:v>202105</c:v>
                </c:pt>
                <c:pt idx="5">
                  <c:v>202106</c:v>
                </c:pt>
                <c:pt idx="6">
                  <c:v>202107</c:v>
                </c:pt>
                <c:pt idx="7">
                  <c:v>202108</c:v>
                </c:pt>
                <c:pt idx="8">
                  <c:v>202109</c:v>
                </c:pt>
                <c:pt idx="9">
                  <c:v>202110</c:v>
                </c:pt>
                <c:pt idx="10">
                  <c:v>202111</c:v>
                </c:pt>
                <c:pt idx="11">
                  <c:v>202112</c:v>
                </c:pt>
              </c:numCache>
            </c:numRef>
          </c:cat>
          <c:val>
            <c:numRef>
              <c:f>'2021'!$X$10:$X$21</c:f>
              <c:numCache>
                <c:formatCode>_-* #,##0_-;\-* #,##0_-;_-* "-"??_-;_-@_-</c:formatCode>
                <c:ptCount val="12"/>
                <c:pt idx="0">
                  <c:v>21475</c:v>
                </c:pt>
                <c:pt idx="1">
                  <c:v>4357</c:v>
                </c:pt>
                <c:pt idx="2">
                  <c:v>2494</c:v>
                </c:pt>
                <c:pt idx="3">
                  <c:v>5160</c:v>
                </c:pt>
                <c:pt idx="4">
                  <c:v>2983</c:v>
                </c:pt>
                <c:pt idx="5">
                  <c:v>475</c:v>
                </c:pt>
                <c:pt idx="6">
                  <c:v>4810</c:v>
                </c:pt>
                <c:pt idx="7">
                  <c:v>30298</c:v>
                </c:pt>
                <c:pt idx="8">
                  <c:v>3311</c:v>
                </c:pt>
                <c:pt idx="9">
                  <c:v>20224</c:v>
                </c:pt>
                <c:pt idx="10">
                  <c:v>46270</c:v>
                </c:pt>
                <c:pt idx="11">
                  <c:v>18633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A8-4C32-BF5E-8B294ADDCCB0}"/>
            </c:ext>
          </c:extLst>
        </c:ser>
        <c:ser>
          <c:idx val="2"/>
          <c:order val="2"/>
          <c:tx>
            <c:strRef>
              <c:f>'2021'!$Y$9</c:f>
              <c:strCache>
                <c:ptCount val="1"/>
                <c:pt idx="0">
                  <c:v>一次性支出</c:v>
                </c:pt>
              </c:strCache>
            </c:strRef>
          </c:tx>
          <c:invertIfNegative val="0"/>
          <c:cat>
            <c:numRef>
              <c:f>'2021'!$V$10:$V$21</c:f>
              <c:numCache>
                <c:formatCode>General</c:formatCode>
                <c:ptCount val="12"/>
                <c:pt idx="0">
                  <c:v>202101</c:v>
                </c:pt>
                <c:pt idx="1">
                  <c:v>202102</c:v>
                </c:pt>
                <c:pt idx="2">
                  <c:v>202103</c:v>
                </c:pt>
                <c:pt idx="3">
                  <c:v>202104</c:v>
                </c:pt>
                <c:pt idx="4">
                  <c:v>202105</c:v>
                </c:pt>
                <c:pt idx="5">
                  <c:v>202106</c:v>
                </c:pt>
                <c:pt idx="6">
                  <c:v>202107</c:v>
                </c:pt>
                <c:pt idx="7">
                  <c:v>202108</c:v>
                </c:pt>
                <c:pt idx="8">
                  <c:v>202109</c:v>
                </c:pt>
                <c:pt idx="9">
                  <c:v>202110</c:v>
                </c:pt>
                <c:pt idx="10">
                  <c:v>202111</c:v>
                </c:pt>
                <c:pt idx="11">
                  <c:v>202112</c:v>
                </c:pt>
              </c:numCache>
            </c:numRef>
          </c:cat>
          <c:val>
            <c:numRef>
              <c:f>'2021'!$Y$10:$Y$21</c:f>
              <c:numCache>
                <c:formatCode>_-* #,##0_-;\-* #,##0_-;_-* "-"??_-;_-@_-</c:formatCode>
                <c:ptCount val="12"/>
                <c:pt idx="0">
                  <c:v>45143</c:v>
                </c:pt>
                <c:pt idx="1">
                  <c:v>56099</c:v>
                </c:pt>
                <c:pt idx="2">
                  <c:v>38779</c:v>
                </c:pt>
                <c:pt idx="3">
                  <c:v>63697</c:v>
                </c:pt>
                <c:pt idx="4">
                  <c:v>47724</c:v>
                </c:pt>
                <c:pt idx="5">
                  <c:v>27778</c:v>
                </c:pt>
                <c:pt idx="6">
                  <c:v>77218</c:v>
                </c:pt>
                <c:pt idx="7">
                  <c:v>59200</c:v>
                </c:pt>
                <c:pt idx="8">
                  <c:v>28278</c:v>
                </c:pt>
                <c:pt idx="9">
                  <c:v>37728</c:v>
                </c:pt>
                <c:pt idx="10">
                  <c:v>36068</c:v>
                </c:pt>
                <c:pt idx="11">
                  <c:v>35211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A8-4C32-BF5E-8B294ADDC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849216"/>
        <c:axId val="959850752"/>
      </c:barChart>
      <c:lineChart>
        <c:grouping val="standard"/>
        <c:varyColors val="0"/>
        <c:ser>
          <c:idx val="3"/>
          <c:order val="3"/>
          <c:tx>
            <c:strRef>
              <c:f>'2021'!$Z$9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cat>
            <c:numRef>
              <c:f>'2021'!$V$10:$V$21</c:f>
              <c:numCache>
                <c:formatCode>General</c:formatCode>
                <c:ptCount val="12"/>
                <c:pt idx="0">
                  <c:v>202101</c:v>
                </c:pt>
                <c:pt idx="1">
                  <c:v>202102</c:v>
                </c:pt>
                <c:pt idx="2">
                  <c:v>202103</c:v>
                </c:pt>
                <c:pt idx="3">
                  <c:v>202104</c:v>
                </c:pt>
                <c:pt idx="4">
                  <c:v>202105</c:v>
                </c:pt>
                <c:pt idx="5">
                  <c:v>202106</c:v>
                </c:pt>
                <c:pt idx="6">
                  <c:v>202107</c:v>
                </c:pt>
                <c:pt idx="7">
                  <c:v>202108</c:v>
                </c:pt>
                <c:pt idx="8">
                  <c:v>202109</c:v>
                </c:pt>
                <c:pt idx="9">
                  <c:v>202110</c:v>
                </c:pt>
                <c:pt idx="10">
                  <c:v>202111</c:v>
                </c:pt>
                <c:pt idx="11">
                  <c:v>202112</c:v>
                </c:pt>
              </c:numCache>
            </c:numRef>
          </c:cat>
          <c:val>
            <c:numRef>
              <c:f>'2021'!$Z$10:$Z$21</c:f>
              <c:numCache>
                <c:formatCode>_-* #,##0_-;\-* #,##0_-;_-* "-"??_-;_-@_-</c:formatCode>
                <c:ptCount val="12"/>
                <c:pt idx="0">
                  <c:v>179519</c:v>
                </c:pt>
                <c:pt idx="1">
                  <c:v>192665</c:v>
                </c:pt>
                <c:pt idx="2">
                  <c:v>122531</c:v>
                </c:pt>
                <c:pt idx="3">
                  <c:v>139475</c:v>
                </c:pt>
                <c:pt idx="4">
                  <c:v>136149</c:v>
                </c:pt>
                <c:pt idx="5">
                  <c:v>87364</c:v>
                </c:pt>
                <c:pt idx="6">
                  <c:v>153588</c:v>
                </c:pt>
                <c:pt idx="7">
                  <c:v>193027</c:v>
                </c:pt>
                <c:pt idx="8">
                  <c:v>153006</c:v>
                </c:pt>
                <c:pt idx="9">
                  <c:v>134655</c:v>
                </c:pt>
                <c:pt idx="10">
                  <c:v>159152</c:v>
                </c:pt>
                <c:pt idx="11">
                  <c:v>144233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A8-4C32-BF5E-8B294ADDC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849216"/>
        <c:axId val="959850752"/>
      </c:lineChart>
      <c:catAx>
        <c:axId val="95984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9850752"/>
        <c:crosses val="autoZero"/>
        <c:auto val="1"/>
        <c:lblAlgn val="ctr"/>
        <c:lblOffset val="100"/>
        <c:noMultiLvlLbl val="0"/>
      </c:catAx>
      <c:valAx>
        <c:axId val="959850752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95984921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生活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AE-495B-8CB6-24D57A6BBE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AE-495B-8CB6-24D57A6BBE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AE-495B-8CB6-24D57A6BBE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AE-495B-8CB6-24D57A6BBE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AE-495B-8CB6-24D57A6BBE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AE-495B-8CB6-24D57A6BBE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5AE-495B-8CB6-24D57A6BBEA6}"/>
              </c:ext>
            </c:extLst>
          </c:dPt>
          <c:cat>
            <c:strRef>
              <c:f>'2021'!$AE$9:$AK$9</c:f>
              <c:strCache>
                <c:ptCount val="7"/>
                <c:pt idx="0">
                  <c:v>費用</c:v>
                </c:pt>
                <c:pt idx="1">
                  <c:v>加油</c:v>
                </c:pt>
                <c:pt idx="2">
                  <c:v>吃飯</c:v>
                </c:pt>
                <c:pt idx="3">
                  <c:v>尿布</c:v>
                </c:pt>
                <c:pt idx="4">
                  <c:v>奶粉</c:v>
                </c:pt>
                <c:pt idx="5">
                  <c:v>其它</c:v>
                </c:pt>
                <c:pt idx="6">
                  <c:v>兩小學費</c:v>
                </c:pt>
              </c:strCache>
            </c:strRef>
          </c:cat>
          <c:val>
            <c:numRef>
              <c:f>'2021'!$AE$7:$AK$7</c:f>
              <c:numCache>
                <c:formatCode>_-* #,##0_-;\-* #,##0_-;_-* "-"??_-;_-@_-</c:formatCode>
                <c:ptCount val="7"/>
                <c:pt idx="0">
                  <c:v>246913</c:v>
                </c:pt>
                <c:pt idx="1">
                  <c:v>34317</c:v>
                </c:pt>
                <c:pt idx="2">
                  <c:v>374079</c:v>
                </c:pt>
                <c:pt idx="3">
                  <c:v>5103</c:v>
                </c:pt>
                <c:pt idx="4">
                  <c:v>21905</c:v>
                </c:pt>
                <c:pt idx="5">
                  <c:v>23903</c:v>
                </c:pt>
                <c:pt idx="6">
                  <c:v>375731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5-45E9-B4D3-536CB61B9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想要</a:t>
            </a:r>
            <a:r>
              <a:rPr lang="en-US" altLang="zh-TW"/>
              <a:t>&amp;</a:t>
            </a:r>
            <a:r>
              <a:rPr lang="zh-TW" altLang="en-US"/>
              <a:t>奢侈品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1A-434D-9A1E-A2A7D28B74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1A-434D-9A1E-A2A7D28B74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1A-434D-9A1E-A2A7D28B74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1A-434D-9A1E-A2A7D28B74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1A-434D-9A1E-A2A7D28B74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1A-434D-9A1E-A2A7D28B748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81A-434D-9A1E-A2A7D28B7484}"/>
              </c:ext>
            </c:extLst>
          </c:dPt>
          <c:cat>
            <c:strRef>
              <c:f>'2021'!$AL$9:$AP$9</c:f>
              <c:strCache>
                <c:ptCount val="5"/>
                <c:pt idx="0">
                  <c:v>N</c:v>
                </c:pt>
                <c:pt idx="1">
                  <c:v>A</c:v>
                </c:pt>
                <c:pt idx="2">
                  <c:v>L</c:v>
                </c:pt>
                <c:pt idx="3">
                  <c:v>D</c:v>
                </c:pt>
                <c:pt idx="4">
                  <c:v>其它</c:v>
                </c:pt>
              </c:strCache>
            </c:strRef>
          </c:cat>
          <c:val>
            <c:numRef>
              <c:f>'2021'!$AL$7:$AP$7</c:f>
              <c:numCache>
                <c:formatCode>_-* #,##0_-;\-* #,##0_-;_-* "-"??_-;_-@_-</c:formatCode>
                <c:ptCount val="5"/>
                <c:pt idx="0">
                  <c:v>63580</c:v>
                </c:pt>
                <c:pt idx="1">
                  <c:v>41613</c:v>
                </c:pt>
                <c:pt idx="2">
                  <c:v>21341</c:v>
                </c:pt>
                <c:pt idx="3">
                  <c:v>13342</c:v>
                </c:pt>
                <c:pt idx="4">
                  <c:v>20614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81A-434D-9A1E-A2A7D28B7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一次性支出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D7-4F23-B0CB-ED954167BA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D7-4F23-B0CB-ED954167BA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D7-4F23-B0CB-ED954167BA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D7-4F23-B0CB-ED954167BA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8D7-4F23-B0CB-ED954167BA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8D7-4F23-B0CB-ED954167BA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8D7-4F23-B0CB-ED954167BA29}"/>
              </c:ext>
            </c:extLst>
          </c:dPt>
          <c:cat>
            <c:strRef>
              <c:f>'2021'!$AQ$9:$AU$9</c:f>
              <c:strCache>
                <c:ptCount val="5"/>
                <c:pt idx="0">
                  <c:v>旅遊</c:v>
                </c:pt>
                <c:pt idx="1">
                  <c:v>家庭聚會</c:v>
                </c:pt>
                <c:pt idx="2">
                  <c:v>稅費</c:v>
                </c:pt>
                <c:pt idx="3">
                  <c:v>保險</c:v>
                </c:pt>
                <c:pt idx="4">
                  <c:v>其它</c:v>
                </c:pt>
              </c:strCache>
            </c:strRef>
          </c:cat>
          <c:val>
            <c:numRef>
              <c:f>'2021'!$AQ$7:$AU$7</c:f>
              <c:numCache>
                <c:formatCode>_-* #,##0_-;\-* #,##0_-;_-* "-"??_-;_-@_-</c:formatCode>
                <c:ptCount val="5"/>
                <c:pt idx="0">
                  <c:v>69489</c:v>
                </c:pt>
                <c:pt idx="1">
                  <c:v>18200</c:v>
                </c:pt>
                <c:pt idx="2">
                  <c:v>353766</c:v>
                </c:pt>
                <c:pt idx="3">
                  <c:v>54314</c:v>
                </c:pt>
                <c:pt idx="4">
                  <c:v>57154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D7-4F23-B0CB-ED954167B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'2020'!$A$1:$A$3</c:f>
              <c:strCache>
                <c:ptCount val="3"/>
                <c:pt idx="0">
                  <c:v>生活</c:v>
                </c:pt>
                <c:pt idx="1">
                  <c:v>想要&amp;奢侈品</c:v>
                </c:pt>
                <c:pt idx="2">
                  <c:v>一次性支出</c:v>
                </c:pt>
              </c:strCache>
            </c:strRef>
          </c:cat>
          <c:val>
            <c:numRef>
              <c:f>'2020'!$C$1:$C$3</c:f>
              <c:numCache>
                <c:formatCode>0%</c:formatCode>
                <c:ptCount val="3"/>
                <c:pt idx="0">
                  <c:v>0.34340384195135359</c:v>
                </c:pt>
                <c:pt idx="1">
                  <c:v>5.0963344939340662E-2</c:v>
                </c:pt>
                <c:pt idx="2">
                  <c:v>0.60563281310930572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C-41D3-A9A8-DA746AF57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'2019'!$A$1:$A$3</c:f>
              <c:strCache>
                <c:ptCount val="3"/>
                <c:pt idx="0">
                  <c:v>生活</c:v>
                </c:pt>
                <c:pt idx="1">
                  <c:v>想要&amp;奢侈品</c:v>
                </c:pt>
                <c:pt idx="2">
                  <c:v>一次性支出</c:v>
                </c:pt>
              </c:strCache>
            </c:strRef>
          </c:cat>
          <c:val>
            <c:numRef>
              <c:f>'2019'!$C$1:$C$3</c:f>
              <c:numCache>
                <c:formatCode>0%</c:formatCode>
                <c:ptCount val="3"/>
                <c:pt idx="0">
                  <c:v>0.63245742915815084</c:v>
                </c:pt>
                <c:pt idx="1">
                  <c:v>7.9121693752868177E-2</c:v>
                </c:pt>
                <c:pt idx="2">
                  <c:v>0.28842087708898095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D-44A1-9DB1-A5985081A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年支出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年度表!$B$1</c:f>
              <c:strCache>
                <c:ptCount val="1"/>
                <c:pt idx="0">
                  <c:v> 年支出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年度表!$A$2:$A$6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年度表!$B$2:$B$6</c:f>
              <c:numCache>
                <c:formatCode>_-* #,##0_-;\-* #,##0_-;_-* "-"??_-;_-@_-</c:formatCode>
                <c:ptCount val="5"/>
                <c:pt idx="0">
                  <c:v>1643026</c:v>
                </c:pt>
                <c:pt idx="1">
                  <c:v>2590038</c:v>
                </c:pt>
                <c:pt idx="2">
                  <c:v>1795364</c:v>
                </c:pt>
                <c:pt idx="3">
                  <c:v>1918708</c:v>
                </c:pt>
                <c:pt idx="4">
                  <c:v>2306205.5099999998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1-47A0-AF29-83ACB3FF99F0}"/>
            </c:ext>
          </c:extLst>
        </c:ser>
        <c:ser>
          <c:idx val="2"/>
          <c:order val="1"/>
          <c:tx>
            <c:strRef>
              <c:f>年度表!$C$1</c:f>
              <c:strCache>
                <c:ptCount val="1"/>
                <c:pt idx="0">
                  <c:v>年支出(不含車貸)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年度表!$A$2:$A$6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年度表!$C$2:$C$6</c:f>
              <c:numCache>
                <c:formatCode>_-* #,##0_-;\-* #,##0_-;_-* "-"??_-;_-@_-</c:formatCode>
                <c:ptCount val="5"/>
                <c:pt idx="0">
                  <c:v>1643026</c:v>
                </c:pt>
                <c:pt idx="1">
                  <c:v>1506704</c:v>
                </c:pt>
                <c:pt idx="2">
                  <c:v>1462028</c:v>
                </c:pt>
                <c:pt idx="3">
                  <c:v>1573541</c:v>
                </c:pt>
                <c:pt idx="4">
                  <c:v>2056203.5099999998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1-47A0-AF29-83ACB3FF9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910952"/>
        <c:axId val="921910296"/>
      </c:lineChart>
      <c:catAx>
        <c:axId val="92191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1910296"/>
        <c:crosses val="autoZero"/>
        <c:auto val="1"/>
        <c:lblAlgn val="ctr"/>
        <c:lblOffset val="100"/>
        <c:noMultiLvlLbl val="0"/>
      </c:catAx>
      <c:valAx>
        <c:axId val="92191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191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115981</xdr:colOff>
      <xdr:row>0</xdr:row>
      <xdr:rowOff>0</xdr:rowOff>
    </xdr:from>
    <xdr:to>
      <xdr:col>7</xdr:col>
      <xdr:colOff>754717</xdr:colOff>
      <xdr:row>4</xdr:row>
      <xdr:rowOff>145677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110457</xdr:colOff>
      <xdr:row>21</xdr:row>
      <xdr:rowOff>182413</xdr:rowOff>
    </xdr:from>
    <xdr:to>
      <xdr:col>28</xdr:col>
      <xdr:colOff>448234</xdr:colOff>
      <xdr:row>43</xdr:row>
      <xdr:rowOff>104853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346022</xdr:colOff>
      <xdr:row>22</xdr:row>
      <xdr:rowOff>7444</xdr:rowOff>
    </xdr:from>
    <xdr:to>
      <xdr:col>36</xdr:col>
      <xdr:colOff>222197</xdr:colOff>
      <xdr:row>36</xdr:row>
      <xdr:rowOff>36019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1868</xdr:colOff>
      <xdr:row>22</xdr:row>
      <xdr:rowOff>24093</xdr:rowOff>
    </xdr:from>
    <xdr:to>
      <xdr:col>41</xdr:col>
      <xdr:colOff>666750</xdr:colOff>
      <xdr:row>36</xdr:row>
      <xdr:rowOff>47625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323850</xdr:colOff>
      <xdr:row>21</xdr:row>
      <xdr:rowOff>152400</xdr:rowOff>
    </xdr:from>
    <xdr:to>
      <xdr:col>47</xdr:col>
      <xdr:colOff>104775</xdr:colOff>
      <xdr:row>35</xdr:row>
      <xdr:rowOff>114300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115981</xdr:colOff>
      <xdr:row>0</xdr:row>
      <xdr:rowOff>0</xdr:rowOff>
    </xdr:from>
    <xdr:to>
      <xdr:col>7</xdr:col>
      <xdr:colOff>754717</xdr:colOff>
      <xdr:row>4</xdr:row>
      <xdr:rowOff>145677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110457</xdr:colOff>
      <xdr:row>21</xdr:row>
      <xdr:rowOff>182413</xdr:rowOff>
    </xdr:from>
    <xdr:to>
      <xdr:col>28</xdr:col>
      <xdr:colOff>448234</xdr:colOff>
      <xdr:row>43</xdr:row>
      <xdr:rowOff>104853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96292</xdr:colOff>
      <xdr:row>21</xdr:row>
      <xdr:rowOff>109096</xdr:rowOff>
    </xdr:from>
    <xdr:to>
      <xdr:col>35</xdr:col>
      <xdr:colOff>802503</xdr:colOff>
      <xdr:row>35</xdr:row>
      <xdr:rowOff>137671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355653</xdr:colOff>
      <xdr:row>21</xdr:row>
      <xdr:rowOff>92128</xdr:rowOff>
    </xdr:from>
    <xdr:to>
      <xdr:col>42</xdr:col>
      <xdr:colOff>40821</xdr:colOff>
      <xdr:row>35</xdr:row>
      <xdr:rowOff>95250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310242</xdr:colOff>
      <xdr:row>21</xdr:row>
      <xdr:rowOff>84364</xdr:rowOff>
    </xdr:from>
    <xdr:to>
      <xdr:col>47</xdr:col>
      <xdr:colOff>231320</xdr:colOff>
      <xdr:row>35</xdr:row>
      <xdr:rowOff>95250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115981</xdr:colOff>
      <xdr:row>0</xdr:row>
      <xdr:rowOff>0</xdr:rowOff>
    </xdr:from>
    <xdr:to>
      <xdr:col>7</xdr:col>
      <xdr:colOff>754717</xdr:colOff>
      <xdr:row>4</xdr:row>
      <xdr:rowOff>145677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110457</xdr:colOff>
      <xdr:row>21</xdr:row>
      <xdr:rowOff>182413</xdr:rowOff>
    </xdr:from>
    <xdr:to>
      <xdr:col>28</xdr:col>
      <xdr:colOff>448234</xdr:colOff>
      <xdr:row>43</xdr:row>
      <xdr:rowOff>104853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115981</xdr:colOff>
      <xdr:row>0</xdr:row>
      <xdr:rowOff>0</xdr:rowOff>
    </xdr:from>
    <xdr:to>
      <xdr:col>7</xdr:col>
      <xdr:colOff>754717</xdr:colOff>
      <xdr:row>4</xdr:row>
      <xdr:rowOff>145677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110457</xdr:colOff>
      <xdr:row>21</xdr:row>
      <xdr:rowOff>182413</xdr:rowOff>
    </xdr:from>
    <xdr:to>
      <xdr:col>28</xdr:col>
      <xdr:colOff>448234</xdr:colOff>
      <xdr:row>43</xdr:row>
      <xdr:rowOff>104853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354827</xdr:colOff>
      <xdr:row>22</xdr:row>
      <xdr:rowOff>177132</xdr:rowOff>
    </xdr:from>
    <xdr:to>
      <xdr:col>36</xdr:col>
      <xdr:colOff>231002</xdr:colOff>
      <xdr:row>37</xdr:row>
      <xdr:rowOff>15207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1868</xdr:colOff>
      <xdr:row>22</xdr:row>
      <xdr:rowOff>24093</xdr:rowOff>
    </xdr:from>
    <xdr:to>
      <xdr:col>41</xdr:col>
      <xdr:colOff>666750</xdr:colOff>
      <xdr:row>36</xdr:row>
      <xdr:rowOff>47625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323850</xdr:colOff>
      <xdr:row>21</xdr:row>
      <xdr:rowOff>152400</xdr:rowOff>
    </xdr:from>
    <xdr:to>
      <xdr:col>47</xdr:col>
      <xdr:colOff>104775</xdr:colOff>
      <xdr:row>35</xdr:row>
      <xdr:rowOff>114300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115981</xdr:colOff>
      <xdr:row>0</xdr:row>
      <xdr:rowOff>0</xdr:rowOff>
    </xdr:from>
    <xdr:to>
      <xdr:col>7</xdr:col>
      <xdr:colOff>754717</xdr:colOff>
      <xdr:row>4</xdr:row>
      <xdr:rowOff>145677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7D7B199-A853-44DC-B11F-6C7863612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110457</xdr:colOff>
      <xdr:row>21</xdr:row>
      <xdr:rowOff>182413</xdr:rowOff>
    </xdr:from>
    <xdr:to>
      <xdr:col>28</xdr:col>
      <xdr:colOff>448234</xdr:colOff>
      <xdr:row>43</xdr:row>
      <xdr:rowOff>104853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BE65F91-4702-4C2D-9AB7-1BFEE8DE4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354827</xdr:colOff>
      <xdr:row>22</xdr:row>
      <xdr:rowOff>177132</xdr:rowOff>
    </xdr:from>
    <xdr:to>
      <xdr:col>36</xdr:col>
      <xdr:colOff>231002</xdr:colOff>
      <xdr:row>37</xdr:row>
      <xdr:rowOff>15207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73C3628D-C7DD-4E11-BA4E-E05C5D2DB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1868</xdr:colOff>
      <xdr:row>22</xdr:row>
      <xdr:rowOff>24093</xdr:rowOff>
    </xdr:from>
    <xdr:to>
      <xdr:col>41</xdr:col>
      <xdr:colOff>666750</xdr:colOff>
      <xdr:row>36</xdr:row>
      <xdr:rowOff>47625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B83B15F9-C533-4C4B-9553-E6E720112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323850</xdr:colOff>
      <xdr:row>21</xdr:row>
      <xdr:rowOff>152400</xdr:rowOff>
    </xdr:from>
    <xdr:to>
      <xdr:col>47</xdr:col>
      <xdr:colOff>104775</xdr:colOff>
      <xdr:row>35</xdr:row>
      <xdr:rowOff>114300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858FDA8D-DA79-4175-86F9-448C1A9FC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115981</xdr:colOff>
      <xdr:row>0</xdr:row>
      <xdr:rowOff>0</xdr:rowOff>
    </xdr:from>
    <xdr:to>
      <xdr:col>7</xdr:col>
      <xdr:colOff>754717</xdr:colOff>
      <xdr:row>4</xdr:row>
      <xdr:rowOff>145677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110457</xdr:colOff>
      <xdr:row>21</xdr:row>
      <xdr:rowOff>182413</xdr:rowOff>
    </xdr:from>
    <xdr:to>
      <xdr:col>28</xdr:col>
      <xdr:colOff>448234</xdr:colOff>
      <xdr:row>43</xdr:row>
      <xdr:rowOff>104853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354827</xdr:colOff>
      <xdr:row>22</xdr:row>
      <xdr:rowOff>177132</xdr:rowOff>
    </xdr:from>
    <xdr:to>
      <xdr:col>36</xdr:col>
      <xdr:colOff>231002</xdr:colOff>
      <xdr:row>37</xdr:row>
      <xdr:rowOff>15207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1868</xdr:colOff>
      <xdr:row>22</xdr:row>
      <xdr:rowOff>24093</xdr:rowOff>
    </xdr:from>
    <xdr:to>
      <xdr:col>41</xdr:col>
      <xdr:colOff>666750</xdr:colOff>
      <xdr:row>36</xdr:row>
      <xdr:rowOff>47625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323850</xdr:colOff>
      <xdr:row>21</xdr:row>
      <xdr:rowOff>152400</xdr:rowOff>
    </xdr:from>
    <xdr:to>
      <xdr:col>47</xdr:col>
      <xdr:colOff>104775</xdr:colOff>
      <xdr:row>35</xdr:row>
      <xdr:rowOff>114300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115981</xdr:colOff>
      <xdr:row>0</xdr:row>
      <xdr:rowOff>0</xdr:rowOff>
    </xdr:from>
    <xdr:to>
      <xdr:col>7</xdr:col>
      <xdr:colOff>754717</xdr:colOff>
      <xdr:row>4</xdr:row>
      <xdr:rowOff>145677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110457</xdr:colOff>
      <xdr:row>21</xdr:row>
      <xdr:rowOff>182413</xdr:rowOff>
    </xdr:from>
    <xdr:to>
      <xdr:col>28</xdr:col>
      <xdr:colOff>448234</xdr:colOff>
      <xdr:row>43</xdr:row>
      <xdr:rowOff>104853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232362</xdr:colOff>
      <xdr:row>21</xdr:row>
      <xdr:rowOff>95489</xdr:rowOff>
    </xdr:from>
    <xdr:to>
      <xdr:col>36</xdr:col>
      <xdr:colOff>108537</xdr:colOff>
      <xdr:row>35</xdr:row>
      <xdr:rowOff>124064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1868</xdr:colOff>
      <xdr:row>22</xdr:row>
      <xdr:rowOff>24093</xdr:rowOff>
    </xdr:from>
    <xdr:to>
      <xdr:col>41</xdr:col>
      <xdr:colOff>666750</xdr:colOff>
      <xdr:row>36</xdr:row>
      <xdr:rowOff>47625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323850</xdr:colOff>
      <xdr:row>21</xdr:row>
      <xdr:rowOff>152400</xdr:rowOff>
    </xdr:from>
    <xdr:to>
      <xdr:col>47</xdr:col>
      <xdr:colOff>104775</xdr:colOff>
      <xdr:row>35</xdr:row>
      <xdr:rowOff>114300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115981</xdr:colOff>
      <xdr:row>0</xdr:row>
      <xdr:rowOff>0</xdr:rowOff>
    </xdr:from>
    <xdr:to>
      <xdr:col>7</xdr:col>
      <xdr:colOff>754717</xdr:colOff>
      <xdr:row>4</xdr:row>
      <xdr:rowOff>145677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110457</xdr:colOff>
      <xdr:row>21</xdr:row>
      <xdr:rowOff>182413</xdr:rowOff>
    </xdr:from>
    <xdr:to>
      <xdr:col>28</xdr:col>
      <xdr:colOff>448234</xdr:colOff>
      <xdr:row>43</xdr:row>
      <xdr:rowOff>104853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817470</xdr:colOff>
      <xdr:row>22</xdr:row>
      <xdr:rowOff>27454</xdr:rowOff>
    </xdr:from>
    <xdr:to>
      <xdr:col>36</xdr:col>
      <xdr:colOff>693645</xdr:colOff>
      <xdr:row>36</xdr:row>
      <xdr:rowOff>56029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795618</xdr:colOff>
      <xdr:row>22</xdr:row>
      <xdr:rowOff>24093</xdr:rowOff>
    </xdr:from>
    <xdr:to>
      <xdr:col>41</xdr:col>
      <xdr:colOff>690282</xdr:colOff>
      <xdr:row>35</xdr:row>
      <xdr:rowOff>176493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290232</xdr:colOff>
      <xdr:row>22</xdr:row>
      <xdr:rowOff>40341</xdr:rowOff>
    </xdr:from>
    <xdr:to>
      <xdr:col>47</xdr:col>
      <xdr:colOff>71157</xdr:colOff>
      <xdr:row>36</xdr:row>
      <xdr:rowOff>2241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115981</xdr:colOff>
      <xdr:row>0</xdr:row>
      <xdr:rowOff>0</xdr:rowOff>
    </xdr:from>
    <xdr:to>
      <xdr:col>6</xdr:col>
      <xdr:colOff>754717</xdr:colOff>
      <xdr:row>4</xdr:row>
      <xdr:rowOff>145677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115981</xdr:colOff>
      <xdr:row>0</xdr:row>
      <xdr:rowOff>0</xdr:rowOff>
    </xdr:from>
    <xdr:to>
      <xdr:col>5</xdr:col>
      <xdr:colOff>754717</xdr:colOff>
      <xdr:row>4</xdr:row>
      <xdr:rowOff>145677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0</xdr:row>
      <xdr:rowOff>114300</xdr:rowOff>
    </xdr:from>
    <xdr:to>
      <xdr:col>12</xdr:col>
      <xdr:colOff>438149</xdr:colOff>
      <xdr:row>15</xdr:row>
      <xdr:rowOff>76200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ancy.ding.0725@gmail.com" id="{A625389B-F02E-4A5C-ABBB-22B5051CD8F3}" userId="062d7cc7741287b3" providerId="Windows Liv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6" dT="2020-07-28T16:46:09.60" personId="{A625389B-F02E-4A5C-ABBB-22B5051CD8F3}" id="{F085A205-B275-4885-94C8-35D305BE520C}">
    <text>端午連假台中遊 9125
綜所稅 32917</text>
  </threadedComment>
  <threadedComment ref="G36" dT="2020-07-28T16:36:09.18" personId="{A625389B-F02E-4A5C-ABBB-22B5051CD8F3}" id="{02F2CB36-52D7-44B0-AC83-A3CAC8083ADF}">
    <text>台東火車票</text>
  </threadedComment>
  <threadedComment ref="H36" dT="2020-07-28T16:39:23.62" personId="{A625389B-F02E-4A5C-ABBB-22B5051CD8F3}" id="{71281C67-279E-4B8A-8376-ADF3107A290E}">
    <text>台中屋馬</text>
  </threadedComment>
  <threadedComment ref="J36" dT="2020-07-28T16:36:35.41" personId="{A625389B-F02E-4A5C-ABBB-22B5051CD8F3}" id="{1C26B6A8-2C48-432F-96C9-DEFE93115ABF}">
    <text>台東火車票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6" Type="http://schemas.microsoft.com/office/2017/10/relationships/threadedComment" Target="../threadedComments/threadedComment1.xml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2"/>
  <dimension ref="A1:AV250"/>
  <sheetViews>
    <sheetView topLeftCell="M1" zoomScale="70" zoomScaleNormal="70" workbookViewId="0">
      <pane ySplit="8" topLeftCell="A9" activePane="bottomLeft" state="frozen"/>
      <selection pane="bottomLeft" activeCell="Z8" sqref="Z8"/>
    </sheetView>
  </sheetViews>
  <sheetFormatPr defaultColWidth="9" defaultRowHeight="15" x14ac:dyDescent="0.25"/>
  <cols>
    <col min="1" max="1" width="26" style="45" customWidth="1"/>
    <col min="2" max="2" width="16.5" style="45" bestFit="1" customWidth="1"/>
    <col min="3" max="3" width="11" style="45" customWidth="1"/>
    <col min="4" max="4" width="14.375" style="92" customWidth="1"/>
    <col min="5" max="5" width="18" style="92" bestFit="1" customWidth="1"/>
    <col min="6" max="6" width="16.125" style="45" bestFit="1" customWidth="1"/>
    <col min="7" max="7" width="20.875" style="45" bestFit="1" customWidth="1"/>
    <col min="8" max="8" width="13" style="45" bestFit="1" customWidth="1"/>
    <col min="9" max="9" width="15.125" style="45" bestFit="1" customWidth="1"/>
    <col min="10" max="10" width="13.375" style="45" bestFit="1" customWidth="1"/>
    <col min="11" max="11" width="16.125" style="45" bestFit="1" customWidth="1"/>
    <col min="12" max="12" width="20.125" style="45" customWidth="1"/>
    <col min="13" max="13" width="18.375" style="45" bestFit="1" customWidth="1"/>
    <col min="14" max="14" width="16.125" style="45" bestFit="1" customWidth="1"/>
    <col min="15" max="15" width="18.375" style="45" bestFit="1" customWidth="1"/>
    <col min="16" max="16" width="16.125" style="45" bestFit="1" customWidth="1"/>
    <col min="17" max="18" width="15" style="45" customWidth="1"/>
    <col min="19" max="19" width="13.5" style="45" bestFit="1" customWidth="1"/>
    <col min="20" max="20" width="12.625" style="45" bestFit="1" customWidth="1"/>
    <col min="21" max="21" width="9.625" style="45" bestFit="1" customWidth="1"/>
    <col min="22" max="22" width="10.875" style="45" bestFit="1" customWidth="1"/>
    <col min="23" max="23" width="12.125" style="45" bestFit="1" customWidth="1"/>
    <col min="24" max="24" width="13.75" style="45" bestFit="1" customWidth="1"/>
    <col min="25" max="25" width="14.25" style="45" bestFit="1" customWidth="1"/>
    <col min="26" max="26" width="13" style="45" bestFit="1" customWidth="1"/>
    <col min="27" max="27" width="12.625" style="45" customWidth="1"/>
    <col min="28" max="28" width="9" style="45"/>
    <col min="29" max="30" width="15.5" style="45" bestFit="1" customWidth="1"/>
    <col min="31" max="31" width="10.875" style="45" bestFit="1" customWidth="1"/>
    <col min="32" max="32" width="12.875" style="45" bestFit="1" customWidth="1"/>
    <col min="33" max="33" width="10.875" style="45" bestFit="1" customWidth="1"/>
    <col min="34" max="34" width="9" style="45" customWidth="1"/>
    <col min="35" max="37" width="10.875" style="45" bestFit="1" customWidth="1"/>
    <col min="38" max="40" width="9.625" style="45" bestFit="1" customWidth="1"/>
    <col min="41" max="41" width="10.875" style="45" bestFit="1" customWidth="1"/>
    <col min="42" max="42" width="9.625" style="45" bestFit="1" customWidth="1"/>
    <col min="43" max="43" width="10.875" style="45" bestFit="1" customWidth="1"/>
    <col min="44" max="44" width="10" style="45" bestFit="1" customWidth="1"/>
    <col min="45" max="45" width="14.25" style="45" bestFit="1" customWidth="1"/>
    <col min="46" max="47" width="9.625" style="45" bestFit="1" customWidth="1"/>
    <col min="48" max="48" width="10.875" style="45" bestFit="1" customWidth="1"/>
    <col min="49" max="16384" width="9" style="45"/>
  </cols>
  <sheetData>
    <row r="1" spans="1:48" ht="16.5" x14ac:dyDescent="0.25">
      <c r="A1" s="55" t="s">
        <v>119</v>
      </c>
      <c r="B1" s="51">
        <f>SUMIF(D:D,A1,S:S)</f>
        <v>1001606.3333333334</v>
      </c>
      <c r="C1" s="57">
        <f>B1/$B$4</f>
        <v>0.45084877048362537</v>
      </c>
      <c r="J1" s="53" t="s">
        <v>246</v>
      </c>
      <c r="K1" s="179"/>
      <c r="L1" s="227" t="s">
        <v>276</v>
      </c>
      <c r="O1" s="126"/>
      <c r="P1" s="126"/>
    </row>
    <row r="2" spans="1:48" ht="18" thickBot="1" x14ac:dyDescent="0.3">
      <c r="A2" s="45" t="s">
        <v>152</v>
      </c>
      <c r="B2" s="51">
        <f>SUMIF(D:D,A2,S:S)</f>
        <v>126625</v>
      </c>
      <c r="C2" s="57">
        <f>B2/$B$4</f>
        <v>5.6997169109842281E-2</v>
      </c>
      <c r="J2" s="162">
        <v>185000</v>
      </c>
      <c r="K2" s="107"/>
      <c r="L2" s="107">
        <f>J2*12+K2</f>
        <v>2220000</v>
      </c>
      <c r="M2" s="239">
        <f>2200000-B4</f>
        <v>-21601.56333333347</v>
      </c>
      <c r="O2" s="147"/>
      <c r="P2" s="125"/>
      <c r="S2" s="51"/>
      <c r="AF2" s="74"/>
      <c r="AO2" s="52"/>
    </row>
    <row r="3" spans="1:48" ht="18.75" thickTop="1" thickBot="1" x14ac:dyDescent="0.3">
      <c r="A3" s="45" t="s">
        <v>153</v>
      </c>
      <c r="B3" s="51">
        <f>SUMIF(D:D,A3,S:S)</f>
        <v>1093370.23</v>
      </c>
      <c r="C3" s="57">
        <f>B3/$B$4</f>
        <v>0.49215406040653231</v>
      </c>
      <c r="K3" s="74"/>
      <c r="M3" s="51"/>
      <c r="N3" s="51"/>
      <c r="O3" s="126"/>
      <c r="P3" s="51"/>
      <c r="Q3" s="67"/>
      <c r="S3" s="51"/>
      <c r="AD3" s="232" t="s">
        <v>302</v>
      </c>
      <c r="AE3" s="51"/>
      <c r="AF3" s="52"/>
      <c r="AH3" s="191"/>
      <c r="AS3" s="51"/>
    </row>
    <row r="4" spans="1:48" ht="15" customHeight="1" x14ac:dyDescent="0.25">
      <c r="A4" s="56" t="s">
        <v>120</v>
      </c>
      <c r="B4" s="156">
        <f>SUMIF(D:D,A4,S:S)</f>
        <v>2221601.5633333335</v>
      </c>
      <c r="C4" s="145">
        <f>B4-B89</f>
        <v>1527424.5633333335</v>
      </c>
      <c r="M4" s="53"/>
      <c r="N4" s="53"/>
      <c r="O4" s="53"/>
      <c r="Q4" s="51"/>
      <c r="AD4" s="232" t="s">
        <v>301</v>
      </c>
      <c r="AE4" s="73">
        <f>AE5/$AD$5</f>
        <v>0.14831687438390637</v>
      </c>
      <c r="AF4" s="73">
        <f t="shared" ref="AF4:AU4" si="0">AF5/$AD$5</f>
        <v>9.2946459620859498E-3</v>
      </c>
      <c r="AG4" s="73">
        <f t="shared" si="0"/>
        <v>3.573278004040055E-2</v>
      </c>
      <c r="AH4" s="73">
        <f t="shared" si="0"/>
        <v>3.5431645934698795E-2</v>
      </c>
      <c r="AI4" s="73">
        <f t="shared" si="0"/>
        <v>0.15607704177149712</v>
      </c>
      <c r="AJ4" s="73">
        <f t="shared" si="0"/>
        <v>5.8532097810056E-2</v>
      </c>
      <c r="AK4" s="73">
        <f t="shared" si="0"/>
        <v>7.4636845809805709E-3</v>
      </c>
      <c r="AL4" s="73">
        <f t="shared" si="0"/>
        <v>3.3067135535220012E-2</v>
      </c>
      <c r="AM4" s="73">
        <f t="shared" si="0"/>
        <v>9.6822042057469505E-3</v>
      </c>
      <c r="AN4" s="73">
        <f t="shared" si="0"/>
        <v>5.4766796174487743E-3</v>
      </c>
      <c r="AO4" s="73">
        <f t="shared" si="0"/>
        <v>3.6689747318011802E-3</v>
      </c>
      <c r="AP4" s="73">
        <f t="shared" si="0"/>
        <v>5.1021750196253686E-3</v>
      </c>
      <c r="AQ4" s="73">
        <f t="shared" si="0"/>
        <v>0.39900009282942689</v>
      </c>
      <c r="AR4" s="73">
        <f t="shared" si="0"/>
        <v>1.1570931720731339E-2</v>
      </c>
      <c r="AS4" s="73">
        <f t="shared" si="0"/>
        <v>3.5859715493028195E-2</v>
      </c>
      <c r="AT4" s="73">
        <f t="shared" si="0"/>
        <v>2.4778970679784466E-2</v>
      </c>
      <c r="AU4" s="73">
        <f t="shared" si="0"/>
        <v>2.0944349683561393E-2</v>
      </c>
    </row>
    <row r="5" spans="1:48" ht="15.75" thickBot="1" x14ac:dyDescent="0.3">
      <c r="A5" s="45" t="s">
        <v>295</v>
      </c>
      <c r="B5" s="154">
        <f>B4-AQ5</f>
        <v>1335182.3333333335</v>
      </c>
      <c r="AD5" s="163">
        <f>SUM(AE5:AU5)</f>
        <v>2221601.5633333335</v>
      </c>
      <c r="AE5" s="192">
        <f t="shared" ref="AE5:AU5" si="1">SUM(AE10:AE21)</f>
        <v>329501</v>
      </c>
      <c r="AF5" s="192">
        <f t="shared" si="1"/>
        <v>20649</v>
      </c>
      <c r="AG5" s="192">
        <f t="shared" si="1"/>
        <v>79384</v>
      </c>
      <c r="AH5" s="192">
        <f t="shared" si="1"/>
        <v>78715</v>
      </c>
      <c r="AI5" s="192">
        <f t="shared" si="1"/>
        <v>346741</v>
      </c>
      <c r="AJ5" s="192">
        <f t="shared" si="1"/>
        <v>130035</v>
      </c>
      <c r="AK5" s="192">
        <f t="shared" si="1"/>
        <v>16581.333333333332</v>
      </c>
      <c r="AL5" s="192">
        <f t="shared" si="1"/>
        <v>73462</v>
      </c>
      <c r="AM5" s="192">
        <f t="shared" si="1"/>
        <v>21510</v>
      </c>
      <c r="AN5" s="192">
        <f t="shared" si="1"/>
        <v>12167</v>
      </c>
      <c r="AO5" s="192">
        <f t="shared" si="1"/>
        <v>8151</v>
      </c>
      <c r="AP5" s="192">
        <f t="shared" si="1"/>
        <v>11335</v>
      </c>
      <c r="AQ5" s="192">
        <f t="shared" si="1"/>
        <v>886419.23</v>
      </c>
      <c r="AR5" s="192">
        <f t="shared" si="1"/>
        <v>25706</v>
      </c>
      <c r="AS5" s="192">
        <f t="shared" si="1"/>
        <v>79666</v>
      </c>
      <c r="AT5" s="192">
        <f t="shared" si="1"/>
        <v>55049</v>
      </c>
      <c r="AU5" s="192">
        <f t="shared" si="1"/>
        <v>46530</v>
      </c>
    </row>
    <row r="6" spans="1:48" ht="17.25" thickBot="1" x14ac:dyDescent="0.3">
      <c r="A6" s="55" t="s">
        <v>238</v>
      </c>
      <c r="B6" s="157">
        <f>B4/L2</f>
        <v>1.000721424924925</v>
      </c>
      <c r="F6" s="73">
        <f t="shared" ref="F6:R6" si="2">F7/$S$7</f>
        <v>0.33924940117037394</v>
      </c>
      <c r="G6" s="73">
        <f t="shared" si="2"/>
        <v>3.0473511145005508E-3</v>
      </c>
      <c r="H6" s="73">
        <f t="shared" si="2"/>
        <v>0.24832073361177517</v>
      </c>
      <c r="I6" s="73">
        <f t="shared" si="2"/>
        <v>1.9109637254801533E-2</v>
      </c>
      <c r="J6" s="73">
        <f t="shared" si="2"/>
        <v>6.2427935904000205E-3</v>
      </c>
      <c r="K6" s="73">
        <f t="shared" si="2"/>
        <v>5.0823694880097079E-3</v>
      </c>
      <c r="L6" s="73">
        <f t="shared" si="2"/>
        <v>5.6734295690216242E-2</v>
      </c>
      <c r="M6" s="73">
        <f t="shared" si="2"/>
        <v>0.12439764382652899</v>
      </c>
      <c r="N6" s="73">
        <f t="shared" si="2"/>
        <v>1.4836143683004158E-3</v>
      </c>
      <c r="O6" s="73">
        <f t="shared" si="2"/>
        <v>7.7248100123996272E-2</v>
      </c>
      <c r="P6" s="73">
        <f t="shared" si="2"/>
        <v>3.7261406980554743E-3</v>
      </c>
      <c r="Q6" s="73">
        <f t="shared" si="2"/>
        <v>0.11344038350207078</v>
      </c>
      <c r="R6" s="73">
        <f t="shared" si="2"/>
        <v>1.9175355609708045E-3</v>
      </c>
      <c r="AE6" s="289" t="str">
        <f>W9</f>
        <v>生活</v>
      </c>
      <c r="AF6" s="290"/>
      <c r="AG6" s="290"/>
      <c r="AH6" s="290"/>
      <c r="AI6" s="290"/>
      <c r="AJ6" s="290"/>
      <c r="AK6" s="291"/>
      <c r="AL6" s="289" t="str">
        <f>X9</f>
        <v>想要&amp;奢侈品</v>
      </c>
      <c r="AM6" s="292"/>
      <c r="AN6" s="292"/>
      <c r="AO6" s="292"/>
      <c r="AP6" s="293"/>
      <c r="AQ6" s="289" t="str">
        <f>Y9</f>
        <v>一次性支出</v>
      </c>
      <c r="AR6" s="292"/>
      <c r="AS6" s="292"/>
      <c r="AT6" s="292"/>
      <c r="AU6" s="293"/>
    </row>
    <row r="7" spans="1:48" ht="15.75" customHeight="1" thickBot="1" x14ac:dyDescent="0.3">
      <c r="F7" s="70">
        <f t="shared" ref="F7:R7" si="3">SUMIF($D$9:$D$1012,"Total",F9:F1012)</f>
        <v>753677</v>
      </c>
      <c r="G7" s="70">
        <f t="shared" si="3"/>
        <v>6770</v>
      </c>
      <c r="H7" s="70">
        <f t="shared" si="3"/>
        <v>551669.73</v>
      </c>
      <c r="I7" s="70">
        <f t="shared" si="3"/>
        <v>42454</v>
      </c>
      <c r="J7" s="70">
        <f t="shared" si="3"/>
        <v>13869</v>
      </c>
      <c r="K7" s="70">
        <f t="shared" si="3"/>
        <v>11291</v>
      </c>
      <c r="L7" s="70">
        <f t="shared" si="3"/>
        <v>126041</v>
      </c>
      <c r="M7" s="70">
        <f t="shared" si="3"/>
        <v>276362</v>
      </c>
      <c r="N7" s="70">
        <f t="shared" si="3"/>
        <v>3296</v>
      </c>
      <c r="O7" s="70">
        <f t="shared" si="3"/>
        <v>171614.5</v>
      </c>
      <c r="P7" s="70">
        <f t="shared" si="3"/>
        <v>8278</v>
      </c>
      <c r="Q7" s="70">
        <f t="shared" si="3"/>
        <v>252019.33333333334</v>
      </c>
      <c r="R7" s="70">
        <f t="shared" si="3"/>
        <v>4260</v>
      </c>
      <c r="S7" s="71">
        <f>SUM(F7:R7)</f>
        <v>2221601.5633333335</v>
      </c>
      <c r="W7" s="126">
        <f>W8/$AD$5</f>
        <v>0.45084877048362537</v>
      </c>
      <c r="X7" s="126">
        <f>X8/$AD$5</f>
        <v>5.6997169109842281E-2</v>
      </c>
      <c r="Y7" s="126">
        <f>Y8/$AD$5</f>
        <v>0.49215406040653231</v>
      </c>
      <c r="Z7" s="126">
        <f>Z8/$AD$5</f>
        <v>1</v>
      </c>
      <c r="AD7" s="240" t="s">
        <v>299</v>
      </c>
      <c r="AE7" s="294" t="str">
        <f>ROUND(W7*100,2)&amp;"%"&amp;"  /  "&amp;ROUND((SUMPRODUCT((VALUE($AD$10:$AD$21)&lt;=VALUE($AD$4))*(AE10:AK21))/SUMPRODUCT((VALUE('2023'!$AD$10:$AD$21)&lt;=VALUE($AD$3))*('2023'!AE$10:AK$21))-1)*100,2)&amp;"%"</f>
        <v>45.08%  /  -4.26%</v>
      </c>
      <c r="AF7" s="295"/>
      <c r="AG7" s="295"/>
      <c r="AH7" s="295"/>
      <c r="AI7" s="295"/>
      <c r="AJ7" s="295"/>
      <c r="AK7" s="296"/>
      <c r="AL7" s="294" t="str">
        <f>ROUND(X7*100,2)&amp;"%"&amp;"  /  "&amp;ROUND((SUMPRODUCT((VALUE($AD$10:$AD$21)&lt;=VALUE($AD$4))*(AL10:AP21))/SUMPRODUCT((VALUE('2023'!$AD$10:$AD$21)&lt;=VALUE($AD$3))*('2023'!AL$10:AP$21))-1)*100,2)&amp;"%"</f>
        <v>5.7%  /  -23.06%</v>
      </c>
      <c r="AM7" s="295"/>
      <c r="AN7" s="295"/>
      <c r="AO7" s="295"/>
      <c r="AP7" s="295"/>
      <c r="AQ7" s="294" t="str">
        <f>ROUND(Y7*100,2)&amp;"%"&amp;"  /  "&amp;ROUND((SUMPRODUCT((VALUE($AD$10:$AD$21)&lt;=VALUE($AD$4))*(AQ10:AU21))/SUMPRODUCT((VALUE('2023'!$AD$10:$AD$21)&lt;=VALUE($AD$3))*('2023'!AQ$10:AU$21))-1)*100,2)&amp;"%"</f>
        <v>49.22%  /  -0.19%</v>
      </c>
      <c r="AR7" s="295"/>
      <c r="AS7" s="295"/>
      <c r="AT7" s="295"/>
      <c r="AU7" s="296"/>
    </row>
    <row r="8" spans="1:48" ht="18.75" thickTop="1" thickBot="1" x14ac:dyDescent="0.3">
      <c r="C8" s="41" t="s">
        <v>154</v>
      </c>
      <c r="D8" s="93"/>
      <c r="E8" s="93"/>
      <c r="F8" s="41" t="s">
        <v>155</v>
      </c>
      <c r="G8" s="53" t="s">
        <v>75</v>
      </c>
      <c r="H8" s="41" t="s">
        <v>157</v>
      </c>
      <c r="I8" s="41" t="s">
        <v>158</v>
      </c>
      <c r="J8" s="238" t="s">
        <v>293</v>
      </c>
      <c r="K8" s="53" t="s">
        <v>294</v>
      </c>
      <c r="L8" s="41" t="s">
        <v>161</v>
      </c>
      <c r="M8" s="53" t="s">
        <v>235</v>
      </c>
      <c r="N8" s="41" t="s">
        <v>162</v>
      </c>
      <c r="O8" s="53" t="s">
        <v>233</v>
      </c>
      <c r="P8" s="53" t="s">
        <v>290</v>
      </c>
      <c r="Q8" s="41" t="s">
        <v>164</v>
      </c>
      <c r="R8" s="53" t="s">
        <v>298</v>
      </c>
      <c r="S8" s="84" t="s">
        <v>120</v>
      </c>
      <c r="W8" s="52">
        <f>SUM(W10:W21)</f>
        <v>1001606.3333333334</v>
      </c>
      <c r="X8" s="52">
        <f>SUM(X10:X21)</f>
        <v>126625</v>
      </c>
      <c r="Y8" s="52">
        <f>SUM(Y10:Y21)</f>
        <v>1093370.23</v>
      </c>
      <c r="Z8" s="52">
        <f>SUM(Z10:Z21)</f>
        <v>2221601.5633333335</v>
      </c>
      <c r="AA8" s="74"/>
      <c r="AD8" s="226">
        <f>SUMPRODUCT((VALUE($AD$10:$AD$21)&lt;=VALUE($AD$4))*(AE10:AU21))/SUMPRODUCT((VALUE('2023'!$AD$10:$AD$21)&lt;=VALUE($AD$3))*('2023'!AE$10:AU$21))-1</f>
        <v>-3.6685345820141713E-2</v>
      </c>
      <c r="AE8" s="199">
        <f>SUMPRODUCT((VALUE($AD$10:$AD$21)&lt;=VALUE($AD$4))*(AE10:AE21))/SUMPRODUCT((VALUE('2023'!$AD$10:$AD$21)&lt;=VALUE($AD$3))*('2023'!AE$10:AE$21))-1</f>
        <v>9.2068791252546411E-3</v>
      </c>
      <c r="AF8" s="284">
        <f>(SUMPRODUCT((VALUE($AD$10:$AD$21)&lt;=VALUE($AD$4))*(AF10:AF21))+SUMPRODUCT((VALUE($AD$10:$AD$21)&lt;=VALUE($AD$4))*(AG10:AG21))+SUMPRODUCT((VALUE($AD$10:$AD$21)&lt;=VALUE($AD$4))*(AH10:AH21)))/(SUMPRODUCT((VALUE('2023'!$AD$10:$AD$21)&lt;=VALUE($AD$3))*('2023'!AF$10:AF$21))+SUMPRODUCT((VALUE('2023'!$AD$10:$AD$21)&lt;=VALUE($AD$3))*('2023'!AG$10:AG$21))+SUMPRODUCT((VALUE('2023'!$AD$10:$AD$21)&lt;=VALUE($AD$3))*('2023'!AK$10:AK$21)))-1</f>
        <v>-0.18778967265853619</v>
      </c>
      <c r="AG8" s="285"/>
      <c r="AH8" s="286"/>
      <c r="AI8" s="287">
        <f>(SUMPRODUCT((VALUE($AD$10:$AD$21)&lt;=VALUE($AD$4))*(AI10:AI21))+SUMPRODUCT((VALUE($AD$10:$AD$21)&lt;=VALUE($AD$4))*(AJ10:AJ21)))/(SUMPRODUCT((VALUE('2023'!$AD$10:$AD$21)&lt;=VALUE($AD$3))*('2023'!AI$10:AI$21))+SUMPRODUCT((VALUE('2023'!$AD$10:$AD$21)&lt;=VALUE($AD$3))*('2023'!AJ$10:AJ$21)))-1</f>
        <v>-2.6616280090565159E-2</v>
      </c>
      <c r="AJ8" s="288"/>
      <c r="AK8" s="220">
        <f>SUMPRODUCT((VALUE($AD$10:$AD$21)&lt;=VALUE($AD$4))*(AK10:AK21))/SUMPRODUCT((VALUE('2023'!$AD$10:$AD$21)&lt;=VALUE($AD$3))*('2023'!AH$10:AH$21))-1</f>
        <v>0.68680908782638173</v>
      </c>
      <c r="AL8" s="196">
        <f>SUMPRODUCT((VALUE($AD$10:$AD$21)&lt;=VALUE($AD$4))*(AL10:AL21))/SUMPRODUCT((VALUE('2023'!$AD$10:$AD$21)&lt;=VALUE($AD$3))*('2023'!AL10:AL21))-1</f>
        <v>1.1386317321688502</v>
      </c>
      <c r="AM8" s="197">
        <f>SUMPRODUCT((VALUE($AD$10:$AD$21)&lt;=VALUE($AD$4))*(AM10:AM21))/SUMPRODUCT((VALUE('2023'!$AD$10:$AD$21)&lt;=VALUE($AD$3))*('2023'!AM10:AM21))-1</f>
        <v>-0.65411333376214054</v>
      </c>
      <c r="AN8" s="197">
        <f>SUMPRODUCT((VALUE($AD$10:$AD$21)&lt;=VALUE($AD$4))*(AN10:AN21))/SUMPRODUCT((VALUE('2023'!$AD$10:$AD$21)&lt;=VALUE($AD$3))*('2023'!AN10:AN21))-1</f>
        <v>-0.26040970153790044</v>
      </c>
      <c r="AO8" s="197">
        <f>SUMPRODUCT((VALUE($AD$10:$AD$21)&lt;=VALUE($AD$4))*(AO10:AO21))/SUMPRODUCT((VALUE('2023'!$AD$10:$AD$21)&lt;=VALUE($AD$3))*('2023'!AO10:AO21))-1</f>
        <v>-2.0076941572493401E-2</v>
      </c>
      <c r="AP8" s="198">
        <f>SUMPRODUCT((VALUE($AD$10:$AD$21)&lt;=VALUE($AD$4))*(AP10:AP21))/SUMPRODUCT((VALUE('2023'!$AD$10:$AD$21)&lt;=VALUE($AD$3))*('2023'!AP10:AP21))-1</f>
        <v>-0.73799782724267848</v>
      </c>
      <c r="AQ8" s="221">
        <f>SUMPRODUCT((VALUE($AD$10:$AD$21)&lt;=VALUE($AD$4))*(AQ10:AQ21))/SUMPRODUCT((VALUE('2023'!$AD$10:$AD$21)&lt;=VALUE($AD$3))*('2023'!AQ10:AQ21))-1</f>
        <v>0.7295934015882215</v>
      </c>
      <c r="AR8" s="197">
        <f>SUMPRODUCT((VALUE($AD$10:$AD$21)&lt;=VALUE($AD$4))*(AR10:AR21))/SUMPRODUCT((VALUE('2023'!$AD$10:$AD$21)&lt;=VALUE($AD$3))*('2023'!AR10:AR21))-1</f>
        <v>0.26962019064552778</v>
      </c>
      <c r="AS8" s="197">
        <f>SUMPRODUCT((VALUE($AD$10:$AD$21)&lt;=VALUE($AD$4))*(AS10:AS21))/SUMPRODUCT((VALUE('2023'!$AD$10:$AD$21)&lt;=VALUE($AD$3))*('2023'!AS10:AS21))-1</f>
        <v>-0.7864657462280511</v>
      </c>
      <c r="AT8" s="197">
        <f>SUMPRODUCT((VALUE($AD$10:$AD$21)&lt;=VALUE($AD$4))*(AT10:AT21))/SUMPRODUCT((VALUE('2023'!$AD$10:$AD$21)&lt;=VALUE($AD$3))*('2023'!AT10:AT21))-1</f>
        <v>-0.11975119127570433</v>
      </c>
      <c r="AU8" s="198">
        <f>SUMPRODUCT((VALUE($AD$10:$AD$21)&lt;=VALUE($AD$4))*(AU10:AU21))/SUMPRODUCT((VALUE('2023'!$AD$10:$AD$21)&lt;=VALUE($AD$3))*('2023'!AU10:AU21))-1</f>
        <v>-0.63377199886660573</v>
      </c>
    </row>
    <row r="9" spans="1:48" ht="18" thickBot="1" x14ac:dyDescent="0.3">
      <c r="A9" s="166" t="s">
        <v>188</v>
      </c>
      <c r="B9" s="167">
        <v>202401</v>
      </c>
      <c r="C9" s="275">
        <v>202401</v>
      </c>
      <c r="D9" s="94" t="s">
        <v>151</v>
      </c>
      <c r="E9" s="177" t="s">
        <v>252</v>
      </c>
      <c r="F9" s="60">
        <f>65+60+130+270+80+110+1020+120+65+255+75+300+1224</f>
        <v>3774</v>
      </c>
      <c r="G9" s="59"/>
      <c r="H9" s="59">
        <f>195+258+179+85+95+225+185+195+195+540+341+84+105+180+110+45+150+84+166+470+50</f>
        <v>3937</v>
      </c>
      <c r="I9" s="60">
        <v>420</v>
      </c>
      <c r="J9" s="59"/>
      <c r="K9" s="60"/>
      <c r="L9" s="60"/>
      <c r="M9" s="60">
        <f>199+258+899</f>
        <v>1356</v>
      </c>
      <c r="N9" s="60"/>
      <c r="O9" s="60">
        <f>195+250+250+265+280</f>
        <v>1240</v>
      </c>
      <c r="P9" s="60"/>
      <c r="Q9" s="60">
        <f>2000+2000+2000+2000</f>
        <v>8000</v>
      </c>
      <c r="R9" s="60"/>
      <c r="S9" s="44">
        <f t="shared" ref="S9:S25" si="4">SUM(F9:R9)</f>
        <v>18727</v>
      </c>
      <c r="T9" s="277">
        <f>SUM(S9:S15)</f>
        <v>70147</v>
      </c>
      <c r="V9" s="41" t="s">
        <v>188</v>
      </c>
      <c r="W9" s="41" t="str">
        <f>A1</f>
        <v>生活</v>
      </c>
      <c r="X9" s="41" t="s">
        <v>152</v>
      </c>
      <c r="Y9" s="41" t="str">
        <f>A3</f>
        <v>一次性支出</v>
      </c>
      <c r="Z9" s="41" t="s">
        <v>120</v>
      </c>
      <c r="AD9" s="41" t="s">
        <v>208</v>
      </c>
      <c r="AE9" s="193" t="s">
        <v>252</v>
      </c>
      <c r="AF9" s="194" t="s">
        <v>251</v>
      </c>
      <c r="AG9" s="194" t="s">
        <v>254</v>
      </c>
      <c r="AH9" s="195" t="s">
        <v>255</v>
      </c>
      <c r="AI9" s="194" t="s">
        <v>256</v>
      </c>
      <c r="AJ9" s="194" t="s">
        <v>257</v>
      </c>
      <c r="AK9" s="195" t="s">
        <v>263</v>
      </c>
      <c r="AL9" s="122" t="s">
        <v>200</v>
      </c>
      <c r="AM9" s="123" t="s">
        <v>201</v>
      </c>
      <c r="AN9" s="123" t="s">
        <v>202</v>
      </c>
      <c r="AO9" s="123" t="s">
        <v>203</v>
      </c>
      <c r="AP9" s="124" t="s">
        <v>198</v>
      </c>
      <c r="AQ9" s="123" t="s">
        <v>204</v>
      </c>
      <c r="AR9" s="123" t="s">
        <v>205</v>
      </c>
      <c r="AS9" s="123" t="s">
        <v>206</v>
      </c>
      <c r="AT9" s="123" t="s">
        <v>207</v>
      </c>
      <c r="AU9" s="124" t="s">
        <v>198</v>
      </c>
      <c r="AV9" s="158" t="s">
        <v>240</v>
      </c>
    </row>
    <row r="10" spans="1:48" ht="15" customHeight="1" thickBot="1" x14ac:dyDescent="0.3">
      <c r="A10" s="164" t="s">
        <v>247</v>
      </c>
      <c r="B10" s="162">
        <f>$J$2</f>
        <v>185000</v>
      </c>
      <c r="C10" s="275"/>
      <c r="D10" s="95" t="s">
        <v>151</v>
      </c>
      <c r="E10" s="176" t="s">
        <v>251</v>
      </c>
      <c r="F10" s="79"/>
      <c r="G10" s="78"/>
      <c r="H10" s="78"/>
      <c r="I10" s="79"/>
      <c r="J10" s="78"/>
      <c r="K10" s="79"/>
      <c r="L10" s="79"/>
      <c r="M10" s="79">
        <v>84</v>
      </c>
      <c r="N10" s="79"/>
      <c r="O10" s="79"/>
      <c r="P10" s="79"/>
      <c r="Q10" s="79"/>
      <c r="R10" s="79"/>
      <c r="S10" s="80">
        <f t="shared" si="4"/>
        <v>84</v>
      </c>
      <c r="T10" s="278"/>
      <c r="V10" s="90">
        <f>$C$9</f>
        <v>202401</v>
      </c>
      <c r="W10" s="52">
        <f>T9</f>
        <v>70147</v>
      </c>
      <c r="X10" s="52">
        <f>T16</f>
        <v>9116</v>
      </c>
      <c r="Y10" s="52">
        <f>T21</f>
        <v>191040</v>
      </c>
      <c r="Z10" s="52">
        <f>W10+X10+Y10</f>
        <v>270303</v>
      </c>
      <c r="AD10" s="200">
        <f t="shared" ref="AD10:AD21" si="5">V10</f>
        <v>202401</v>
      </c>
      <c r="AE10" s="116">
        <f>SUMPRODUCT(($D$9:$D$25=$AE$6)*($E$9:$E$25=AE$9)*$S$9:$S$25)</f>
        <v>18727</v>
      </c>
      <c r="AF10" s="201">
        <f>SUMPRODUCT(($D$9:$D$25=$AE$6)*($E$9:$E$25=$AF$9)*$S$9:$S$25)</f>
        <v>84</v>
      </c>
      <c r="AG10" s="202">
        <f>SUMPRODUCT(($D$9:$D$25=$AE$6)*($E$9:$E$25=$AG$9)*$S$9:$S$25)</f>
        <v>5389</v>
      </c>
      <c r="AH10" s="203">
        <f>SUMPRODUCT(($D$9:$D$25=$AE$6)*($E$9:$E$25=$AH$9)*$S$9:$S$25)</f>
        <v>3860</v>
      </c>
      <c r="AI10" s="201">
        <f>SUMPRODUCT(($D$9:$D$25=$AE$6)*($E$9:$E$25=$AI$9)*$S$9:$S$25)</f>
        <v>28087</v>
      </c>
      <c r="AJ10" s="203">
        <f>SUMPRODUCT(($D$9:$D$25=$AE$6)*($E$9:$E$25=$AJ$9)*$S$9:$S$25)</f>
        <v>11700</v>
      </c>
      <c r="AK10" s="117">
        <f>SUMPRODUCT(($D$9:$D$25=$AE$6)*($E$9:$E$25=$AK$9)*$S$9:$S$25)</f>
        <v>2300</v>
      </c>
      <c r="AL10" s="210">
        <f>SUMPRODUCT(($D$9:$D$25=$AL$6)*($E$9:$E$25=$AL$9)*$S$9:$S$25)</f>
        <v>6020</v>
      </c>
      <c r="AM10" s="211">
        <f>SUMPRODUCT(($D$9:$D$25=$AL$6)*($E$9:$E$25=$AM$9)*$S$9:$S$25)</f>
        <v>0</v>
      </c>
      <c r="AN10" s="211">
        <f>SUMPRODUCT(($D$9:$D$25=$AL$6)*($E$9:$E$25=$AN$9)*$S$9:$S$25)</f>
        <v>1219</v>
      </c>
      <c r="AO10" s="211">
        <f>SUMPRODUCT(($D$9:$D$25=$AL$6)*($E$9:$E$25=$AO$9)*$S$9:$S$25)</f>
        <v>799</v>
      </c>
      <c r="AP10" s="212">
        <f>SUMPRODUCT(($D$9:$D$25=$AL$6)*($E$9:$E$25=$AP$9)*$S$9:$S$25)</f>
        <v>1078</v>
      </c>
      <c r="AQ10" s="210">
        <f>SUMPRODUCT(($D$9:$D$25=$AQ$6)*($E$9:$E$25=$AQ$9)*$S$9:$S$25)</f>
        <v>178429</v>
      </c>
      <c r="AR10" s="211">
        <f>SUMPRODUCT(($D$9:$D$25=$AQ$6)*($E$9:$E$25=$AR$9)*$S$9:$S$25)</f>
        <v>0</v>
      </c>
      <c r="AS10" s="211">
        <f>SUMPRODUCT(($D$9:$D$25=$AQ$6)*($E$9:$E$25=$AS$9)*$S$9:$S$25)</f>
        <v>6751</v>
      </c>
      <c r="AT10" s="211">
        <f>SUMPRODUCT(($D$9:$D$25=$AQ$6)*($E$9:$E$25=$AT$9)*$S$9:$S$25)</f>
        <v>5860</v>
      </c>
      <c r="AU10" s="212">
        <f>SUMPRODUCT(($D$9:$D$25=$AQ$6)*($E$9:$E$25=$AU$9)*$S$9:$S$25)</f>
        <v>0</v>
      </c>
      <c r="AV10" s="159">
        <f>SUM(AE10:AU10)</f>
        <v>270303</v>
      </c>
    </row>
    <row r="11" spans="1:48" ht="15" customHeight="1" thickTop="1" x14ac:dyDescent="0.25">
      <c r="A11" s="165" t="s">
        <v>237</v>
      </c>
      <c r="B11" s="182">
        <f>SUMPRODUCT((($V$10:$V$21)&lt;=VALUE(B9))*($Z$10:$Z$21))</f>
        <v>270303</v>
      </c>
      <c r="C11" s="275"/>
      <c r="D11" s="95" t="s">
        <v>151</v>
      </c>
      <c r="E11" s="176" t="s">
        <v>254</v>
      </c>
      <c r="F11" s="79"/>
      <c r="G11" s="78"/>
      <c r="H11" s="78">
        <f>241+60+598</f>
        <v>899</v>
      </c>
      <c r="I11" s="79"/>
      <c r="J11" s="78"/>
      <c r="K11" s="79"/>
      <c r="L11" s="79"/>
      <c r="M11" s="79"/>
      <c r="N11" s="79"/>
      <c r="O11" s="79"/>
      <c r="P11" s="79"/>
      <c r="Q11" s="79">
        <f>10500-7000+990</f>
        <v>4490</v>
      </c>
      <c r="R11" s="79"/>
      <c r="S11" s="80">
        <f t="shared" si="4"/>
        <v>5389</v>
      </c>
      <c r="T11" s="278"/>
      <c r="V11" s="90">
        <f>$C$28</f>
        <v>202402</v>
      </c>
      <c r="W11" s="52">
        <f>T28</f>
        <v>91362</v>
      </c>
      <c r="X11" s="52">
        <f>T35</f>
        <v>9469</v>
      </c>
      <c r="Y11" s="52">
        <f>T40</f>
        <v>55526</v>
      </c>
      <c r="Z11" s="52">
        <f t="shared" ref="Z11:Z21" si="6">W11+X11+Y11</f>
        <v>156357</v>
      </c>
      <c r="AD11" s="200">
        <f t="shared" si="5"/>
        <v>202402</v>
      </c>
      <c r="AE11" s="116">
        <f t="shared" ref="AE11:AK11" si="7">SUMPRODUCT(($D$28:$D$44=$AE$6)*($E$28:$E$44=AE$9)*$S$28:$S$44)</f>
        <v>25666</v>
      </c>
      <c r="AF11" s="204">
        <f t="shared" si="7"/>
        <v>0</v>
      </c>
      <c r="AG11" s="117">
        <f t="shared" si="7"/>
        <v>4512</v>
      </c>
      <c r="AH11" s="205">
        <f t="shared" si="7"/>
        <v>4665</v>
      </c>
      <c r="AI11" s="204">
        <f t="shared" si="7"/>
        <v>50247</v>
      </c>
      <c r="AJ11" s="205">
        <f t="shared" si="7"/>
        <v>4672</v>
      </c>
      <c r="AK11" s="117">
        <f t="shared" si="7"/>
        <v>1600</v>
      </c>
      <c r="AL11" s="213">
        <f>SUMPRODUCT(($D$28:$D$44=$AL$6)*($E$28:$E$44=AL$9)*$S$28:$S$44)</f>
        <v>5500</v>
      </c>
      <c r="AM11" s="208">
        <f>SUMPRODUCT(($D$28:$D$44=$AL$6)*($E$28:$E$44=AM$9)*$S$28:$S$44)</f>
        <v>0</v>
      </c>
      <c r="AN11" s="208">
        <f>SUMPRODUCT(($D$28:$D$44=$AL$6)*($E$28:$E$44=AN$9)*$S$28:$S$44)</f>
        <v>2019</v>
      </c>
      <c r="AO11" s="208">
        <f>SUMPRODUCT(($D$28:$D$44=$AL$6)*($E$28:$E$44=AO$9)*$S$28:$S$44)</f>
        <v>120</v>
      </c>
      <c r="AP11" s="214">
        <f>SUMPRODUCT(($D$28:$D$44=$AL$6)*($E$28:$E$44=AP$9)*$S$28:$S$44)</f>
        <v>1830</v>
      </c>
      <c r="AQ11" s="213">
        <f>SUMPRODUCT(($D$28:$D$44=$AQ$6)*($E$28:$E$44=AQ$9)*$S$28:$S$44)</f>
        <v>14523</v>
      </c>
      <c r="AR11" s="208">
        <f>SUMPRODUCT(($D$28:$D$44=$AQ$6)*($E$28:$E$44=AR$9)*$S$28:$S$44)</f>
        <v>5052</v>
      </c>
      <c r="AS11" s="208">
        <f>SUMPRODUCT(($D$28:$D$44=$AQ$6)*($E$28:$E$44=AS$9)*$S$28:$S$44)</f>
        <v>0</v>
      </c>
      <c r="AT11" s="208">
        <f>SUMPRODUCT(($D$28:$D$44=$AQ$6)*($E$28:$E$44=AT$9)*$S$28:$S$44)</f>
        <v>6751</v>
      </c>
      <c r="AU11" s="214">
        <f>SUMPRODUCT(($D$28:$D$44=$AQ$6)*($E$28:$E$44=AU$9)*$S$28:$S$44)</f>
        <v>29200</v>
      </c>
      <c r="AV11" s="159">
        <f t="shared" ref="AV11:AV21" si="8">SUM(AE11:AU11)</f>
        <v>156357</v>
      </c>
    </row>
    <row r="12" spans="1:48" ht="15" customHeight="1" x14ac:dyDescent="0.25">
      <c r="A12" s="165" t="s">
        <v>264</v>
      </c>
      <c r="B12" s="181">
        <f>B11/SUMPRODUCT(('2024'!$V$10:$V$21&lt;='2024'!B9)*'2023'!$Z$10:$Z$21)</f>
        <v>1.2683255285804109</v>
      </c>
      <c r="C12" s="275"/>
      <c r="D12" s="95" t="s">
        <v>151</v>
      </c>
      <c r="E12" s="176" t="s">
        <v>255</v>
      </c>
      <c r="F12" s="79">
        <f>100+90+100+100+10</f>
        <v>400</v>
      </c>
      <c r="G12" s="78"/>
      <c r="H12" s="78">
        <f>601+60+598</f>
        <v>1259</v>
      </c>
      <c r="I12" s="79"/>
      <c r="J12" s="78"/>
      <c r="K12" s="79"/>
      <c r="L12" s="79"/>
      <c r="M12" s="79">
        <v>107</v>
      </c>
      <c r="N12" s="79"/>
      <c r="O12" s="79"/>
      <c r="P12" s="79"/>
      <c r="Q12" s="79">
        <f>596+1498</f>
        <v>2094</v>
      </c>
      <c r="R12" s="79"/>
      <c r="S12" s="80">
        <f t="shared" si="4"/>
        <v>3860</v>
      </c>
      <c r="T12" s="278"/>
      <c r="V12" s="90">
        <f>$C$47</f>
        <v>202403</v>
      </c>
      <c r="W12" s="52">
        <f>T47</f>
        <v>145225</v>
      </c>
      <c r="X12" s="52">
        <f>T54</f>
        <v>9920</v>
      </c>
      <c r="Y12" s="52">
        <f>T59</f>
        <v>8148</v>
      </c>
      <c r="Z12" s="52">
        <f t="shared" si="6"/>
        <v>163293</v>
      </c>
      <c r="AD12" s="200">
        <f t="shared" si="5"/>
        <v>202403</v>
      </c>
      <c r="AE12" s="116">
        <f t="shared" ref="AE12:AK12" si="9">SUMPRODUCT(($D$47:$D$63=$AE$6)*($E$47:$E$63=AE$9)*$S$47:$S$63)</f>
        <v>31843</v>
      </c>
      <c r="AF12" s="204">
        <f t="shared" si="9"/>
        <v>3099</v>
      </c>
      <c r="AG12" s="117">
        <f t="shared" si="9"/>
        <v>6520</v>
      </c>
      <c r="AH12" s="205">
        <f t="shared" si="9"/>
        <v>6045</v>
      </c>
      <c r="AI12" s="204">
        <f t="shared" si="9"/>
        <v>84591</v>
      </c>
      <c r="AJ12" s="205">
        <f t="shared" si="9"/>
        <v>11957</v>
      </c>
      <c r="AK12" s="117">
        <f t="shared" si="9"/>
        <v>1170</v>
      </c>
      <c r="AL12" s="213">
        <f>SUMPRODUCT(($D$47:$D$63=$AL$6)*($E$47:$E$63=AL$9)*$S$47:$S$63)</f>
        <v>7600</v>
      </c>
      <c r="AM12" s="208">
        <f>SUMPRODUCT(($D$47:$D$63=$AL$6)*($E$47:$E$63=AM$9)*$S$47:$S$63)</f>
        <v>1190</v>
      </c>
      <c r="AN12" s="208">
        <f>SUMPRODUCT(($D$47:$D$63=$AL$6)*($E$47:$E$63=AN$9)*$S$47:$S$63)</f>
        <v>350</v>
      </c>
      <c r="AO12" s="208">
        <f>SUMPRODUCT(($D$47:$D$63=$AL$6)*($E$47:$E$63=AO$9)*$S$47:$S$63)</f>
        <v>320</v>
      </c>
      <c r="AP12" s="214">
        <f>SUMPRODUCT(($D$47:$D$63=$AL$6)*($E$47:$E$63=AP$9)*$S$47:$S$63)</f>
        <v>460</v>
      </c>
      <c r="AQ12" s="213">
        <f>SUMPRODUCT(($D$47:$D$63=$AQ$6)*($E$47:$E$63=AQ$9)*$S$47:$S$63)</f>
        <v>1395</v>
      </c>
      <c r="AR12" s="208">
        <f>SUMPRODUCT(($D$47:$D$63=$AQ$6)*($E$47:$E$63=AR$9)*$S$47:$S$63)</f>
        <v>0</v>
      </c>
      <c r="AS12" s="208">
        <f>SUMPRODUCT(($D$47:$D$63=$AQ$6)*($E$47:$E$63=AS$9)*$S$47:$S$63)</f>
        <v>0</v>
      </c>
      <c r="AT12" s="208">
        <f>SUMPRODUCT(($D$47:$D$63=$AQ$6)*($E$47:$E$63=AT$9)*$S$47:$S$63)</f>
        <v>6753</v>
      </c>
      <c r="AU12" s="214">
        <f>SUMPRODUCT(($D$47:$D$63=$AQ$6)*($E$47:$E$63=AU$9)*$S$47:$S$63)</f>
        <v>0</v>
      </c>
      <c r="AV12" s="159">
        <f t="shared" si="8"/>
        <v>163293</v>
      </c>
    </row>
    <row r="13" spans="1:48" ht="15" customHeight="1" x14ac:dyDescent="0.25">
      <c r="A13" s="165" t="s">
        <v>297</v>
      </c>
      <c r="B13" s="186">
        <f>B11-SUMPRODUCT((($AD$10:$AD$21)&lt;=VALUE(B9))*($AQ$10:$AQ$21))</f>
        <v>91874</v>
      </c>
      <c r="C13" s="275"/>
      <c r="D13" s="96" t="s">
        <v>151</v>
      </c>
      <c r="E13" s="176" t="s">
        <v>256</v>
      </c>
      <c r="F13" s="79">
        <f>11000+3200+3000+2500+2500+5800</f>
        <v>28000</v>
      </c>
      <c r="G13" s="78"/>
      <c r="H13" s="78"/>
      <c r="I13" s="78"/>
      <c r="J13" s="78"/>
      <c r="K13" s="79"/>
      <c r="L13" s="79"/>
      <c r="M13" s="79">
        <v>87</v>
      </c>
      <c r="N13" s="79"/>
      <c r="O13" s="79"/>
      <c r="P13" s="79"/>
      <c r="Q13" s="79"/>
      <c r="R13" s="79"/>
      <c r="S13" s="80">
        <f t="shared" si="4"/>
        <v>28087</v>
      </c>
      <c r="T13" s="278"/>
      <c r="V13" s="90">
        <f>$C$66</f>
        <v>202404</v>
      </c>
      <c r="W13" s="52">
        <f>T66</f>
        <v>90131</v>
      </c>
      <c r="X13" s="52">
        <f>T73</f>
        <v>7900</v>
      </c>
      <c r="Y13" s="52">
        <f>T78</f>
        <v>41411</v>
      </c>
      <c r="Z13" s="52">
        <f t="shared" si="6"/>
        <v>139442</v>
      </c>
      <c r="AD13" s="200">
        <f t="shared" si="5"/>
        <v>202404</v>
      </c>
      <c r="AE13" s="116">
        <f t="shared" ref="AE13:AK13" si="10">SUMPRODUCT(($D$66:$D$82=$AE$6)*($E$66:$E$82=AE$9)*$S$66:$S$82)</f>
        <v>32310</v>
      </c>
      <c r="AF13" s="204">
        <f t="shared" si="10"/>
        <v>0</v>
      </c>
      <c r="AG13" s="117">
        <f t="shared" si="10"/>
        <v>8552</v>
      </c>
      <c r="AH13" s="205">
        <f t="shared" si="10"/>
        <v>3289</v>
      </c>
      <c r="AI13" s="204">
        <f t="shared" si="10"/>
        <v>35500</v>
      </c>
      <c r="AJ13" s="205">
        <f t="shared" si="10"/>
        <v>9580</v>
      </c>
      <c r="AK13" s="117">
        <f t="shared" si="10"/>
        <v>900</v>
      </c>
      <c r="AL13" s="213">
        <f>SUMPRODUCT(($D$66:$D$82=$AL$6)*($E$66:$E$82=AL$9)*$S$66:$S$82)</f>
        <v>6090</v>
      </c>
      <c r="AM13" s="208">
        <f>SUMPRODUCT(($D$66:$D$82=$AL$6)*($E$66:$E$82=AM$9)*$S$66:$S$82)</f>
        <v>0</v>
      </c>
      <c r="AN13" s="208">
        <f>SUMPRODUCT(($D$66:$D$82=$AL$6)*($E$66:$E$82=AN$9)*$S$66:$S$82)</f>
        <v>1070</v>
      </c>
      <c r="AO13" s="208">
        <f>SUMPRODUCT(($D$66:$D$82=$AL$6)*($E$66:$E$82=AO$9)*$S$66:$S$82)</f>
        <v>740</v>
      </c>
      <c r="AP13" s="214">
        <f>SUMPRODUCT(($D$66:$D$82=$AL$6)*($E$66:$E$82=AP$9)*$S$66:$S$82)</f>
        <v>0</v>
      </c>
      <c r="AQ13" s="213">
        <f>SUMPRODUCT(($D$66:$D$82=$AQ$6)*($E$66:$E$82=AQ$9)*$S$66:$S$82)</f>
        <v>9315</v>
      </c>
      <c r="AR13" s="208">
        <f>SUMPRODUCT(($D$66:$D$82=$AQ$6)*($E$66:$E$82=AR$9)*$S$66:$S$82)</f>
        <v>0</v>
      </c>
      <c r="AS13" s="208">
        <f>SUMPRODUCT(($D$66:$D$82=$AQ$6)*($E$66:$E$82=AS$9)*$S$66:$S$82)</f>
        <v>25115</v>
      </c>
      <c r="AT13" s="208">
        <f>SUMPRODUCT(($D$66:$D$82=$AQ$6)*($E$66:$E$82=AT$9)*$S$66:$S$82)</f>
        <v>6751</v>
      </c>
      <c r="AU13" s="214">
        <f>SUMPRODUCT(($D$66:$D$82=$AQ$6)*($E$66:$E$82=AU$9)*$S$66:$S$82)</f>
        <v>230</v>
      </c>
      <c r="AV13" s="159">
        <f t="shared" si="8"/>
        <v>139442</v>
      </c>
    </row>
    <row r="14" spans="1:48" ht="15" customHeight="1" x14ac:dyDescent="0.25">
      <c r="A14" s="164" t="s">
        <v>242</v>
      </c>
      <c r="B14" s="157">
        <f>B11/($J$2*12)</f>
        <v>0.12175810810810811</v>
      </c>
      <c r="C14" s="275"/>
      <c r="D14" s="95" t="s">
        <v>151</v>
      </c>
      <c r="E14" s="176" t="s">
        <v>257</v>
      </c>
      <c r="F14" s="79">
        <f>9900+1800</f>
        <v>11700</v>
      </c>
      <c r="G14" s="78"/>
      <c r="H14" s="236"/>
      <c r="I14" s="79"/>
      <c r="J14" s="78"/>
      <c r="K14" s="79"/>
      <c r="L14" s="79"/>
      <c r="M14" s="79"/>
      <c r="N14" s="79"/>
      <c r="O14" s="79"/>
      <c r="P14" s="79"/>
      <c r="Q14" s="79"/>
      <c r="R14" s="79"/>
      <c r="S14" s="80">
        <f>SUM(F14:R14)</f>
        <v>11700</v>
      </c>
      <c r="T14" s="278"/>
      <c r="V14" s="90">
        <f>$C$85</f>
        <v>202405</v>
      </c>
      <c r="W14" s="52">
        <f>T85</f>
        <v>98046</v>
      </c>
      <c r="X14" s="52">
        <f>T92</f>
        <v>15200</v>
      </c>
      <c r="Y14" s="52">
        <f>T97</f>
        <v>60498</v>
      </c>
      <c r="Z14" s="52">
        <f t="shared" si="6"/>
        <v>173744</v>
      </c>
      <c r="AD14" s="200">
        <f t="shared" si="5"/>
        <v>202405</v>
      </c>
      <c r="AE14" s="116">
        <f t="shared" ref="AE14:AK14" si="11">SUMPRODUCT(($D$85:$D$101=$AE$6)*($E$85:$E$101=AE$9)*$S$85:$S$101)</f>
        <v>29056</v>
      </c>
      <c r="AF14" s="204">
        <f t="shared" si="11"/>
        <v>1000</v>
      </c>
      <c r="AG14" s="117">
        <f t="shared" si="11"/>
        <v>5446</v>
      </c>
      <c r="AH14" s="205">
        <f t="shared" si="11"/>
        <v>6404</v>
      </c>
      <c r="AI14" s="204">
        <f t="shared" si="11"/>
        <v>18840</v>
      </c>
      <c r="AJ14" s="205">
        <f t="shared" si="11"/>
        <v>37300</v>
      </c>
      <c r="AK14" s="117">
        <f t="shared" si="11"/>
        <v>0</v>
      </c>
      <c r="AL14" s="213">
        <f>SUMPRODUCT(($D$85:$D$101=$AL$6)*($E$85:$E$101=AL$9)*$S$85:$S$101)</f>
        <v>6030</v>
      </c>
      <c r="AM14" s="208">
        <f>SUMPRODUCT(($D$85:$D$101=$AL$6)*($E$85:$E$101=AM$9)*$S$85:$S$101)</f>
        <v>7370</v>
      </c>
      <c r="AN14" s="208">
        <f>SUMPRODUCT(($D$85:$D$101=$AL$6)*($E$85:$E$101=AN$9)*$S$85:$S$101)</f>
        <v>760</v>
      </c>
      <c r="AO14" s="208">
        <f>SUMPRODUCT(($D$85:$D$101=$AL$6)*($E$85:$E$101=AO$9)*$S$85:$S$101)</f>
        <v>1040</v>
      </c>
      <c r="AP14" s="214">
        <f>SUMPRODUCT(($D$85:$D$101=$AL$6)*($E$85:$E$101=AP$9)*$S$85:$S$101)</f>
        <v>0</v>
      </c>
      <c r="AQ14" s="213">
        <f>SUMPRODUCT(($D$85:$D$101=$AQ$6)*($E$85:$E$101=AQ$9)*$S$85:$S$101)</f>
        <v>5300</v>
      </c>
      <c r="AR14" s="208">
        <f>SUMPRODUCT(($D$85:$D$101=$AQ$6)*($E$85:$E$101=AR$9)*$S$85:$S$101)</f>
        <v>7920</v>
      </c>
      <c r="AS14" s="208">
        <f>SUMPRODUCT(($D$85:$D$101=$AQ$6)*($E$85:$E$101=AS$9)*$S$85:$S$101)</f>
        <v>39527</v>
      </c>
      <c r="AT14" s="208">
        <f>SUMPRODUCT(($D$85:$D$101=$AQ$6)*($E$85:$E$101=AT$9)*$S$85:$S$101)</f>
        <v>6751</v>
      </c>
      <c r="AU14" s="214">
        <f>SUMPRODUCT(($D$85:$D$101=$AQ$6)*($E$85:$E$101=AU$9)*$S$85:$S$101)</f>
        <v>1000</v>
      </c>
      <c r="AV14" s="159">
        <f t="shared" si="8"/>
        <v>173744</v>
      </c>
    </row>
    <row r="15" spans="1:48" ht="15" customHeight="1" x14ac:dyDescent="0.25">
      <c r="A15" s="164" t="s">
        <v>282</v>
      </c>
      <c r="B15" s="126">
        <f>VALUE(RIGHT(B9,2))/12</f>
        <v>8.3333333333333329E-2</v>
      </c>
      <c r="C15" s="275"/>
      <c r="D15" s="95" t="s">
        <v>151</v>
      </c>
      <c r="E15" s="176" t="s">
        <v>263</v>
      </c>
      <c r="F15" s="78">
        <f>200</f>
        <v>200</v>
      </c>
      <c r="G15" s="78"/>
      <c r="H15" s="78">
        <v>2100</v>
      </c>
      <c r="I15" s="79"/>
      <c r="J15" s="78"/>
      <c r="K15" s="79"/>
      <c r="L15" s="79"/>
      <c r="M15" s="79"/>
      <c r="N15" s="79"/>
      <c r="O15" s="79"/>
      <c r="P15" s="79"/>
      <c r="Q15" s="79"/>
      <c r="R15" s="79"/>
      <c r="S15" s="80">
        <f>SUM(F15:R15)</f>
        <v>2300</v>
      </c>
      <c r="T15" s="278"/>
      <c r="V15" s="90">
        <f>$C$104</f>
        <v>202406</v>
      </c>
      <c r="W15" s="52">
        <f>T104</f>
        <v>89519</v>
      </c>
      <c r="X15" s="52">
        <f>T111</f>
        <v>3949</v>
      </c>
      <c r="Y15" s="52">
        <f>T116</f>
        <v>18015</v>
      </c>
      <c r="Z15" s="52">
        <f t="shared" si="6"/>
        <v>111483</v>
      </c>
      <c r="AD15" s="200">
        <f t="shared" si="5"/>
        <v>202406</v>
      </c>
      <c r="AE15" s="116">
        <f t="shared" ref="AE15:AK15" si="12">SUMPRODUCT(($D$104:$D$120=$AE$6)*($E$104:$E$120=AE$9)*$S$104:$S$120)</f>
        <v>35116</v>
      </c>
      <c r="AF15" s="204">
        <f t="shared" si="12"/>
        <v>5157</v>
      </c>
      <c r="AG15" s="117">
        <f t="shared" si="12"/>
        <v>7267</v>
      </c>
      <c r="AH15" s="205">
        <f t="shared" si="12"/>
        <v>4979</v>
      </c>
      <c r="AI15" s="204">
        <f t="shared" si="12"/>
        <v>22616</v>
      </c>
      <c r="AJ15" s="205">
        <f t="shared" si="12"/>
        <v>12664</v>
      </c>
      <c r="AK15" s="117">
        <f t="shared" si="12"/>
        <v>1720</v>
      </c>
      <c r="AL15" s="213">
        <f>SUMPRODUCT(($D$104:$D$120=$AL$6)*($E$104:$E$120=AL$9)*$S$104:$S$120)</f>
        <v>350</v>
      </c>
      <c r="AM15" s="208">
        <f>SUMPRODUCT(($D$104:$D$120=$AL$6)*($E$104:$E$120=AM$9)*$S$104:$S$120)</f>
        <v>0</v>
      </c>
      <c r="AN15" s="208">
        <f>SUMPRODUCT(($D$104:$D$120=$AL$6)*($E$104:$E$120=AN$9)*$S$104:$S$120)</f>
        <v>2419</v>
      </c>
      <c r="AO15" s="208">
        <f>SUMPRODUCT(($D$104:$D$120=$AL$6)*($E$104:$E$120=AO$9)*$S$104:$S$120)</f>
        <v>540</v>
      </c>
      <c r="AP15" s="214">
        <f>SUMPRODUCT(($D$104:$D$120=$AL$6)*($E$104:$E$120=AP$9)*$S$104:$S$120)</f>
        <v>640</v>
      </c>
      <c r="AQ15" s="213">
        <f>SUMPRODUCT(($D$104:$D$120=$AQ$6)*($E$104:$E$120=AQ$9)*$S$104:$S$120)</f>
        <v>650</v>
      </c>
      <c r="AR15" s="208">
        <f>SUMPRODUCT(($D$104:$D$120=$AQ$6)*($E$104:$E$120=AR$9)*$S$104:$S$120)</f>
        <v>1365</v>
      </c>
      <c r="AS15" s="208">
        <f>SUMPRODUCT(($D$104:$D$120=$AQ$6)*($E$104:$E$120=AS$9)*$S$104:$S$120)</f>
        <v>0</v>
      </c>
      <c r="AT15" s="208">
        <f>SUMPRODUCT(($D$104:$D$120=$AQ$6)*($E$104:$E$120=AT$9)*$S$104:$S$120)</f>
        <v>0</v>
      </c>
      <c r="AU15" s="214">
        <f>SUMPRODUCT(($D$104:$D$120=$AQ$6)*($E$104:$E$120=AU$9)*$S$104:$S$120)</f>
        <v>16000</v>
      </c>
      <c r="AV15" s="159">
        <f t="shared" si="8"/>
        <v>111483</v>
      </c>
    </row>
    <row r="16" spans="1:48" ht="15" customHeight="1" x14ac:dyDescent="0.25">
      <c r="A16" s="164" t="s">
        <v>243</v>
      </c>
      <c r="B16" s="161">
        <f>B10*VALUE(RIGHT(B9,2))-B11</f>
        <v>-85303</v>
      </c>
      <c r="C16" s="275"/>
      <c r="D16" s="97" t="s">
        <v>152</v>
      </c>
      <c r="E16" s="97" t="s">
        <v>144</v>
      </c>
      <c r="F16" s="85">
        <f>4697+423+900</f>
        <v>6020</v>
      </c>
      <c r="G16" s="85"/>
      <c r="H16" s="85"/>
      <c r="I16" s="46"/>
      <c r="J16" s="46"/>
      <c r="K16" s="46"/>
      <c r="L16" s="46"/>
      <c r="M16" s="89"/>
      <c r="N16" s="46"/>
      <c r="O16" s="89"/>
      <c r="P16" s="46"/>
      <c r="Q16" s="46"/>
      <c r="R16" s="46"/>
      <c r="S16" s="83">
        <f t="shared" si="4"/>
        <v>6020</v>
      </c>
      <c r="T16" s="280">
        <f>SUM(S16:S20)</f>
        <v>9116</v>
      </c>
      <c r="V16" s="90">
        <f>$C$123</f>
        <v>202407</v>
      </c>
      <c r="W16" s="52">
        <f>T123</f>
        <v>72519</v>
      </c>
      <c r="X16" s="52">
        <f>T130</f>
        <v>36940</v>
      </c>
      <c r="Y16" s="52">
        <f>T135</f>
        <v>29589</v>
      </c>
      <c r="Z16" s="52">
        <f t="shared" si="6"/>
        <v>139048</v>
      </c>
      <c r="AD16" s="200">
        <f t="shared" si="5"/>
        <v>202407</v>
      </c>
      <c r="AE16" s="116">
        <f t="shared" ref="AE16:AK16" si="13">SUMPRODUCT(($D$123:$D$139=$AE$6)*($E$123:$E$139=AE$9)*$S$123:$S$139)</f>
        <v>35307</v>
      </c>
      <c r="AF16" s="204">
        <f t="shared" si="13"/>
        <v>2400</v>
      </c>
      <c r="AG16" s="117">
        <f t="shared" si="13"/>
        <v>7629</v>
      </c>
      <c r="AH16" s="205">
        <f t="shared" si="13"/>
        <v>9133</v>
      </c>
      <c r="AI16" s="204">
        <f t="shared" si="13"/>
        <v>11000</v>
      </c>
      <c r="AJ16" s="205">
        <f t="shared" si="13"/>
        <v>7050</v>
      </c>
      <c r="AK16" s="117">
        <f t="shared" si="13"/>
        <v>0</v>
      </c>
      <c r="AL16" s="213">
        <f>SUMPRODUCT(($D$123:$D$139=$AL$6)*($E$123:$E$139=AL$9)*$S$123:$S$139)</f>
        <v>36590</v>
      </c>
      <c r="AM16" s="208">
        <f>SUMPRODUCT(($D$123:$D$139=$AL$6)*($E$123:$E$139=AM$9)*$S$123:$S$139)</f>
        <v>0</v>
      </c>
      <c r="AN16" s="208">
        <f>SUMPRODUCT(($D$123:$D$139=$AL$6)*($E$123:$E$139=AN$9)*$S$123:$S$139)</f>
        <v>0</v>
      </c>
      <c r="AO16" s="208">
        <f>SUMPRODUCT(($D$123:$D$139=$AL$6)*($E$123:$E$139=AO$9)*$S$123:$S$139)</f>
        <v>0</v>
      </c>
      <c r="AP16" s="214">
        <f>SUMPRODUCT(($D$123:$D$139=$AL$6)*($E$123:$E$139=AP$9)*$S$123:$S$139)</f>
        <v>350</v>
      </c>
      <c r="AQ16" s="213">
        <f>SUMPRODUCT(($D$123:$D$139=$AQ$6)*($E$123:$E$139=AQ$9)*$S$123:$S$139)</f>
        <v>18703</v>
      </c>
      <c r="AR16" s="208">
        <f>SUMPRODUCT(($D$123:$D$139=$AQ$6)*($E$123:$E$139=AR$9)*$S$123:$S$139)</f>
        <v>4606</v>
      </c>
      <c r="AS16" s="208">
        <f>SUMPRODUCT(($D$123:$D$139=$AQ$6)*($E$123:$E$139=AS$9)*$S$123:$S$139)</f>
        <v>6180</v>
      </c>
      <c r="AT16" s="208">
        <f>SUMPRODUCT(($D$123:$D$139=$AQ$6)*($E$123:$E$139=AT$9)*$S$123:$S$139)</f>
        <v>0</v>
      </c>
      <c r="AU16" s="214">
        <f>SUMPRODUCT(($D$123:$D$139=$AQ$6)*($E$123:$E$139=AU$9)*$S$123:$S$139)</f>
        <v>100</v>
      </c>
      <c r="AV16" s="159">
        <f t="shared" si="8"/>
        <v>139048</v>
      </c>
    </row>
    <row r="17" spans="1:48" ht="15" customHeight="1" x14ac:dyDescent="0.25">
      <c r="A17" s="164" t="s">
        <v>265</v>
      </c>
      <c r="B17" s="184">
        <f>$J$2-(S26)</f>
        <v>-85303</v>
      </c>
      <c r="C17" s="275"/>
      <c r="D17" s="97" t="s">
        <v>152</v>
      </c>
      <c r="E17" s="97" t="s">
        <v>145</v>
      </c>
      <c r="F17" s="85"/>
      <c r="G17" s="46"/>
      <c r="H17" s="85"/>
      <c r="I17" s="46"/>
      <c r="J17" s="46"/>
      <c r="K17" s="46"/>
      <c r="L17" s="46"/>
      <c r="M17" s="46"/>
      <c r="N17" s="46"/>
      <c r="O17" s="89"/>
      <c r="P17" s="46"/>
      <c r="Q17" s="46"/>
      <c r="R17" s="46"/>
      <c r="S17" s="83">
        <f t="shared" si="4"/>
        <v>0</v>
      </c>
      <c r="T17" s="281"/>
      <c r="V17" s="90">
        <f>$C$142</f>
        <v>202408</v>
      </c>
      <c r="W17" s="52">
        <f>T142</f>
        <v>28457</v>
      </c>
      <c r="X17" s="52">
        <f>T149</f>
        <v>802</v>
      </c>
      <c r="Y17" s="52">
        <f>T154</f>
        <v>483914.5</v>
      </c>
      <c r="Z17" s="52">
        <f t="shared" si="6"/>
        <v>513173.5</v>
      </c>
      <c r="AD17" s="200">
        <f t="shared" si="5"/>
        <v>202408</v>
      </c>
      <c r="AE17" s="116">
        <f t="shared" ref="AE17:AK17" si="14">SUMPRODUCT(($D$142:$D$158=$AE$6)*($E$142:$E$158=AE$9)*$S$142:$S$158)</f>
        <v>16810</v>
      </c>
      <c r="AF17" s="204">
        <f t="shared" si="14"/>
        <v>0</v>
      </c>
      <c r="AG17" s="117">
        <f t="shared" si="14"/>
        <v>4799</v>
      </c>
      <c r="AH17" s="205">
        <f t="shared" si="14"/>
        <v>4068</v>
      </c>
      <c r="AI17" s="204">
        <f t="shared" si="14"/>
        <v>2780</v>
      </c>
      <c r="AJ17" s="205">
        <f t="shared" si="14"/>
        <v>0</v>
      </c>
      <c r="AK17" s="117">
        <f t="shared" si="14"/>
        <v>0</v>
      </c>
      <c r="AL17" s="213">
        <f>SUMPRODUCT(($D$142:$D$158=$AL$6)*($E$142:$E$158=AL$9)*$S$142:$S$158)</f>
        <v>0</v>
      </c>
      <c r="AM17" s="208">
        <f>SUMPRODUCT(($D$142:$D$158=$AL$6)*($E$142:$E$158=AM$9)*$S$142:$S$158)</f>
        <v>0</v>
      </c>
      <c r="AN17" s="208">
        <f>SUMPRODUCT(($D$142:$D$158=$AL$6)*($E$142:$E$158=AN$9)*$S$142:$S$158)</f>
        <v>0</v>
      </c>
      <c r="AO17" s="208">
        <f>SUMPRODUCT(($D$142:$D$158=$AL$6)*($E$142:$E$158=AO$9)*$S$142:$S$158)</f>
        <v>0</v>
      </c>
      <c r="AP17" s="214">
        <f>SUMPRODUCT(($D$142:$D$158=$AL$6)*($E$142:$E$158=AP$9)*$S$142:$S$158)</f>
        <v>802</v>
      </c>
      <c r="AQ17" s="213">
        <f>SUMPRODUCT(($D$142:$D$158=$AQ$6)*($E$142:$E$158=AQ$9)*$S$142:$S$158)</f>
        <v>482895.5</v>
      </c>
      <c r="AR17" s="208">
        <f>SUMPRODUCT(($D$142:$D$158=$AQ$6)*($E$142:$E$158=AR$9)*$S$142:$S$158)</f>
        <v>0</v>
      </c>
      <c r="AS17" s="208">
        <f>SUMPRODUCT(($D$142:$D$158=$AQ$6)*($E$142:$E$158=AS$9)*$S$142:$S$158)</f>
        <v>0</v>
      </c>
      <c r="AT17" s="208">
        <f>SUMPRODUCT(($D$142:$D$158=$AQ$6)*($E$142:$E$158=AT$9)*$S$142:$S$158)</f>
        <v>1019</v>
      </c>
      <c r="AU17" s="214">
        <f>SUMPRODUCT(($D$142:$D$158=$AQ$6)*($E$142:$E$158=AU$9)*$S$142:$S$158)</f>
        <v>0</v>
      </c>
      <c r="AV17" s="159">
        <f t="shared" si="8"/>
        <v>513173.5</v>
      </c>
    </row>
    <row r="18" spans="1:48" ht="15" customHeight="1" x14ac:dyDescent="0.25">
      <c r="C18" s="275"/>
      <c r="D18" s="97" t="s">
        <v>152</v>
      </c>
      <c r="E18" s="97" t="s">
        <v>146</v>
      </c>
      <c r="F18" s="86">
        <v>20</v>
      </c>
      <c r="G18" s="46"/>
      <c r="H18" s="87">
        <v>1199</v>
      </c>
      <c r="I18" s="87"/>
      <c r="J18" s="46"/>
      <c r="K18" s="46"/>
      <c r="L18" s="46"/>
      <c r="M18" s="46"/>
      <c r="N18" s="46"/>
      <c r="O18" s="46"/>
      <c r="P18" s="46"/>
      <c r="Q18" s="46"/>
      <c r="R18" s="46"/>
      <c r="S18" s="83">
        <f t="shared" si="4"/>
        <v>1219</v>
      </c>
      <c r="T18" s="281"/>
      <c r="V18" s="90">
        <f>$C$161</f>
        <v>202409</v>
      </c>
      <c r="W18" s="52">
        <f>T161</f>
        <v>115276</v>
      </c>
      <c r="X18" s="52">
        <f>T168</f>
        <v>1900</v>
      </c>
      <c r="Y18" s="52">
        <f>T173</f>
        <v>156326</v>
      </c>
      <c r="Z18" s="52">
        <f t="shared" si="6"/>
        <v>273502</v>
      </c>
      <c r="AD18" s="200">
        <f t="shared" si="5"/>
        <v>202409</v>
      </c>
      <c r="AE18" s="110">
        <f t="shared" ref="AE18:AK18" si="15">SUMPRODUCT(($D$161:$D$177=$AE$6)*($E$161:$E$177=AE$9)*$S$161:$S$177)</f>
        <v>23248</v>
      </c>
      <c r="AF18" s="206">
        <f t="shared" si="15"/>
        <v>649</v>
      </c>
      <c r="AG18" s="111">
        <f t="shared" si="15"/>
        <v>12200</v>
      </c>
      <c r="AH18" s="207">
        <f t="shared" si="15"/>
        <v>8222</v>
      </c>
      <c r="AI18" s="206">
        <f t="shared" si="15"/>
        <v>59186</v>
      </c>
      <c r="AJ18" s="207">
        <f t="shared" si="15"/>
        <v>11271</v>
      </c>
      <c r="AK18" s="111">
        <f t="shared" si="15"/>
        <v>500</v>
      </c>
      <c r="AL18" s="215">
        <f>SUMPRODUCT(($D$161:$D$177=$AL$6)*($E$161:$E$177=AL$9)*$S$161:$S$177)</f>
        <v>1900</v>
      </c>
      <c r="AM18" s="209">
        <f>SUMPRODUCT(($D$161:$D$177=$AL$6)*($E$161:$E$177=AM$9)*$S$161:$S$177)</f>
        <v>0</v>
      </c>
      <c r="AN18" s="209">
        <f>SUMPRODUCT(($D$161:$D$177=$AL$6)*($E$161:$E$177=AN$9)*$S$161:$S$177)</f>
        <v>0</v>
      </c>
      <c r="AO18" s="209">
        <f>SUMPRODUCT(($D$161:$D$177=$AL$6)*($E$161:$E$177=AO$9)*$S$161:$S$177)</f>
        <v>0</v>
      </c>
      <c r="AP18" s="216">
        <f>SUMPRODUCT(($D$161:$D$177=$AL$6)*($E$161:$E$177=AP$9)*$S$161:$S$177)</f>
        <v>0</v>
      </c>
      <c r="AQ18" s="215">
        <f>SUMPRODUCT(($D$161:$D$177=$AQ$6)*($E$161:$E$177=AQ$9)*$S$161:$S$177)</f>
        <v>156326</v>
      </c>
      <c r="AR18" s="209">
        <f>SUMPRODUCT(($D$161:$D$177=$AQ$6)*($E$161:$E$177=AR$9)*$S$161:$S$177)</f>
        <v>0</v>
      </c>
      <c r="AS18" s="209">
        <f>SUMPRODUCT(($D$161:$D$177=$AQ$6)*($E$161:$E$177=AS$9)*$S$161:$S$177)</f>
        <v>0</v>
      </c>
      <c r="AT18" s="209">
        <f>SUMPRODUCT(($D$161:$D$177=$AQ$6)*($E$161:$E$177=AT$9)*$S$161:$S$177)</f>
        <v>0</v>
      </c>
      <c r="AU18" s="216">
        <f>SUMPRODUCT(($D$161:$D$177=$AQ$6)*($E$161:$E$177=AU$9)*$S$161:$S$177)</f>
        <v>0</v>
      </c>
      <c r="AV18" s="159">
        <f t="shared" si="8"/>
        <v>273502</v>
      </c>
    </row>
    <row r="19" spans="1:48" ht="15" customHeight="1" x14ac:dyDescent="0.25">
      <c r="C19" s="275"/>
      <c r="D19" s="97" t="s">
        <v>152</v>
      </c>
      <c r="E19" s="97" t="s">
        <v>147</v>
      </c>
      <c r="F19" s="86"/>
      <c r="G19" s="46"/>
      <c r="H19" s="87">
        <v>799</v>
      </c>
      <c r="I19" s="87"/>
      <c r="J19" s="46"/>
      <c r="K19" s="46"/>
      <c r="L19" s="46"/>
      <c r="M19" s="46"/>
      <c r="N19" s="46"/>
      <c r="O19" s="46"/>
      <c r="P19" s="46"/>
      <c r="Q19" s="46"/>
      <c r="R19" s="46"/>
      <c r="S19" s="83">
        <f t="shared" si="4"/>
        <v>799</v>
      </c>
      <c r="T19" s="281"/>
      <c r="V19" s="90">
        <f>$C$180</f>
        <v>202410</v>
      </c>
      <c r="W19" s="52">
        <f>T180</f>
        <v>73556</v>
      </c>
      <c r="X19" s="52">
        <f>T187</f>
        <v>1605</v>
      </c>
      <c r="Y19" s="52">
        <f>T192</f>
        <v>10666</v>
      </c>
      <c r="Z19" s="52">
        <f t="shared" si="6"/>
        <v>85827</v>
      </c>
      <c r="AD19" s="200">
        <f t="shared" si="5"/>
        <v>202410</v>
      </c>
      <c r="AE19" s="110">
        <f t="shared" ref="AE19:AK19" si="16">SUMPRODUCT(($D$180:$D$196=$AE$6)*($E$180:$E$196=AE$9)*$S$180:$S$196)</f>
        <v>29203</v>
      </c>
      <c r="AF19" s="206">
        <f t="shared" si="16"/>
        <v>787</v>
      </c>
      <c r="AG19" s="111">
        <f t="shared" si="16"/>
        <v>6581</v>
      </c>
      <c r="AH19" s="207">
        <f t="shared" si="16"/>
        <v>15571</v>
      </c>
      <c r="AI19" s="206">
        <f t="shared" si="16"/>
        <v>11200</v>
      </c>
      <c r="AJ19" s="207">
        <f t="shared" si="16"/>
        <v>9464</v>
      </c>
      <c r="AK19" s="111">
        <f t="shared" si="16"/>
        <v>750</v>
      </c>
      <c r="AL19" s="215">
        <f>SUMPRODUCT(($D$180:$D$196=$AL$6)*($E$180:$E$196=AL$9)*$S$180:$S$196)</f>
        <v>0</v>
      </c>
      <c r="AM19" s="209">
        <f>SUMPRODUCT(($D$180:$D$196=$AL$6)*($E$180:$E$196=AM$9)*$S$180:$S$196)</f>
        <v>0</v>
      </c>
      <c r="AN19" s="209">
        <f>SUMPRODUCT(($D$180:$D$196=$AL$6)*($E$180:$E$196=AN$9)*$S$180:$S$196)</f>
        <v>0</v>
      </c>
      <c r="AO19" s="209">
        <f>SUMPRODUCT(($D$180:$D$196=$AL$6)*($E$180:$E$196=AO$9)*$S$180:$S$196)</f>
        <v>0</v>
      </c>
      <c r="AP19" s="216">
        <f>SUMPRODUCT(($D$180:$D$196=$AL$6)*($E$180:$E$196=AP$9)*$S$180:$S$196)</f>
        <v>1605</v>
      </c>
      <c r="AQ19" s="215">
        <f>SUMPRODUCT(($D$180:$D$196=$AQ$6)*($E$180:$E$196=AQ$9)*$S$180:$S$196)</f>
        <v>3630</v>
      </c>
      <c r="AR19" s="209">
        <f>SUMPRODUCT(($D$180:$D$196=$AQ$6)*($E$180:$E$196=AR$9)*$S$180:$S$196)</f>
        <v>780</v>
      </c>
      <c r="AS19" s="209">
        <f>SUMPRODUCT(($D$180:$D$196=$AQ$6)*($E$180:$E$196=AS$9)*$S$180:$S$196)</f>
        <v>0</v>
      </c>
      <c r="AT19" s="209">
        <f>SUMPRODUCT(($D$180:$D$196=$AQ$6)*($E$180:$E$196=AT$9)*$S$180:$S$196)</f>
        <v>6256</v>
      </c>
      <c r="AU19" s="216">
        <f>SUMPRODUCT(($D$180:$D$196=$AQ$6)*($E$180:$E$196=AU$9)*$S$180:$S$196)</f>
        <v>0</v>
      </c>
      <c r="AV19" s="159">
        <f t="shared" si="8"/>
        <v>85827</v>
      </c>
    </row>
    <row r="20" spans="1:48" ht="15" customHeight="1" x14ac:dyDescent="0.25">
      <c r="B20" s="52"/>
      <c r="C20" s="275"/>
      <c r="D20" s="97" t="s">
        <v>152</v>
      </c>
      <c r="E20" s="97" t="s">
        <v>168</v>
      </c>
      <c r="F20" s="85">
        <v>200</v>
      </c>
      <c r="G20" s="85"/>
      <c r="H20" s="87">
        <v>878</v>
      </c>
      <c r="I20" s="87"/>
      <c r="J20" s="46"/>
      <c r="K20" s="46"/>
      <c r="L20" s="46"/>
      <c r="M20" s="46"/>
      <c r="N20" s="46"/>
      <c r="O20" s="46"/>
      <c r="P20" s="46"/>
      <c r="Q20" s="86"/>
      <c r="R20" s="46"/>
      <c r="S20" s="83">
        <f t="shared" si="4"/>
        <v>1078</v>
      </c>
      <c r="T20" s="281"/>
      <c r="V20" s="90">
        <f>$C$199</f>
        <v>202411</v>
      </c>
      <c r="W20" s="52">
        <f>T199</f>
        <v>61366</v>
      </c>
      <c r="X20" s="52">
        <f>T206</f>
        <v>14122</v>
      </c>
      <c r="Y20" s="52">
        <f>T211</f>
        <v>34828.729999999996</v>
      </c>
      <c r="Z20" s="52">
        <f t="shared" si="6"/>
        <v>110316.73</v>
      </c>
      <c r="AD20" s="200">
        <f t="shared" si="5"/>
        <v>202411</v>
      </c>
      <c r="AE20" s="110">
        <f t="shared" ref="AE20:AK20" si="17">SUMPRODUCT(($D$199:$D$215=$AE$6)*($E$199:$E$215=AE$9)*$S$199:$S$215)</f>
        <v>24246</v>
      </c>
      <c r="AF20" s="206">
        <f t="shared" si="17"/>
        <v>5545</v>
      </c>
      <c r="AG20" s="111">
        <f t="shared" si="17"/>
        <v>4463</v>
      </c>
      <c r="AH20" s="207">
        <f t="shared" si="17"/>
        <v>7061</v>
      </c>
      <c r="AI20" s="206">
        <f t="shared" si="17"/>
        <v>11494</v>
      </c>
      <c r="AJ20" s="207">
        <f t="shared" si="17"/>
        <v>7667</v>
      </c>
      <c r="AK20" s="111">
        <f t="shared" si="17"/>
        <v>890</v>
      </c>
      <c r="AL20" s="215">
        <f>SUMPRODUCT(($D$199:$D$215=$AL$6)*($E$199:$E$215=AL$9)*$S$199:$S$215)</f>
        <v>0</v>
      </c>
      <c r="AM20" s="209">
        <f>SUMPRODUCT(($D$199:$D$215=$AL$6)*($E$199:$E$215=AM$9)*$S$199:$S$215)</f>
        <v>9000</v>
      </c>
      <c r="AN20" s="209">
        <f>SUMPRODUCT(($D$199:$D$215=$AL$6)*($E$199:$E$215=AN$9)*$S$199:$S$215)</f>
        <v>2330</v>
      </c>
      <c r="AO20" s="209">
        <f>SUMPRODUCT(($D$199:$D$215=$AL$6)*($E$199:$E$215=AO$9)*$S$199:$S$215)</f>
        <v>2592</v>
      </c>
      <c r="AP20" s="216">
        <f>SUMPRODUCT(($D$199:$D$215=$AL$6)*($E$199:$E$215=AP$9)*$S$199:$S$215)</f>
        <v>200</v>
      </c>
      <c r="AQ20" s="215">
        <f>SUMPRODUCT(($D$199:$D$215=$AQ$6)*($E$199:$E$215=AQ$9)*$S$199:$S$215)</f>
        <v>14252.73</v>
      </c>
      <c r="AR20" s="209">
        <f>SUMPRODUCT(($D$199:$D$215=$AQ$6)*($E$199:$E$215=AR$9)*$S$199:$S$215)</f>
        <v>3575</v>
      </c>
      <c r="AS20" s="209">
        <f>SUMPRODUCT(($D$199:$D$215=$AQ$6)*($E$199:$E$215=AS$9)*$S$199:$S$215)</f>
        <v>2093</v>
      </c>
      <c r="AT20" s="209">
        <f>SUMPRODUCT(($D$199:$D$215=$AQ$6)*($E$199:$E$215=AT$9)*$S$199:$S$215)</f>
        <v>14908</v>
      </c>
      <c r="AU20" s="216">
        <f>SUMPRODUCT(($D$199:$D$215=$AQ$6)*($E$199:$E$215=AU$9)*$S$199:$S$215)</f>
        <v>0</v>
      </c>
      <c r="AV20" s="159">
        <f t="shared" si="8"/>
        <v>110316.73</v>
      </c>
    </row>
    <row r="21" spans="1:48" ht="15" customHeight="1" thickBot="1" x14ac:dyDescent="0.3">
      <c r="C21" s="275"/>
      <c r="D21" s="98" t="s">
        <v>153</v>
      </c>
      <c r="E21" s="178" t="s">
        <v>258</v>
      </c>
      <c r="F21" s="81">
        <f>360+270+140+150+505+180+170+50+100+100+60+70+30+110+40+100+150+1110+7500+120+100+160+350+300+100+160+330+190+200+150+50+125+807</f>
        <v>14337</v>
      </c>
      <c r="G21" s="81"/>
      <c r="H21" s="81">
        <f>9340+5228+3006+5600+7935+7200+55+95+2860+160</f>
        <v>41479</v>
      </c>
      <c r="I21" s="81"/>
      <c r="J21" s="81">
        <v>7090</v>
      </c>
      <c r="K21" s="81"/>
      <c r="L21" s="81">
        <v>104295</v>
      </c>
      <c r="M21" s="81">
        <f>220+100+20+1314+1094</f>
        <v>2748</v>
      </c>
      <c r="N21" s="81"/>
      <c r="O21" s="81">
        <f>7180+1000+300</f>
        <v>8480</v>
      </c>
      <c r="P21" s="81"/>
      <c r="Q21" s="81"/>
      <c r="R21" s="81"/>
      <c r="S21" s="82">
        <f t="shared" si="4"/>
        <v>178429</v>
      </c>
      <c r="T21" s="282">
        <f>SUM(S21:S25)</f>
        <v>191040</v>
      </c>
      <c r="V21" s="90">
        <f>$C$218</f>
        <v>202412</v>
      </c>
      <c r="W21" s="52">
        <f>T218</f>
        <v>66002.333333333328</v>
      </c>
      <c r="X21" s="52">
        <f>T225</f>
        <v>15702</v>
      </c>
      <c r="Y21" s="52">
        <f>T230</f>
        <v>3408</v>
      </c>
      <c r="Z21" s="52">
        <f t="shared" si="6"/>
        <v>85112.333333333328</v>
      </c>
      <c r="AD21" s="200">
        <f t="shared" si="5"/>
        <v>202412</v>
      </c>
      <c r="AE21" s="113">
        <f t="shared" ref="AE21:AK21" si="18">SUMPRODUCT(($D$218:$D$234=$AE$6)*($E$218:$E$234=AE$9)*$S$218:$S$234)</f>
        <v>27969</v>
      </c>
      <c r="AF21" s="222">
        <f t="shared" si="18"/>
        <v>1928</v>
      </c>
      <c r="AG21" s="114">
        <f t="shared" si="18"/>
        <v>6026</v>
      </c>
      <c r="AH21" s="223">
        <f t="shared" si="18"/>
        <v>5418</v>
      </c>
      <c r="AI21" s="222">
        <f t="shared" si="18"/>
        <v>11200</v>
      </c>
      <c r="AJ21" s="223">
        <f t="shared" si="18"/>
        <v>6710</v>
      </c>
      <c r="AK21" s="114">
        <f t="shared" si="18"/>
        <v>6751.333333333333</v>
      </c>
      <c r="AL21" s="217">
        <f>SUMPRODUCT(($D$218:$D$234=$AL$6)*($E$218:$E$234=AL$9)*$S$218:$S$234)</f>
        <v>3382</v>
      </c>
      <c r="AM21" s="218">
        <f>SUMPRODUCT(($D$218:$D$234=$AL$6)*($E$218:$E$234=AM$9)*$S$218:$S$234)</f>
        <v>3950</v>
      </c>
      <c r="AN21" s="218">
        <f>SUMPRODUCT(($D$218:$D$234=$AL$6)*($E$218:$E$234=AN$9)*$S$218:$S$234)</f>
        <v>2000</v>
      </c>
      <c r="AO21" s="218">
        <f>SUMPRODUCT(($D$218:$D$234=$AL$6)*($E$218:$E$234=AO$9)*$S$218:$S$234)</f>
        <v>2000</v>
      </c>
      <c r="AP21" s="219">
        <f>SUMPRODUCT(($D$218:$D$234=$AL$6)*($E$218:$E$234=AP$9)*$S$218:$S$234)</f>
        <v>4370</v>
      </c>
      <c r="AQ21" s="217">
        <f>SUMPRODUCT(($D$218:$D$234=$AQ$6)*($E$218:$E$234=AQ$9)*$S$218:$S$234)</f>
        <v>1000</v>
      </c>
      <c r="AR21" s="218">
        <f>SUMPRODUCT(($D$218:$D$234=$AQ$6)*($E$218:$E$234=AR$9)*$S$218:$S$234)</f>
        <v>2408</v>
      </c>
      <c r="AS21" s="218">
        <f>SUMPRODUCT(($D$218:$D$234=$AQ$6)*($E$218:$E$234=AS$9)*$S$218:$S$234)</f>
        <v>0</v>
      </c>
      <c r="AT21" s="218">
        <f>SUMPRODUCT(($D$218:$D$234=$AQ$6)*($E$218:$E$234=AT$9)*$S$218:$S$234)</f>
        <v>0</v>
      </c>
      <c r="AU21" s="219">
        <f>SUMPRODUCT(($D$218:$D$234=$AQ$6)*($E$218:$E$234=AU$9)*$S$218:$S$234)</f>
        <v>0</v>
      </c>
      <c r="AV21" s="159">
        <f t="shared" si="8"/>
        <v>85112.333333333328</v>
      </c>
    </row>
    <row r="22" spans="1:48" ht="15" customHeight="1" x14ac:dyDescent="0.25">
      <c r="C22" s="275"/>
      <c r="D22" s="99" t="s">
        <v>153</v>
      </c>
      <c r="E22" s="137" t="s">
        <v>143</v>
      </c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>
        <f t="shared" si="4"/>
        <v>0</v>
      </c>
      <c r="T22" s="283"/>
      <c r="AD22" s="90"/>
      <c r="AF22" s="52"/>
    </row>
    <row r="23" spans="1:48" ht="15" customHeight="1" x14ac:dyDescent="0.25">
      <c r="C23" s="275"/>
      <c r="D23" s="99" t="s">
        <v>153</v>
      </c>
      <c r="E23" s="99" t="s">
        <v>172</v>
      </c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>
        <v>6751</v>
      </c>
      <c r="R23" s="82"/>
      <c r="S23" s="82">
        <f t="shared" si="4"/>
        <v>6751</v>
      </c>
      <c r="T23" s="283"/>
      <c r="AF23" s="52"/>
    </row>
    <row r="24" spans="1:48" s="41" customFormat="1" ht="15" customHeight="1" x14ac:dyDescent="0.25">
      <c r="B24" s="45"/>
      <c r="C24" s="276"/>
      <c r="D24" s="99" t="s">
        <v>153</v>
      </c>
      <c r="E24" s="99" t="s">
        <v>173</v>
      </c>
      <c r="F24" s="82"/>
      <c r="G24" s="82"/>
      <c r="H24" s="82">
        <v>5860</v>
      </c>
      <c r="I24" s="82"/>
      <c r="J24" s="82"/>
      <c r="K24" s="180"/>
      <c r="L24" s="82"/>
      <c r="M24" s="82"/>
      <c r="N24" s="82"/>
      <c r="O24" s="82"/>
      <c r="P24" s="82"/>
      <c r="Q24" s="82"/>
      <c r="R24" s="82"/>
      <c r="S24" s="82">
        <f t="shared" si="4"/>
        <v>5860</v>
      </c>
      <c r="T24" s="283"/>
      <c r="AF24" s="52"/>
    </row>
    <row r="25" spans="1:48" ht="15.75" customHeight="1" thickBot="1" x14ac:dyDescent="0.3">
      <c r="C25" s="276"/>
      <c r="D25" s="100" t="s">
        <v>153</v>
      </c>
      <c r="E25" s="100" t="s">
        <v>168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>
        <f t="shared" si="4"/>
        <v>0</v>
      </c>
      <c r="T25" s="283"/>
      <c r="AF25" s="52"/>
    </row>
    <row r="26" spans="1:48" ht="15" customHeight="1" x14ac:dyDescent="0.25">
      <c r="D26" s="101" t="s">
        <v>120</v>
      </c>
      <c r="E26" s="101" t="s">
        <v>120</v>
      </c>
      <c r="F26" s="64">
        <f t="shared" ref="F26:S26" si="19">SUM(F9:F25)</f>
        <v>64651</v>
      </c>
      <c r="G26" s="64">
        <f t="shared" si="19"/>
        <v>0</v>
      </c>
      <c r="H26" s="64">
        <f t="shared" si="19"/>
        <v>58410</v>
      </c>
      <c r="I26" s="64">
        <f t="shared" si="19"/>
        <v>420</v>
      </c>
      <c r="J26" s="64">
        <f t="shared" si="19"/>
        <v>7090</v>
      </c>
      <c r="K26" s="64">
        <f t="shared" si="19"/>
        <v>0</v>
      </c>
      <c r="L26" s="64">
        <f t="shared" si="19"/>
        <v>104295</v>
      </c>
      <c r="M26" s="64">
        <f t="shared" si="19"/>
        <v>4382</v>
      </c>
      <c r="N26" s="64">
        <f t="shared" si="19"/>
        <v>0</v>
      </c>
      <c r="O26" s="64">
        <f t="shared" si="19"/>
        <v>9720</v>
      </c>
      <c r="P26" s="64">
        <f t="shared" si="19"/>
        <v>0</v>
      </c>
      <c r="Q26" s="64">
        <f t="shared" si="19"/>
        <v>21335</v>
      </c>
      <c r="R26" s="64">
        <f t="shared" si="19"/>
        <v>0</v>
      </c>
      <c r="S26" s="54">
        <f t="shared" si="19"/>
        <v>270303</v>
      </c>
      <c r="AF26" s="52"/>
    </row>
    <row r="27" spans="1:48" ht="15.75" customHeight="1" thickBot="1" x14ac:dyDescent="0.3">
      <c r="D27" s="101"/>
      <c r="E27" s="101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50"/>
      <c r="AE27" s="52"/>
    </row>
    <row r="28" spans="1:48" ht="17.25" x14ac:dyDescent="0.25">
      <c r="A28" s="166" t="s">
        <v>188</v>
      </c>
      <c r="B28" s="167">
        <f>B9+1</f>
        <v>202402</v>
      </c>
      <c r="C28" s="275">
        <v>202402</v>
      </c>
      <c r="D28" s="94" t="s">
        <v>151</v>
      </c>
      <c r="E28" s="177" t="s">
        <v>252</v>
      </c>
      <c r="F28" s="60">
        <f>199+60+55+900+1055+175+330+1290+570+55+95+95+620+192</f>
        <v>5691</v>
      </c>
      <c r="G28" s="59"/>
      <c r="H28" s="59">
        <f>500+120+500+48+114+49+49+541+59+20+48+319+20+275+180+75+117+125+155+79+280+1381</f>
        <v>5054</v>
      </c>
      <c r="I28" s="60">
        <f>114+280+150+173+75+110+180+145+350+90+75+30</f>
        <v>1772</v>
      </c>
      <c r="J28" s="59">
        <v>68</v>
      </c>
      <c r="K28" s="60"/>
      <c r="L28" s="60">
        <v>10</v>
      </c>
      <c r="M28" s="60">
        <f>949+760+310+116+77+80+120+95+590+460+130+650</f>
        <v>4337</v>
      </c>
      <c r="N28" s="60"/>
      <c r="O28" s="60">
        <f>280+299+155</f>
        <v>734</v>
      </c>
      <c r="P28" s="60"/>
      <c r="Q28" s="60">
        <f>2000+2000+0+2000+2000</f>
        <v>8000</v>
      </c>
      <c r="R28" s="60"/>
      <c r="S28" s="44">
        <f t="shared" ref="S28:S44" si="20">SUM(F28:R28)</f>
        <v>25666</v>
      </c>
      <c r="T28" s="277">
        <f>SUM(S28:S34)</f>
        <v>91362</v>
      </c>
    </row>
    <row r="29" spans="1:48" ht="15" customHeight="1" thickBot="1" x14ac:dyDescent="0.3">
      <c r="A29" s="164" t="s">
        <v>247</v>
      </c>
      <c r="B29" s="162">
        <f>$J$2</f>
        <v>185000</v>
      </c>
      <c r="C29" s="275"/>
      <c r="D29" s="95" t="s">
        <v>151</v>
      </c>
      <c r="E29" s="176" t="s">
        <v>251</v>
      </c>
      <c r="F29" s="79"/>
      <c r="G29" s="78"/>
      <c r="H29" s="78"/>
      <c r="I29" s="79"/>
      <c r="J29" s="78"/>
      <c r="K29" s="79"/>
      <c r="L29" s="79"/>
      <c r="M29" s="79"/>
      <c r="N29" s="79"/>
      <c r="O29" s="79"/>
      <c r="P29" s="79"/>
      <c r="Q29" s="79"/>
      <c r="R29" s="79"/>
      <c r="S29" s="80">
        <f t="shared" si="20"/>
        <v>0</v>
      </c>
      <c r="T29" s="278"/>
    </row>
    <row r="30" spans="1:48" ht="15" customHeight="1" thickTop="1" x14ac:dyDescent="0.25">
      <c r="A30" s="165" t="s">
        <v>237</v>
      </c>
      <c r="B30" s="182">
        <f>SUMPRODUCT((($V$10:$V$21)&lt;=VALUE(B28))*($Z$10:$Z$21))</f>
        <v>426660</v>
      </c>
      <c r="C30" s="275"/>
      <c r="D30" s="95" t="s">
        <v>151</v>
      </c>
      <c r="E30" s="176" t="s">
        <v>254</v>
      </c>
      <c r="F30" s="79"/>
      <c r="G30" s="78"/>
      <c r="H30" s="78">
        <f>185+827</f>
        <v>1012</v>
      </c>
      <c r="I30" s="79"/>
      <c r="J30" s="78"/>
      <c r="K30" s="79"/>
      <c r="L30" s="79"/>
      <c r="M30" s="79"/>
      <c r="N30" s="79"/>
      <c r="O30" s="79"/>
      <c r="P30" s="79"/>
      <c r="Q30" s="79">
        <f>10500-7000</f>
        <v>3500</v>
      </c>
      <c r="R30" s="79"/>
      <c r="S30" s="80">
        <f t="shared" si="20"/>
        <v>4512</v>
      </c>
      <c r="T30" s="278"/>
    </row>
    <row r="31" spans="1:48" ht="15" customHeight="1" x14ac:dyDescent="0.25">
      <c r="A31" s="165" t="s">
        <v>264</v>
      </c>
      <c r="B31" s="181">
        <f>B30/SUMPRODUCT(('2024'!$V$10:$V$21&lt;='2024'!B28)*'2023'!$Z$10:$Z$21)</f>
        <v>1.0489464070155943</v>
      </c>
      <c r="C31" s="275"/>
      <c r="D31" s="95" t="s">
        <v>151</v>
      </c>
      <c r="E31" s="176" t="s">
        <v>255</v>
      </c>
      <c r="F31" s="79">
        <f>38+40+100+100+300+50</f>
        <v>628</v>
      </c>
      <c r="G31" s="78"/>
      <c r="H31" s="78">
        <f>591+64+175+500+400</f>
        <v>1730</v>
      </c>
      <c r="I31" s="79">
        <f>38+599</f>
        <v>637</v>
      </c>
      <c r="J31" s="78"/>
      <c r="K31" s="79"/>
      <c r="L31" s="79"/>
      <c r="M31" s="79"/>
      <c r="N31" s="79"/>
      <c r="O31" s="79"/>
      <c r="P31" s="79"/>
      <c r="Q31" s="79">
        <f>596+1074</f>
        <v>1670</v>
      </c>
      <c r="R31" s="79"/>
      <c r="S31" s="80">
        <f t="shared" si="20"/>
        <v>4665</v>
      </c>
      <c r="T31" s="278"/>
    </row>
    <row r="32" spans="1:48" ht="15" customHeight="1" x14ac:dyDescent="0.25">
      <c r="A32" s="165" t="s">
        <v>296</v>
      </c>
      <c r="B32" s="186">
        <f>B30-SUMPRODUCT((($AD$10:$AD$21)&lt;=VALUE(B28))*($AQ$10:$AQ$21))</f>
        <v>233708</v>
      </c>
      <c r="C32" s="275"/>
      <c r="D32" s="96" t="s">
        <v>151</v>
      </c>
      <c r="E32" s="176" t="s">
        <v>256</v>
      </c>
      <c r="F32" s="79">
        <f>36000+11000+6795+2000-5000-548</f>
        <v>50247</v>
      </c>
      <c r="G32" s="78"/>
      <c r="H32" s="78"/>
      <c r="I32" s="78"/>
      <c r="J32" s="78"/>
      <c r="K32" s="79"/>
      <c r="L32" s="79"/>
      <c r="M32" s="79"/>
      <c r="N32" s="79"/>
      <c r="O32" s="79"/>
      <c r="P32" s="79"/>
      <c r="Q32" s="79"/>
      <c r="R32" s="79"/>
      <c r="S32" s="80">
        <f t="shared" si="20"/>
        <v>50247</v>
      </c>
      <c r="T32" s="278"/>
    </row>
    <row r="33" spans="1:31" ht="15" customHeight="1" x14ac:dyDescent="0.25">
      <c r="A33" s="164" t="s">
        <v>242</v>
      </c>
      <c r="B33" s="157">
        <f>B30/($J$2*12)</f>
        <v>0.1921891891891892</v>
      </c>
      <c r="C33" s="275"/>
      <c r="D33" s="95" t="s">
        <v>151</v>
      </c>
      <c r="E33" s="176" t="s">
        <v>257</v>
      </c>
      <c r="F33" s="79">
        <f>1800+2872</f>
        <v>4672</v>
      </c>
      <c r="G33" s="78"/>
      <c r="H33" s="78"/>
      <c r="I33" s="79"/>
      <c r="J33" s="78"/>
      <c r="K33" s="79"/>
      <c r="L33" s="79"/>
      <c r="M33" s="79"/>
      <c r="N33" s="79"/>
      <c r="O33" s="79"/>
      <c r="P33" s="79"/>
      <c r="Q33" s="79"/>
      <c r="R33" s="79"/>
      <c r="S33" s="80">
        <f t="shared" si="20"/>
        <v>4672</v>
      </c>
      <c r="T33" s="278"/>
    </row>
    <row r="34" spans="1:31" ht="15" customHeight="1" x14ac:dyDescent="0.25">
      <c r="A34" s="164" t="s">
        <v>241</v>
      </c>
      <c r="B34" s="126">
        <f>VALUE(RIGHT(B28,2))/12</f>
        <v>0.16666666666666666</v>
      </c>
      <c r="C34" s="275"/>
      <c r="D34" s="95" t="s">
        <v>151</v>
      </c>
      <c r="E34" s="176" t="s">
        <v>263</v>
      </c>
      <c r="F34" s="78">
        <v>1600</v>
      </c>
      <c r="G34" s="78"/>
      <c r="H34" s="78"/>
      <c r="I34" s="79"/>
      <c r="J34" s="78"/>
      <c r="K34" s="79"/>
      <c r="L34" s="79"/>
      <c r="M34" s="79"/>
      <c r="N34" s="79"/>
      <c r="O34" s="79"/>
      <c r="P34" s="79"/>
      <c r="Q34" s="79"/>
      <c r="R34" s="79"/>
      <c r="S34" s="80">
        <f t="shared" si="20"/>
        <v>1600</v>
      </c>
      <c r="T34" s="276"/>
    </row>
    <row r="35" spans="1:31" ht="15" customHeight="1" x14ac:dyDescent="0.25">
      <c r="A35" s="164" t="s">
        <v>243</v>
      </c>
      <c r="B35" s="161">
        <f>B29*VALUE(RIGHT(B28,2))-B30</f>
        <v>-56660</v>
      </c>
      <c r="C35" s="275"/>
      <c r="D35" s="97" t="s">
        <v>152</v>
      </c>
      <c r="E35" s="97" t="s">
        <v>144</v>
      </c>
      <c r="F35" s="85">
        <v>5500</v>
      </c>
      <c r="G35" s="46"/>
      <c r="H35" s="85"/>
      <c r="I35" s="146"/>
      <c r="J35" s="46"/>
      <c r="K35" s="46"/>
      <c r="L35" s="89"/>
      <c r="M35" s="89"/>
      <c r="N35" s="46"/>
      <c r="O35" s="89"/>
      <c r="P35" s="46"/>
      <c r="Q35" s="89"/>
      <c r="R35" s="46"/>
      <c r="S35" s="83">
        <f t="shared" si="20"/>
        <v>5500</v>
      </c>
      <c r="T35" s="280">
        <f>SUM(S35:S39)</f>
        <v>9469</v>
      </c>
    </row>
    <row r="36" spans="1:31" ht="15" customHeight="1" x14ac:dyDescent="0.25">
      <c r="A36" s="164" t="s">
        <v>265</v>
      </c>
      <c r="B36" s="184">
        <f>$J$2-(S45)</f>
        <v>28643</v>
      </c>
      <c r="C36" s="275"/>
      <c r="D36" s="97" t="s">
        <v>152</v>
      </c>
      <c r="E36" s="97" t="s">
        <v>145</v>
      </c>
      <c r="F36" s="46"/>
      <c r="G36" s="46"/>
      <c r="H36" s="85"/>
      <c r="I36" s="85"/>
      <c r="J36" s="46"/>
      <c r="K36" s="46"/>
      <c r="L36" s="46"/>
      <c r="M36" s="89"/>
      <c r="N36" s="46"/>
      <c r="O36" s="89"/>
      <c r="P36" s="46"/>
      <c r="Q36" s="89"/>
      <c r="R36" s="46"/>
      <c r="S36" s="83">
        <f>SUM(G36:R36)</f>
        <v>0</v>
      </c>
      <c r="T36" s="281"/>
    </row>
    <row r="37" spans="1:31" ht="15" customHeight="1" x14ac:dyDescent="0.25">
      <c r="C37" s="275"/>
      <c r="D37" s="97" t="s">
        <v>152</v>
      </c>
      <c r="E37" s="97" t="s">
        <v>146</v>
      </c>
      <c r="F37" s="86">
        <f>499+900+60+60</f>
        <v>1519</v>
      </c>
      <c r="G37" s="46"/>
      <c r="H37" s="87"/>
      <c r="I37" s="46"/>
      <c r="J37" s="46"/>
      <c r="K37" s="46"/>
      <c r="L37" s="46"/>
      <c r="M37" s="46"/>
      <c r="N37" s="46"/>
      <c r="O37" s="89">
        <v>500</v>
      </c>
      <c r="P37" s="46"/>
      <c r="Q37" s="46"/>
      <c r="R37" s="46"/>
      <c r="S37" s="83">
        <f t="shared" si="20"/>
        <v>2019</v>
      </c>
      <c r="T37" s="281"/>
    </row>
    <row r="38" spans="1:31" ht="15" customHeight="1" x14ac:dyDescent="0.25">
      <c r="C38" s="275"/>
      <c r="D38" s="97" t="s">
        <v>152</v>
      </c>
      <c r="E38" s="97" t="s">
        <v>147</v>
      </c>
      <c r="F38" s="85">
        <f>60+60</f>
        <v>120</v>
      </c>
      <c r="G38" s="46"/>
      <c r="H38" s="87"/>
      <c r="I38" s="85"/>
      <c r="J38" s="46"/>
      <c r="K38" s="46"/>
      <c r="L38" s="46"/>
      <c r="M38" s="46"/>
      <c r="N38" s="46"/>
      <c r="O38" s="46"/>
      <c r="P38" s="46"/>
      <c r="Q38" s="46"/>
      <c r="R38" s="46"/>
      <c r="S38" s="83">
        <f t="shared" si="20"/>
        <v>120</v>
      </c>
      <c r="T38" s="281"/>
    </row>
    <row r="39" spans="1:31" ht="15" customHeight="1" x14ac:dyDescent="0.25">
      <c r="C39" s="275"/>
      <c r="D39" s="97" t="s">
        <v>152</v>
      </c>
      <c r="E39" s="97" t="s">
        <v>168</v>
      </c>
      <c r="F39" s="85">
        <v>480</v>
      </c>
      <c r="G39" s="46"/>
      <c r="H39" s="89">
        <v>1350</v>
      </c>
      <c r="I39" s="46"/>
      <c r="J39" s="46"/>
      <c r="K39" s="46"/>
      <c r="L39" s="46"/>
      <c r="M39" s="89"/>
      <c r="N39" s="46"/>
      <c r="O39" s="89"/>
      <c r="P39" s="46"/>
      <c r="Q39" s="46"/>
      <c r="R39" s="46"/>
      <c r="S39" s="83">
        <f t="shared" si="20"/>
        <v>1830</v>
      </c>
      <c r="T39" s="281"/>
    </row>
    <row r="40" spans="1:31" ht="15" customHeight="1" x14ac:dyDescent="0.25">
      <c r="C40" s="275"/>
      <c r="D40" s="98" t="s">
        <v>153</v>
      </c>
      <c r="E40" s="98" t="s">
        <v>170</v>
      </c>
      <c r="F40" s="81">
        <f>345+355+130+100+80+60+75+40+45+40+100+70+190+275+40+300+100+40+150+50+200+60+205+100+100+100+200+180+300+60+400+40+80</f>
        <v>4610</v>
      </c>
      <c r="G40" s="81"/>
      <c r="H40" s="81">
        <f>2853+43+78+145+1050+55+50+23+250+78+40+60+108+145+400+120+100</f>
        <v>5598</v>
      </c>
      <c r="I40" s="81"/>
      <c r="J40" s="82"/>
      <c r="K40" s="81"/>
      <c r="L40" s="81"/>
      <c r="M40" s="81">
        <f>1400+1139+126+1300</f>
        <v>3965</v>
      </c>
      <c r="N40" s="81"/>
      <c r="O40" s="81">
        <v>350</v>
      </c>
      <c r="P40" s="81"/>
      <c r="Q40" s="81"/>
      <c r="R40" s="81"/>
      <c r="S40" s="81">
        <f>SUM(F40:R40)</f>
        <v>14523</v>
      </c>
      <c r="T40" s="282">
        <f>SUM(S40:S44)</f>
        <v>55526</v>
      </c>
      <c r="AE40" s="52"/>
    </row>
    <row r="41" spans="1:31" ht="15" customHeight="1" x14ac:dyDescent="0.25">
      <c r="C41" s="275"/>
      <c r="D41" s="99" t="s">
        <v>153</v>
      </c>
      <c r="E41" s="99" t="s">
        <v>171</v>
      </c>
      <c r="F41" s="82"/>
      <c r="G41" s="82"/>
      <c r="H41" s="82">
        <v>835</v>
      </c>
      <c r="I41" s="82"/>
      <c r="J41" s="82"/>
      <c r="K41" s="82"/>
      <c r="L41" s="82"/>
      <c r="M41" s="82">
        <v>2717</v>
      </c>
      <c r="N41" s="82"/>
      <c r="O41" s="82">
        <v>1500</v>
      </c>
      <c r="P41" s="82"/>
      <c r="Q41" s="82"/>
      <c r="R41" s="82"/>
      <c r="S41" s="82">
        <f t="shared" si="20"/>
        <v>5052</v>
      </c>
      <c r="T41" s="283"/>
      <c r="AE41" s="52"/>
    </row>
    <row r="42" spans="1:31" ht="15" customHeight="1" x14ac:dyDescent="0.25">
      <c r="C42" s="275"/>
      <c r="D42" s="99" t="s">
        <v>153</v>
      </c>
      <c r="E42" s="99" t="s">
        <v>172</v>
      </c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>
        <f t="shared" si="20"/>
        <v>0</v>
      </c>
      <c r="T42" s="283"/>
      <c r="AE42" s="52"/>
    </row>
    <row r="43" spans="1:31" s="41" customFormat="1" ht="15" customHeight="1" x14ac:dyDescent="0.25">
      <c r="C43" s="276"/>
      <c r="D43" s="99" t="s">
        <v>153</v>
      </c>
      <c r="E43" s="99" t="s">
        <v>173</v>
      </c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>
        <v>6751</v>
      </c>
      <c r="R43" s="82"/>
      <c r="S43" s="82">
        <f t="shared" si="20"/>
        <v>6751</v>
      </c>
      <c r="T43" s="283"/>
      <c r="AE43" s="52"/>
    </row>
    <row r="44" spans="1:31" ht="15.75" customHeight="1" thickBot="1" x14ac:dyDescent="0.3">
      <c r="B44" s="74"/>
      <c r="C44" s="276"/>
      <c r="D44" s="100" t="s">
        <v>153</v>
      </c>
      <c r="E44" s="100" t="s">
        <v>168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>
        <f>12000+8000-400+24000-3600*4</f>
        <v>29200</v>
      </c>
      <c r="R44" s="48"/>
      <c r="S44" s="48">
        <f t="shared" si="20"/>
        <v>29200</v>
      </c>
      <c r="T44" s="283"/>
      <c r="AE44" s="52"/>
    </row>
    <row r="45" spans="1:31" ht="15" customHeight="1" x14ac:dyDescent="0.25">
      <c r="D45" s="101" t="s">
        <v>120</v>
      </c>
      <c r="E45" s="101" t="s">
        <v>120</v>
      </c>
      <c r="F45" s="64">
        <f t="shared" ref="F45:S45" si="21">SUM(F28:F44)</f>
        <v>75067</v>
      </c>
      <c r="G45" s="64">
        <f t="shared" si="21"/>
        <v>0</v>
      </c>
      <c r="H45" s="64">
        <f t="shared" si="21"/>
        <v>15579</v>
      </c>
      <c r="I45" s="64">
        <f t="shared" si="21"/>
        <v>2409</v>
      </c>
      <c r="J45" s="64">
        <f t="shared" si="21"/>
        <v>68</v>
      </c>
      <c r="K45" s="64">
        <f t="shared" si="21"/>
        <v>0</v>
      </c>
      <c r="L45" s="64">
        <f t="shared" si="21"/>
        <v>10</v>
      </c>
      <c r="M45" s="64">
        <f t="shared" si="21"/>
        <v>11019</v>
      </c>
      <c r="N45" s="64">
        <f t="shared" si="21"/>
        <v>0</v>
      </c>
      <c r="O45" s="64">
        <f t="shared" si="21"/>
        <v>3084</v>
      </c>
      <c r="P45" s="64">
        <f t="shared" si="21"/>
        <v>0</v>
      </c>
      <c r="Q45" s="64">
        <f t="shared" si="21"/>
        <v>49121</v>
      </c>
      <c r="R45" s="64">
        <f t="shared" si="21"/>
        <v>0</v>
      </c>
      <c r="S45" s="54">
        <f t="shared" si="21"/>
        <v>156357</v>
      </c>
      <c r="AE45" s="52"/>
    </row>
    <row r="46" spans="1:31" ht="15.75" customHeight="1" thickBot="1" x14ac:dyDescent="0.3">
      <c r="AE46" s="52"/>
    </row>
    <row r="47" spans="1:31" ht="17.25" x14ac:dyDescent="0.25">
      <c r="A47" s="166" t="s">
        <v>188</v>
      </c>
      <c r="B47" s="167">
        <f>B28+1</f>
        <v>202403</v>
      </c>
      <c r="C47" s="275">
        <v>202403</v>
      </c>
      <c r="D47" s="94" t="s">
        <v>151</v>
      </c>
      <c r="E47" s="177" t="s">
        <v>252</v>
      </c>
      <c r="F47" s="60">
        <f>304+103+210+612+50+80+195+30+60+29+18+10+45+150+110+295+80+60+440+45+175+30+340+55+140+160+240+35+35+335+100+149+50+120+85+55+20+230+800+300+250+834+300+140+138+70+150+80+100</f>
        <v>8442</v>
      </c>
      <c r="G47" s="59"/>
      <c r="H47" s="59">
        <f>20+100+395+35+365+44+400+130+24+55+65+65+60+44+64</f>
        <v>1866</v>
      </c>
      <c r="I47" s="60">
        <v>40</v>
      </c>
      <c r="J47" s="59">
        <f>98+58</f>
        <v>156</v>
      </c>
      <c r="K47" s="60"/>
      <c r="L47" s="60">
        <f>10+25+45+169+625+84+197+49</f>
        <v>1204</v>
      </c>
      <c r="M47" s="60">
        <f>200+60+135+445+391+599+185+135+2211+270+75+235+210+138+184+952+140+354+50+90+100+2463+200+210+184+140</f>
        <v>10356</v>
      </c>
      <c r="N47" s="60"/>
      <c r="O47" s="60">
        <f>260+150+130+230+104</f>
        <v>874</v>
      </c>
      <c r="P47" s="60">
        <v>905</v>
      </c>
      <c r="Q47" s="60">
        <f>2000+2000+2000+2000</f>
        <v>8000</v>
      </c>
      <c r="R47" s="60"/>
      <c r="S47" s="44">
        <f t="shared" ref="S47:S63" si="22">SUM(F47:R47)</f>
        <v>31843</v>
      </c>
      <c r="T47" s="277">
        <f>SUM(S47:S53)</f>
        <v>145225</v>
      </c>
      <c r="AE47" s="52"/>
    </row>
    <row r="48" spans="1:31" ht="15" customHeight="1" thickBot="1" x14ac:dyDescent="0.3">
      <c r="A48" s="164" t="s">
        <v>247</v>
      </c>
      <c r="B48" s="162">
        <f>$J$2</f>
        <v>185000</v>
      </c>
      <c r="C48" s="275"/>
      <c r="D48" s="95" t="s">
        <v>151</v>
      </c>
      <c r="E48" s="176" t="s">
        <v>251</v>
      </c>
      <c r="F48" s="79"/>
      <c r="G48" s="78"/>
      <c r="H48" s="78"/>
      <c r="I48" s="79"/>
      <c r="J48" s="78"/>
      <c r="K48" s="79"/>
      <c r="L48" s="79"/>
      <c r="M48" s="79">
        <v>99</v>
      </c>
      <c r="N48" s="79"/>
      <c r="O48" s="79"/>
      <c r="P48" s="79"/>
      <c r="Q48" s="79">
        <v>3000</v>
      </c>
      <c r="R48" s="79"/>
      <c r="S48" s="80">
        <f t="shared" si="22"/>
        <v>3099</v>
      </c>
      <c r="T48" s="277"/>
      <c r="AE48" s="52"/>
    </row>
    <row r="49" spans="1:31" ht="15" customHeight="1" thickTop="1" x14ac:dyDescent="0.25">
      <c r="A49" s="165" t="s">
        <v>237</v>
      </c>
      <c r="B49" s="182">
        <f>SUMPRODUCT((($V$10:$V$21)&lt;=VALUE(B47))*($Z$10:$Z$21))</f>
        <v>589953</v>
      </c>
      <c r="C49" s="275"/>
      <c r="D49" s="95" t="s">
        <v>151</v>
      </c>
      <c r="E49" s="176" t="s">
        <v>254</v>
      </c>
      <c r="F49" s="79"/>
      <c r="G49" s="78"/>
      <c r="H49" s="78">
        <f>572+564+399+26</f>
        <v>1561</v>
      </c>
      <c r="I49" s="79"/>
      <c r="J49" s="78"/>
      <c r="K49" s="79"/>
      <c r="L49" s="79"/>
      <c r="M49" s="79">
        <f>1329+130</f>
        <v>1459</v>
      </c>
      <c r="N49" s="79"/>
      <c r="O49" s="79"/>
      <c r="P49" s="79"/>
      <c r="Q49" s="79">
        <f>10500-7000</f>
        <v>3500</v>
      </c>
      <c r="R49" s="79"/>
      <c r="S49" s="80">
        <f t="shared" si="22"/>
        <v>6520</v>
      </c>
      <c r="T49" s="277"/>
      <c r="AE49" s="52"/>
    </row>
    <row r="50" spans="1:31" ht="15" customHeight="1" x14ac:dyDescent="0.25">
      <c r="A50" s="165" t="s">
        <v>264</v>
      </c>
      <c r="B50" s="181">
        <f>B49/SUMPRODUCT(('2024'!$V$10:$V$21&lt;='2024'!B47)*'2023'!$Z$10:$Z$21)</f>
        <v>0.99156597548451941</v>
      </c>
      <c r="C50" s="275"/>
      <c r="D50" s="95" t="s">
        <v>151</v>
      </c>
      <c r="E50" s="176" t="s">
        <v>255</v>
      </c>
      <c r="F50" s="79">
        <f>100+100+75+400+100+90</f>
        <v>865</v>
      </c>
      <c r="G50" s="78"/>
      <c r="H50" s="78">
        <f>500+600+57+10</f>
        <v>1167</v>
      </c>
      <c r="I50" s="79"/>
      <c r="J50" s="78"/>
      <c r="K50" s="79"/>
      <c r="L50" s="79"/>
      <c r="M50" s="79">
        <f>87+115+90+100+1460</f>
        <v>1852</v>
      </c>
      <c r="N50" s="79"/>
      <c r="O50" s="79"/>
      <c r="P50" s="79"/>
      <c r="Q50" s="79">
        <f>596+1565</f>
        <v>2161</v>
      </c>
      <c r="R50" s="79"/>
      <c r="S50" s="80">
        <f t="shared" si="22"/>
        <v>6045</v>
      </c>
      <c r="T50" s="277"/>
      <c r="AE50" s="52"/>
    </row>
    <row r="51" spans="1:31" ht="15" customHeight="1" x14ac:dyDescent="0.25">
      <c r="A51" s="165" t="s">
        <v>296</v>
      </c>
      <c r="B51" s="186">
        <f>B49-SUMPRODUCT((($AD$10:$AD$21)&lt;=VALUE(B47))*($AQ$10:$AQ$21))</f>
        <v>395606</v>
      </c>
      <c r="C51" s="275"/>
      <c r="D51" s="96" t="s">
        <v>151</v>
      </c>
      <c r="E51" s="176" t="s">
        <v>256</v>
      </c>
      <c r="F51" s="79">
        <f>11000+1500+30000+36700-20000+2000+18225</f>
        <v>79425</v>
      </c>
      <c r="G51" s="78"/>
      <c r="H51" s="78">
        <f>1589+3577</f>
        <v>5166</v>
      </c>
      <c r="I51" s="78"/>
      <c r="J51" s="78"/>
      <c r="K51" s="79"/>
      <c r="L51" s="79"/>
      <c r="M51" s="79"/>
      <c r="N51" s="79"/>
      <c r="O51" s="79"/>
      <c r="P51" s="79"/>
      <c r="Q51" s="79"/>
      <c r="R51" s="79"/>
      <c r="S51" s="80">
        <f t="shared" si="22"/>
        <v>84591</v>
      </c>
      <c r="T51" s="277"/>
    </row>
    <row r="52" spans="1:31" ht="15" customHeight="1" x14ac:dyDescent="0.25">
      <c r="A52" s="164" t="s">
        <v>242</v>
      </c>
      <c r="B52" s="157">
        <f>B49/($J$2*12)</f>
        <v>0.2657445945945946</v>
      </c>
      <c r="C52" s="275"/>
      <c r="D52" s="95" t="s">
        <v>151</v>
      </c>
      <c r="E52" s="176" t="s">
        <v>257</v>
      </c>
      <c r="F52" s="79">
        <f>550+5867+2700+1800+850+190</f>
        <v>11957</v>
      </c>
      <c r="G52" s="78"/>
      <c r="H52" s="78"/>
      <c r="I52" s="79"/>
      <c r="J52" s="78"/>
      <c r="K52" s="79"/>
      <c r="L52" s="79"/>
      <c r="M52" s="79"/>
      <c r="N52" s="79"/>
      <c r="O52" s="79"/>
      <c r="P52" s="79"/>
      <c r="Q52" s="79"/>
      <c r="R52" s="79"/>
      <c r="S52" s="80">
        <f t="shared" si="22"/>
        <v>11957</v>
      </c>
      <c r="T52" s="277"/>
    </row>
    <row r="53" spans="1:31" ht="15" customHeight="1" x14ac:dyDescent="0.25">
      <c r="A53" s="164" t="s">
        <v>241</v>
      </c>
      <c r="B53" s="126">
        <f>VALUE(RIGHT(B47,2))/12</f>
        <v>0.25</v>
      </c>
      <c r="C53" s="275"/>
      <c r="D53" s="95" t="s">
        <v>151</v>
      </c>
      <c r="E53" s="176" t="s">
        <v>263</v>
      </c>
      <c r="F53" s="78">
        <f>90+1080</f>
        <v>1170</v>
      </c>
      <c r="G53" s="78"/>
      <c r="H53" s="78"/>
      <c r="I53" s="79"/>
      <c r="J53" s="78"/>
      <c r="K53" s="79"/>
      <c r="L53" s="79"/>
      <c r="M53" s="79"/>
      <c r="N53" s="79"/>
      <c r="O53" s="79"/>
      <c r="P53" s="79"/>
      <c r="Q53" s="79"/>
      <c r="R53" s="79"/>
      <c r="S53" s="80">
        <f t="shared" si="22"/>
        <v>1170</v>
      </c>
      <c r="T53" s="277"/>
    </row>
    <row r="54" spans="1:31" ht="15" customHeight="1" x14ac:dyDescent="0.25">
      <c r="A54" s="164" t="s">
        <v>243</v>
      </c>
      <c r="B54" s="161">
        <f>B48*VALUE(RIGHT(B47,2))-B49</f>
        <v>-34953</v>
      </c>
      <c r="C54" s="275"/>
      <c r="D54" s="97" t="s">
        <v>152</v>
      </c>
      <c r="E54" s="97" t="s">
        <v>144</v>
      </c>
      <c r="F54" s="85">
        <v>5500</v>
      </c>
      <c r="G54" s="46"/>
      <c r="H54" s="85"/>
      <c r="I54" s="46"/>
      <c r="J54" s="46"/>
      <c r="K54" s="46"/>
      <c r="L54" s="46"/>
      <c r="M54" s="46"/>
      <c r="N54" s="46"/>
      <c r="O54" s="89">
        <f>400+1700</f>
        <v>2100</v>
      </c>
      <c r="P54" s="46"/>
      <c r="Q54" s="46"/>
      <c r="R54" s="46"/>
      <c r="S54" s="83">
        <f t="shared" si="22"/>
        <v>7600</v>
      </c>
      <c r="T54" s="280">
        <f>SUM(S54:S58)</f>
        <v>9920</v>
      </c>
    </row>
    <row r="55" spans="1:31" ht="15" customHeight="1" x14ac:dyDescent="0.25">
      <c r="A55" s="164" t="s">
        <v>265</v>
      </c>
      <c r="B55" s="184">
        <f>$J$2-(S64)</f>
        <v>21707</v>
      </c>
      <c r="C55" s="275"/>
      <c r="D55" s="97" t="s">
        <v>152</v>
      </c>
      <c r="E55" s="97" t="s">
        <v>145</v>
      </c>
      <c r="F55" s="85"/>
      <c r="G55" s="46"/>
      <c r="H55" s="85"/>
      <c r="I55" s="46"/>
      <c r="J55" s="89"/>
      <c r="K55" s="46"/>
      <c r="L55" s="46"/>
      <c r="M55" s="86"/>
      <c r="N55" s="46"/>
      <c r="O55" s="89">
        <f>400+790</f>
        <v>1190</v>
      </c>
      <c r="P55" s="46"/>
      <c r="Q55" s="46"/>
      <c r="R55" s="46"/>
      <c r="S55" s="83">
        <f t="shared" si="22"/>
        <v>1190</v>
      </c>
      <c r="T55" s="281"/>
    </row>
    <row r="56" spans="1:31" ht="15" customHeight="1" x14ac:dyDescent="0.25">
      <c r="C56" s="275"/>
      <c r="D56" s="97" t="s">
        <v>152</v>
      </c>
      <c r="E56" s="97" t="s">
        <v>146</v>
      </c>
      <c r="F56" s="86">
        <f>100+30+30+100+90</f>
        <v>350</v>
      </c>
      <c r="G56" s="46"/>
      <c r="H56" s="86"/>
      <c r="I56" s="46"/>
      <c r="J56" s="46"/>
      <c r="K56" s="46"/>
      <c r="L56" s="46"/>
      <c r="M56" s="89"/>
      <c r="N56" s="46"/>
      <c r="O56" s="89"/>
      <c r="P56" s="46"/>
      <c r="Q56" s="46"/>
      <c r="R56" s="46"/>
      <c r="S56" s="83">
        <f t="shared" si="22"/>
        <v>350</v>
      </c>
      <c r="T56" s="281"/>
    </row>
    <row r="57" spans="1:31" ht="15" customHeight="1" x14ac:dyDescent="0.25">
      <c r="C57" s="275"/>
      <c r="D57" s="97" t="s">
        <v>152</v>
      </c>
      <c r="E57" s="97" t="s">
        <v>147</v>
      </c>
      <c r="F57" s="86">
        <f>100+30+30+100+60</f>
        <v>320</v>
      </c>
      <c r="G57" s="46"/>
      <c r="H57" s="87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83">
        <f t="shared" si="22"/>
        <v>320</v>
      </c>
      <c r="T57" s="281"/>
    </row>
    <row r="58" spans="1:31" ht="15" customHeight="1" x14ac:dyDescent="0.25">
      <c r="C58" s="275"/>
      <c r="D58" s="97" t="s">
        <v>152</v>
      </c>
      <c r="E58" s="97" t="s">
        <v>168</v>
      </c>
      <c r="F58" s="85">
        <v>460</v>
      </c>
      <c r="G58" s="46"/>
      <c r="H58" s="89"/>
      <c r="I58" s="46"/>
      <c r="J58" s="46"/>
      <c r="K58" s="46"/>
      <c r="L58" s="46"/>
      <c r="M58" s="89"/>
      <c r="N58" s="46"/>
      <c r="O58" s="46"/>
      <c r="P58" s="46"/>
      <c r="Q58" s="46"/>
      <c r="R58" s="46"/>
      <c r="S58" s="83">
        <f t="shared" si="22"/>
        <v>460</v>
      </c>
      <c r="T58" s="281"/>
    </row>
    <row r="59" spans="1:31" ht="15" customHeight="1" x14ac:dyDescent="0.25">
      <c r="C59" s="275"/>
      <c r="D59" s="98" t="s">
        <v>153</v>
      </c>
      <c r="E59" s="98" t="s">
        <v>170</v>
      </c>
      <c r="F59" s="81">
        <f>9998-9698</f>
        <v>300</v>
      </c>
      <c r="G59" s="81"/>
      <c r="H59" s="81"/>
      <c r="I59" s="82"/>
      <c r="J59" s="81"/>
      <c r="K59" s="81"/>
      <c r="L59" s="81"/>
      <c r="M59" s="81">
        <v>1095</v>
      </c>
      <c r="N59" s="81"/>
      <c r="O59" s="81"/>
      <c r="P59" s="81"/>
      <c r="Q59" s="81"/>
      <c r="R59" s="81"/>
      <c r="S59" s="81">
        <f>SUM(F59:R59)</f>
        <v>1395</v>
      </c>
      <c r="T59" s="282">
        <f>SUM(S59:S63)</f>
        <v>8148</v>
      </c>
    </row>
    <row r="60" spans="1:31" ht="15" customHeight="1" x14ac:dyDescent="0.25">
      <c r="C60" s="275"/>
      <c r="D60" s="99" t="s">
        <v>153</v>
      </c>
      <c r="E60" s="99" t="s">
        <v>171</v>
      </c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>
        <f t="shared" si="22"/>
        <v>0</v>
      </c>
      <c r="T60" s="283"/>
    </row>
    <row r="61" spans="1:31" ht="15" customHeight="1" x14ac:dyDescent="0.25">
      <c r="C61" s="275"/>
      <c r="D61" s="99" t="s">
        <v>153</v>
      </c>
      <c r="E61" s="99" t="s">
        <v>172</v>
      </c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>
        <f t="shared" si="22"/>
        <v>0</v>
      </c>
      <c r="T61" s="283"/>
    </row>
    <row r="62" spans="1:31" s="41" customFormat="1" ht="15" customHeight="1" x14ac:dyDescent="0.25">
      <c r="A62" s="45"/>
      <c r="B62" s="45"/>
      <c r="C62" s="275"/>
      <c r="D62" s="99" t="s">
        <v>153</v>
      </c>
      <c r="E62" s="99" t="s">
        <v>173</v>
      </c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>
        <v>6753</v>
      </c>
      <c r="R62" s="82"/>
      <c r="S62" s="82">
        <f t="shared" si="22"/>
        <v>6753</v>
      </c>
      <c r="T62" s="283"/>
    </row>
    <row r="63" spans="1:31" ht="15.75" customHeight="1" thickBot="1" x14ac:dyDescent="0.3">
      <c r="A63" s="41"/>
      <c r="B63" s="41"/>
      <c r="C63" s="275"/>
      <c r="D63" s="100" t="s">
        <v>153</v>
      </c>
      <c r="E63" s="100" t="s">
        <v>168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>
        <f t="shared" si="22"/>
        <v>0</v>
      </c>
      <c r="T63" s="283"/>
    </row>
    <row r="64" spans="1:31" ht="15" customHeight="1" x14ac:dyDescent="0.25">
      <c r="D64" s="101" t="s">
        <v>120</v>
      </c>
      <c r="E64" s="101" t="s">
        <v>120</v>
      </c>
      <c r="F64" s="64">
        <f t="shared" ref="F64:S64" si="23">SUM(F47:F63)</f>
        <v>108789</v>
      </c>
      <c r="G64" s="64">
        <f t="shared" si="23"/>
        <v>0</v>
      </c>
      <c r="H64" s="64">
        <f t="shared" si="23"/>
        <v>9760</v>
      </c>
      <c r="I64" s="64">
        <f t="shared" si="23"/>
        <v>40</v>
      </c>
      <c r="J64" s="64">
        <f t="shared" si="23"/>
        <v>156</v>
      </c>
      <c r="K64" s="64">
        <f t="shared" si="23"/>
        <v>0</v>
      </c>
      <c r="L64" s="64">
        <f t="shared" si="23"/>
        <v>1204</v>
      </c>
      <c r="M64" s="64">
        <f t="shared" si="23"/>
        <v>14861</v>
      </c>
      <c r="N64" s="64">
        <f t="shared" si="23"/>
        <v>0</v>
      </c>
      <c r="O64" s="64">
        <f t="shared" si="23"/>
        <v>4164</v>
      </c>
      <c r="P64" s="64">
        <f t="shared" si="23"/>
        <v>905</v>
      </c>
      <c r="Q64" s="64">
        <f t="shared" si="23"/>
        <v>23414</v>
      </c>
      <c r="R64" s="64">
        <f t="shared" si="23"/>
        <v>0</v>
      </c>
      <c r="S64" s="54">
        <f t="shared" si="23"/>
        <v>163293</v>
      </c>
    </row>
    <row r="65" spans="1:20" ht="15.75" customHeight="1" thickBot="1" x14ac:dyDescent="0.3">
      <c r="D65" s="101"/>
      <c r="E65" s="101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</row>
    <row r="66" spans="1:20" ht="17.25" x14ac:dyDescent="0.25">
      <c r="A66" s="166" t="s">
        <v>188</v>
      </c>
      <c r="B66" s="167">
        <f>B47+1</f>
        <v>202404</v>
      </c>
      <c r="C66" s="275">
        <v>202404</v>
      </c>
      <c r="D66" s="94" t="s">
        <v>151</v>
      </c>
      <c r="E66" s="177" t="s">
        <v>252</v>
      </c>
      <c r="F66" s="60">
        <f>132+1290+500+485+190+1224+250+116+168+968+159+60+120+200+100+20+50+255+240+260+510+330+180+100+439+20+300+230+103+800+270</f>
        <v>10069</v>
      </c>
      <c r="G66" s="59"/>
      <c r="H66" s="59">
        <f>195+322+60+3419-1987+35+85+55+129+100+65+80+126+165</f>
        <v>2849</v>
      </c>
      <c r="I66" s="60">
        <f>171+770+80+60+55</f>
        <v>1136</v>
      </c>
      <c r="J66" s="59"/>
      <c r="K66" s="60"/>
      <c r="L66" s="60">
        <f>135+56+35+48+30+94+45+58+56+1044</f>
        <v>1601</v>
      </c>
      <c r="M66" s="60">
        <f>500+60+100+1020+885+509+904+208+170+80+80+0+216+360+264+260+640+20+1222-1200+80+200+455+125+131+0+460+481+115</f>
        <v>8345</v>
      </c>
      <c r="N66" s="60"/>
      <c r="O66" s="60">
        <f>185+65+60</f>
        <v>310</v>
      </c>
      <c r="P66" s="60"/>
      <c r="Q66" s="60">
        <f>2000+0+2000+2000+2000</f>
        <v>8000</v>
      </c>
      <c r="R66" s="60"/>
      <c r="S66" s="44">
        <f t="shared" ref="S66:S82" si="24">SUM(F66:R66)</f>
        <v>32310</v>
      </c>
      <c r="T66" s="277">
        <f>SUM(S66:S72)</f>
        <v>90131</v>
      </c>
    </row>
    <row r="67" spans="1:20" ht="15" customHeight="1" thickBot="1" x14ac:dyDescent="0.3">
      <c r="A67" s="164" t="s">
        <v>247</v>
      </c>
      <c r="B67" s="162">
        <f>$J$2</f>
        <v>185000</v>
      </c>
      <c r="C67" s="275"/>
      <c r="D67" s="95" t="s">
        <v>151</v>
      </c>
      <c r="E67" s="176" t="s">
        <v>251</v>
      </c>
      <c r="F67" s="79"/>
      <c r="G67" s="78"/>
      <c r="H67" s="78"/>
      <c r="I67" s="79"/>
      <c r="J67" s="78"/>
      <c r="K67" s="79"/>
      <c r="L67" s="79"/>
      <c r="M67" s="79"/>
      <c r="N67" s="79"/>
      <c r="O67" s="79"/>
      <c r="P67" s="79"/>
      <c r="Q67" s="79"/>
      <c r="R67" s="79"/>
      <c r="S67" s="80">
        <f t="shared" si="24"/>
        <v>0</v>
      </c>
      <c r="T67" s="278"/>
    </row>
    <row r="68" spans="1:20" ht="15" customHeight="1" thickTop="1" x14ac:dyDescent="0.25">
      <c r="A68" s="165" t="s">
        <v>237</v>
      </c>
      <c r="B68" s="182">
        <f>SUMPRODUCT((($V$10:$V$21)&lt;=VALUE(B66))*($Z$10:$Z$21))</f>
        <v>729395</v>
      </c>
      <c r="C68" s="275"/>
      <c r="D68" s="95" t="s">
        <v>151</v>
      </c>
      <c r="E68" s="176" t="s">
        <v>254</v>
      </c>
      <c r="F68" s="79"/>
      <c r="G68" s="78"/>
      <c r="H68" s="78">
        <f>1767+895+572</f>
        <v>3234</v>
      </c>
      <c r="I68" s="79"/>
      <c r="J68" s="78"/>
      <c r="K68" s="79"/>
      <c r="L68" s="79">
        <v>318</v>
      </c>
      <c r="M68" s="79"/>
      <c r="N68" s="79"/>
      <c r="O68" s="79"/>
      <c r="P68" s="79"/>
      <c r="Q68" s="79">
        <f>10500-7000+1500</f>
        <v>5000</v>
      </c>
      <c r="R68" s="79"/>
      <c r="S68" s="80">
        <f t="shared" si="24"/>
        <v>8552</v>
      </c>
      <c r="T68" s="278"/>
    </row>
    <row r="69" spans="1:20" ht="15" customHeight="1" x14ac:dyDescent="0.25">
      <c r="A69" s="165" t="s">
        <v>264</v>
      </c>
      <c r="B69" s="181">
        <f>B68/SUMPRODUCT(('2024'!$V$10:$V$21&lt;='2024'!B66)*'2023'!$Z$10:$Z$21)</f>
        <v>0.93300578559651248</v>
      </c>
      <c r="C69" s="275"/>
      <c r="D69" s="95" t="s">
        <v>151</v>
      </c>
      <c r="E69" s="176" t="s">
        <v>255</v>
      </c>
      <c r="F69" s="79">
        <f>100+100+30+100+120+100</f>
        <v>550</v>
      </c>
      <c r="G69" s="78"/>
      <c r="H69" s="78"/>
      <c r="I69" s="79">
        <v>19</v>
      </c>
      <c r="J69" s="78"/>
      <c r="K69" s="79"/>
      <c r="L69" s="79"/>
      <c r="M69" s="79">
        <f>599</f>
        <v>599</v>
      </c>
      <c r="N69" s="79"/>
      <c r="O69" s="79">
        <f>20+1500</f>
        <v>1520</v>
      </c>
      <c r="P69" s="79"/>
      <c r="Q69" s="79">
        <v>601</v>
      </c>
      <c r="R69" s="79"/>
      <c r="S69" s="80">
        <f t="shared" si="24"/>
        <v>3289</v>
      </c>
      <c r="T69" s="278"/>
    </row>
    <row r="70" spans="1:20" ht="15" customHeight="1" x14ac:dyDescent="0.25">
      <c r="A70" s="165" t="s">
        <v>296</v>
      </c>
      <c r="B70" s="186">
        <f>B68-SUMPRODUCT((($AD$10:$AD$21)&lt;=VALUE(B66))*($AQ$10:$AQ$21))</f>
        <v>525733</v>
      </c>
      <c r="C70" s="275"/>
      <c r="D70" s="96" t="s">
        <v>151</v>
      </c>
      <c r="E70" s="176" t="s">
        <v>256</v>
      </c>
      <c r="F70" s="79">
        <f>11000+4500+20000</f>
        <v>35500</v>
      </c>
      <c r="G70" s="78"/>
      <c r="H70" s="78"/>
      <c r="I70" s="78"/>
      <c r="J70" s="78"/>
      <c r="K70" s="79"/>
      <c r="L70" s="79"/>
      <c r="M70" s="79"/>
      <c r="N70" s="79"/>
      <c r="O70" s="79"/>
      <c r="P70" s="79"/>
      <c r="Q70" s="79"/>
      <c r="R70" s="79"/>
      <c r="S70" s="80">
        <f t="shared" si="24"/>
        <v>35500</v>
      </c>
      <c r="T70" s="278"/>
    </row>
    <row r="71" spans="1:20" ht="15" customHeight="1" x14ac:dyDescent="0.25">
      <c r="A71" s="164" t="s">
        <v>242</v>
      </c>
      <c r="B71" s="157">
        <f>B68/($J$2*12)</f>
        <v>0.32855630630630633</v>
      </c>
      <c r="C71" s="275"/>
      <c r="D71" s="95" t="s">
        <v>151</v>
      </c>
      <c r="E71" s="176" t="s">
        <v>257</v>
      </c>
      <c r="F71" s="79">
        <f>190+2700+3990+2700</f>
        <v>9580</v>
      </c>
      <c r="G71" s="78"/>
      <c r="H71" s="78"/>
      <c r="I71" s="79"/>
      <c r="J71" s="78"/>
      <c r="K71" s="79"/>
      <c r="L71" s="79"/>
      <c r="M71" s="79"/>
      <c r="N71" s="79"/>
      <c r="O71" s="79"/>
      <c r="P71" s="79"/>
      <c r="Q71" s="79"/>
      <c r="R71" s="79"/>
      <c r="S71" s="80">
        <f t="shared" si="24"/>
        <v>9580</v>
      </c>
      <c r="T71" s="278"/>
    </row>
    <row r="72" spans="1:20" ht="15" customHeight="1" x14ac:dyDescent="0.25">
      <c r="A72" s="164" t="s">
        <v>241</v>
      </c>
      <c r="B72" s="126">
        <f>VALUE(RIGHT(B66,2))/12</f>
        <v>0.33333333333333331</v>
      </c>
      <c r="C72" s="275"/>
      <c r="D72" s="95" t="s">
        <v>151</v>
      </c>
      <c r="E72" s="176" t="s">
        <v>263</v>
      </c>
      <c r="F72" s="78"/>
      <c r="G72" s="78"/>
      <c r="H72" s="78">
        <v>900</v>
      </c>
      <c r="I72" s="79"/>
      <c r="J72" s="78"/>
      <c r="K72" s="79"/>
      <c r="L72" s="79"/>
      <c r="M72" s="79"/>
      <c r="N72" s="79"/>
      <c r="O72" s="78"/>
      <c r="P72" s="79"/>
      <c r="Q72" s="79"/>
      <c r="R72" s="79"/>
      <c r="S72" s="80">
        <f t="shared" si="24"/>
        <v>900</v>
      </c>
      <c r="T72" s="279"/>
    </row>
    <row r="73" spans="1:20" ht="15" customHeight="1" x14ac:dyDescent="0.25">
      <c r="A73" s="164" t="s">
        <v>243</v>
      </c>
      <c r="B73" s="161">
        <f>B67*VALUE(RIGHT(B66,2))-B68</f>
        <v>10605</v>
      </c>
      <c r="C73" s="275"/>
      <c r="D73" s="97" t="s">
        <v>152</v>
      </c>
      <c r="E73" s="97" t="s">
        <v>144</v>
      </c>
      <c r="F73" s="85">
        <v>5500</v>
      </c>
      <c r="G73" s="46"/>
      <c r="H73" s="85"/>
      <c r="I73" s="46"/>
      <c r="J73" s="46"/>
      <c r="K73" s="46"/>
      <c r="L73" s="46"/>
      <c r="M73" s="89">
        <v>590</v>
      </c>
      <c r="N73" s="46"/>
      <c r="O73" s="89"/>
      <c r="P73" s="46"/>
      <c r="Q73" s="46"/>
      <c r="R73" s="46"/>
      <c r="S73" s="83">
        <f t="shared" si="24"/>
        <v>6090</v>
      </c>
      <c r="T73" s="280">
        <f>SUM(S73:S77)</f>
        <v>7900</v>
      </c>
    </row>
    <row r="74" spans="1:20" ht="15" customHeight="1" x14ac:dyDescent="0.25">
      <c r="A74" s="164" t="s">
        <v>265</v>
      </c>
      <c r="B74" s="184">
        <f>$J$2-(S83)</f>
        <v>45558</v>
      </c>
      <c r="C74" s="275"/>
      <c r="D74" s="97" t="s">
        <v>152</v>
      </c>
      <c r="E74" s="97" t="s">
        <v>145</v>
      </c>
      <c r="F74" s="85"/>
      <c r="G74" s="46"/>
      <c r="H74" s="85"/>
      <c r="I74" s="46"/>
      <c r="J74" s="46"/>
      <c r="K74" s="46"/>
      <c r="L74" s="46"/>
      <c r="M74" s="89"/>
      <c r="N74" s="46"/>
      <c r="O74" s="89"/>
      <c r="P74" s="46"/>
      <c r="Q74" s="46"/>
      <c r="R74" s="46"/>
      <c r="S74" s="83">
        <f t="shared" si="24"/>
        <v>0</v>
      </c>
      <c r="T74" s="281"/>
    </row>
    <row r="75" spans="1:20" ht="15" customHeight="1" x14ac:dyDescent="0.25">
      <c r="C75" s="275"/>
      <c r="D75" s="97" t="s">
        <v>152</v>
      </c>
      <c r="E75" s="97" t="s">
        <v>146</v>
      </c>
      <c r="F75" s="86">
        <f>90+90</f>
        <v>180</v>
      </c>
      <c r="G75" s="46"/>
      <c r="H75" s="87"/>
      <c r="I75" s="46"/>
      <c r="J75" s="46"/>
      <c r="K75" s="46"/>
      <c r="L75" s="46"/>
      <c r="M75" s="89">
        <f>590+300</f>
        <v>890</v>
      </c>
      <c r="N75" s="46"/>
      <c r="O75" s="185"/>
      <c r="P75" s="46"/>
      <c r="Q75" s="46"/>
      <c r="R75" s="46"/>
      <c r="S75" s="83">
        <f t="shared" si="24"/>
        <v>1070</v>
      </c>
      <c r="T75" s="281"/>
    </row>
    <row r="76" spans="1:20" ht="15" customHeight="1" x14ac:dyDescent="0.25">
      <c r="C76" s="275"/>
      <c r="D76" s="97" t="s">
        <v>152</v>
      </c>
      <c r="E76" s="97" t="s">
        <v>147</v>
      </c>
      <c r="F76" s="85">
        <f>60+90</f>
        <v>150</v>
      </c>
      <c r="G76" s="46"/>
      <c r="H76" s="87"/>
      <c r="I76" s="46"/>
      <c r="J76" s="46"/>
      <c r="K76" s="46"/>
      <c r="L76" s="46"/>
      <c r="M76" s="89">
        <v>590</v>
      </c>
      <c r="N76" s="46"/>
      <c r="O76" s="89"/>
      <c r="P76" s="46"/>
      <c r="Q76" s="46"/>
      <c r="R76" s="46"/>
      <c r="S76" s="83">
        <f t="shared" si="24"/>
        <v>740</v>
      </c>
      <c r="T76" s="281"/>
    </row>
    <row r="77" spans="1:20" ht="15" customHeight="1" x14ac:dyDescent="0.25">
      <c r="C77" s="275"/>
      <c r="D77" s="97" t="s">
        <v>152</v>
      </c>
      <c r="E77" s="97" t="s">
        <v>168</v>
      </c>
      <c r="F77" s="85"/>
      <c r="G77" s="46"/>
      <c r="H77" s="46"/>
      <c r="I77" s="46"/>
      <c r="J77" s="46"/>
      <c r="K77" s="46"/>
      <c r="L77" s="46"/>
      <c r="M77" s="89"/>
      <c r="N77" s="46"/>
      <c r="O77" s="183"/>
      <c r="P77" s="46"/>
      <c r="Q77" s="46"/>
      <c r="R77" s="46"/>
      <c r="S77" s="83">
        <f t="shared" si="24"/>
        <v>0</v>
      </c>
      <c r="T77" s="281"/>
    </row>
    <row r="78" spans="1:20" ht="15" customHeight="1" x14ac:dyDescent="0.25">
      <c r="C78" s="275"/>
      <c r="D78" s="98" t="s">
        <v>153</v>
      </c>
      <c r="E78" s="98" t="s">
        <v>170</v>
      </c>
      <c r="F78" s="81">
        <f>1050+500+120+1700+200+1520+170+115+230+765</f>
        <v>6370</v>
      </c>
      <c r="G78" s="81"/>
      <c r="H78" s="81"/>
      <c r="I78" s="81"/>
      <c r="J78" s="81"/>
      <c r="K78" s="81"/>
      <c r="L78" s="81"/>
      <c r="M78" s="81">
        <f>1461+0+1040+444</f>
        <v>2945</v>
      </c>
      <c r="N78" s="81"/>
      <c r="O78" s="81"/>
      <c r="P78" s="81"/>
      <c r="Q78" s="81"/>
      <c r="R78" s="81"/>
      <c r="S78" s="81">
        <f t="shared" si="24"/>
        <v>9315</v>
      </c>
      <c r="T78" s="282">
        <f>SUM(S78:S82)</f>
        <v>41411</v>
      </c>
    </row>
    <row r="79" spans="1:20" ht="15" customHeight="1" x14ac:dyDescent="0.25">
      <c r="C79" s="275"/>
      <c r="D79" s="99" t="s">
        <v>153</v>
      </c>
      <c r="E79" s="99" t="s">
        <v>171</v>
      </c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>
        <f t="shared" si="24"/>
        <v>0</v>
      </c>
      <c r="T79" s="283"/>
    </row>
    <row r="80" spans="1:20" ht="15" customHeight="1" x14ac:dyDescent="0.25">
      <c r="C80" s="275"/>
      <c r="D80" s="99" t="s">
        <v>153</v>
      </c>
      <c r="E80" s="99" t="s">
        <v>172</v>
      </c>
      <c r="F80" s="82">
        <v>6866</v>
      </c>
      <c r="G80" s="82"/>
      <c r="H80" s="82">
        <f>11230+7019</f>
        <v>18249</v>
      </c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>
        <f t="shared" si="24"/>
        <v>25115</v>
      </c>
      <c r="T80" s="283"/>
    </row>
    <row r="81" spans="1:20" s="41" customFormat="1" ht="15" customHeight="1" x14ac:dyDescent="0.25">
      <c r="A81" s="45"/>
      <c r="B81" s="45"/>
      <c r="C81" s="276"/>
      <c r="D81" s="99" t="s">
        <v>153</v>
      </c>
      <c r="E81" s="99" t="s">
        <v>173</v>
      </c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>
        <v>6751</v>
      </c>
      <c r="R81" s="82"/>
      <c r="S81" s="82">
        <f t="shared" si="24"/>
        <v>6751</v>
      </c>
      <c r="T81" s="283"/>
    </row>
    <row r="82" spans="1:20" ht="15.75" customHeight="1" thickBot="1" x14ac:dyDescent="0.3">
      <c r="A82" s="41"/>
      <c r="B82" s="41"/>
      <c r="C82" s="276"/>
      <c r="D82" s="100" t="s">
        <v>153</v>
      </c>
      <c r="E82" s="100" t="s">
        <v>168</v>
      </c>
      <c r="F82" s="48"/>
      <c r="G82" s="48"/>
      <c r="H82" s="48">
        <v>230</v>
      </c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>
        <f t="shared" si="24"/>
        <v>230</v>
      </c>
      <c r="T82" s="283"/>
    </row>
    <row r="83" spans="1:20" ht="15" customHeight="1" x14ac:dyDescent="0.25">
      <c r="D83" s="101" t="s">
        <v>120</v>
      </c>
      <c r="E83" s="101" t="s">
        <v>120</v>
      </c>
      <c r="F83" s="64">
        <f t="shared" ref="F83:S83" si="25">SUM(F66:F82)</f>
        <v>74765</v>
      </c>
      <c r="G83" s="64">
        <f t="shared" si="25"/>
        <v>0</v>
      </c>
      <c r="H83" s="64">
        <f t="shared" si="25"/>
        <v>25462</v>
      </c>
      <c r="I83" s="64">
        <f t="shared" si="25"/>
        <v>1155</v>
      </c>
      <c r="J83" s="64">
        <f t="shared" si="25"/>
        <v>0</v>
      </c>
      <c r="K83" s="64">
        <f t="shared" si="25"/>
        <v>0</v>
      </c>
      <c r="L83" s="64">
        <f t="shared" si="25"/>
        <v>1919</v>
      </c>
      <c r="M83" s="64">
        <f t="shared" si="25"/>
        <v>13959</v>
      </c>
      <c r="N83" s="64">
        <f t="shared" si="25"/>
        <v>0</v>
      </c>
      <c r="O83" s="64">
        <f t="shared" si="25"/>
        <v>1830</v>
      </c>
      <c r="P83" s="64">
        <f t="shared" si="25"/>
        <v>0</v>
      </c>
      <c r="Q83" s="64">
        <f t="shared" si="25"/>
        <v>20352</v>
      </c>
      <c r="R83" s="64">
        <f t="shared" si="25"/>
        <v>0</v>
      </c>
      <c r="S83" s="54">
        <f t="shared" si="25"/>
        <v>139442</v>
      </c>
    </row>
    <row r="84" spans="1:20" ht="15.75" customHeight="1" thickBot="1" x14ac:dyDescent="0.3"/>
    <row r="85" spans="1:20" ht="17.25" x14ac:dyDescent="0.25">
      <c r="A85" s="166" t="s">
        <v>188</v>
      </c>
      <c r="B85" s="167">
        <f>B66+1</f>
        <v>202405</v>
      </c>
      <c r="C85" s="275">
        <v>202405</v>
      </c>
      <c r="D85" s="94" t="s">
        <v>151</v>
      </c>
      <c r="E85" s="177" t="s">
        <v>252</v>
      </c>
      <c r="F85" s="60">
        <f>300+260+160+1224+70+150+25+290+290+50+195+140+450+100+40+173+50+64+35+60+340+32+84+300+60+140+368+180+450+100+85</f>
        <v>6265</v>
      </c>
      <c r="G85" s="59"/>
      <c r="H85" s="59">
        <f>351+360+90+509+45+100+122+50+95+80+440+39+55+115+85+126+120+25</f>
        <v>2807</v>
      </c>
      <c r="I85" s="60">
        <f>140+356+150</f>
        <v>646</v>
      </c>
      <c r="J85" s="59">
        <v>78</v>
      </c>
      <c r="K85" s="60"/>
      <c r="L85" s="60">
        <f>39+40+97+540+20+145+149+75+1298</f>
        <v>2403</v>
      </c>
      <c r="M85" s="60">
        <f>105+35+168+242+220+348+37+111+350+138+238+145+349+520+403+55+359</f>
        <v>3823</v>
      </c>
      <c r="N85" s="60">
        <v>209</v>
      </c>
      <c r="O85" s="60">
        <f>315+50+150+300</f>
        <v>815</v>
      </c>
      <c r="P85" s="60">
        <f>1010+1000</f>
        <v>2010</v>
      </c>
      <c r="Q85" s="60">
        <f>2000+2000+2000+2000+2000</f>
        <v>10000</v>
      </c>
      <c r="R85" s="60"/>
      <c r="S85" s="44">
        <f t="shared" ref="S85:S101" si="26">SUM(F85:R85)</f>
        <v>29056</v>
      </c>
      <c r="T85" s="277">
        <f>SUM(S85:S91)</f>
        <v>98046</v>
      </c>
    </row>
    <row r="86" spans="1:20" ht="18" thickBot="1" x14ac:dyDescent="0.3">
      <c r="A86" s="164" t="s">
        <v>247</v>
      </c>
      <c r="B86" s="162">
        <f>$J$2</f>
        <v>185000</v>
      </c>
      <c r="C86" s="275"/>
      <c r="D86" s="95" t="s">
        <v>151</v>
      </c>
      <c r="E86" s="176" t="s">
        <v>251</v>
      </c>
      <c r="F86" s="79">
        <v>1000</v>
      </c>
      <c r="G86" s="78"/>
      <c r="H86" s="78"/>
      <c r="I86" s="79"/>
      <c r="J86" s="78"/>
      <c r="K86" s="79"/>
      <c r="L86" s="79"/>
      <c r="M86" s="79"/>
      <c r="N86" s="79"/>
      <c r="O86" s="79"/>
      <c r="P86" s="79"/>
      <c r="Q86" s="79"/>
      <c r="R86" s="79"/>
      <c r="S86" s="80">
        <f t="shared" si="26"/>
        <v>1000</v>
      </c>
      <c r="T86" s="278"/>
    </row>
    <row r="87" spans="1:20" ht="15" customHeight="1" thickTop="1" x14ac:dyDescent="0.25">
      <c r="A87" s="165" t="s">
        <v>237</v>
      </c>
      <c r="B87" s="182">
        <f>SUMPRODUCT((($V$10:$V$21)&lt;=VALUE(B85))*($Z$10:$Z$21))</f>
        <v>903139</v>
      </c>
      <c r="C87" s="275"/>
      <c r="D87" s="95" t="s">
        <v>151</v>
      </c>
      <c r="E87" s="176" t="s">
        <v>254</v>
      </c>
      <c r="F87" s="79"/>
      <c r="G87" s="78"/>
      <c r="H87" s="78"/>
      <c r="I87" s="79"/>
      <c r="J87" s="78"/>
      <c r="K87" s="79"/>
      <c r="L87" s="79"/>
      <c r="M87" s="79"/>
      <c r="N87" s="79">
        <v>948</v>
      </c>
      <c r="O87" s="79"/>
      <c r="P87" s="79"/>
      <c r="Q87" s="79">
        <f>10500-7000+998</f>
        <v>4498</v>
      </c>
      <c r="R87" s="79"/>
      <c r="S87" s="80">
        <f t="shared" si="26"/>
        <v>5446</v>
      </c>
      <c r="T87" s="278"/>
    </row>
    <row r="88" spans="1:20" ht="15" customHeight="1" x14ac:dyDescent="0.25">
      <c r="A88" s="165" t="s">
        <v>264</v>
      </c>
      <c r="B88" s="181">
        <f>B87/SUMPRODUCT(('2024'!$V$10:$V$21&lt;='2024'!B85)*'2023'!$Z$10:$Z$21)</f>
        <v>0.9195904735722068</v>
      </c>
      <c r="C88" s="275"/>
      <c r="D88" s="95" t="s">
        <v>151</v>
      </c>
      <c r="E88" s="176" t="s">
        <v>255</v>
      </c>
      <c r="F88" s="79">
        <f>40+100+100+75+100+100+80+1000+40</f>
        <v>1635</v>
      </c>
      <c r="G88" s="78"/>
      <c r="H88" s="78">
        <f>40+888+1352</f>
        <v>2280</v>
      </c>
      <c r="I88" s="79"/>
      <c r="J88" s="78"/>
      <c r="K88" s="79"/>
      <c r="L88" s="79"/>
      <c r="M88" s="79">
        <f>599+234+60</f>
        <v>893</v>
      </c>
      <c r="N88" s="79"/>
      <c r="O88" s="79"/>
      <c r="P88" s="79"/>
      <c r="Q88" s="79">
        <f>596+1000</f>
        <v>1596</v>
      </c>
      <c r="R88" s="79"/>
      <c r="S88" s="80">
        <f t="shared" si="26"/>
        <v>6404</v>
      </c>
      <c r="T88" s="278"/>
    </row>
    <row r="89" spans="1:20" ht="15" customHeight="1" x14ac:dyDescent="0.25">
      <c r="A89" s="165" t="s">
        <v>296</v>
      </c>
      <c r="B89" s="186">
        <f>B87-SUMPRODUCT((($AD$10:$AD$21)&lt;=VALUE(B85))*($AQ$10:$AQ$21))</f>
        <v>694177</v>
      </c>
      <c r="C89" s="275"/>
      <c r="D89" s="96" t="s">
        <v>151</v>
      </c>
      <c r="E89" s="176" t="s">
        <v>256</v>
      </c>
      <c r="F89" s="79">
        <f>11000+4500+300+3000</f>
        <v>18800</v>
      </c>
      <c r="G89" s="78"/>
      <c r="H89" s="78"/>
      <c r="I89" s="78"/>
      <c r="J89" s="78"/>
      <c r="K89" s="79"/>
      <c r="L89" s="79"/>
      <c r="M89" s="79"/>
      <c r="N89" s="79"/>
      <c r="O89" s="79">
        <v>40</v>
      </c>
      <c r="P89" s="79"/>
      <c r="Q89" s="79"/>
      <c r="R89" s="79"/>
      <c r="S89" s="80">
        <f t="shared" si="26"/>
        <v>18840</v>
      </c>
      <c r="T89" s="278"/>
    </row>
    <row r="90" spans="1:20" ht="15" customHeight="1" x14ac:dyDescent="0.25">
      <c r="A90" s="164" t="s">
        <v>242</v>
      </c>
      <c r="B90" s="157">
        <f>B87/($J$2*12)</f>
        <v>0.40681936936936935</v>
      </c>
      <c r="C90" s="275"/>
      <c r="D90" s="95" t="s">
        <v>151</v>
      </c>
      <c r="E90" s="176" t="s">
        <v>257</v>
      </c>
      <c r="F90" s="78">
        <f>13200+140+18000+300+2700+2700</f>
        <v>37040</v>
      </c>
      <c r="G90" s="78"/>
      <c r="H90" s="78">
        <v>260</v>
      </c>
      <c r="I90" s="79"/>
      <c r="J90" s="78"/>
      <c r="K90" s="79"/>
      <c r="L90" s="79"/>
      <c r="M90" s="79"/>
      <c r="N90" s="79"/>
      <c r="O90" s="79"/>
      <c r="P90" s="79"/>
      <c r="Q90" s="79"/>
      <c r="R90" s="79"/>
      <c r="S90" s="80">
        <f t="shared" si="26"/>
        <v>37300</v>
      </c>
      <c r="T90" s="278"/>
    </row>
    <row r="91" spans="1:20" ht="15" customHeight="1" x14ac:dyDescent="0.25">
      <c r="A91" s="164" t="s">
        <v>241</v>
      </c>
      <c r="B91" s="126">
        <f>VALUE(RIGHT(B85,2))/12</f>
        <v>0.41666666666666669</v>
      </c>
      <c r="C91" s="275"/>
      <c r="D91" s="95" t="s">
        <v>151</v>
      </c>
      <c r="E91" s="176" t="s">
        <v>263</v>
      </c>
      <c r="F91" s="78"/>
      <c r="G91" s="78"/>
      <c r="H91" s="78"/>
      <c r="I91" s="79"/>
      <c r="J91" s="78"/>
      <c r="K91" s="79"/>
      <c r="L91" s="79"/>
      <c r="M91" s="79"/>
      <c r="N91" s="79"/>
      <c r="O91" s="79"/>
      <c r="P91" s="79"/>
      <c r="Q91" s="79"/>
      <c r="R91" s="79"/>
      <c r="S91" s="80">
        <f t="shared" si="26"/>
        <v>0</v>
      </c>
      <c r="T91" s="279"/>
    </row>
    <row r="92" spans="1:20" ht="15" customHeight="1" x14ac:dyDescent="0.25">
      <c r="A92" s="164" t="s">
        <v>243</v>
      </c>
      <c r="B92" s="161">
        <f>B86*VALUE(RIGHT(B85,2))-B87</f>
        <v>21861</v>
      </c>
      <c r="C92" s="275"/>
      <c r="D92" s="97" t="s">
        <v>152</v>
      </c>
      <c r="E92" s="97" t="s">
        <v>144</v>
      </c>
      <c r="F92" s="85">
        <f>5500+350</f>
        <v>5850</v>
      </c>
      <c r="G92" s="46"/>
      <c r="H92" s="85"/>
      <c r="I92" s="46"/>
      <c r="J92" s="46"/>
      <c r="K92" s="46"/>
      <c r="L92" s="46"/>
      <c r="M92" s="89">
        <v>180</v>
      </c>
      <c r="N92" s="46"/>
      <c r="O92" s="109"/>
      <c r="P92" s="46"/>
      <c r="Q92" s="46"/>
      <c r="R92" s="46"/>
      <c r="S92" s="83">
        <f t="shared" si="26"/>
        <v>6030</v>
      </c>
      <c r="T92" s="280">
        <f>SUM(S92:S96)</f>
        <v>15200</v>
      </c>
    </row>
    <row r="93" spans="1:20" ht="15" customHeight="1" x14ac:dyDescent="0.25">
      <c r="A93" s="164" t="s">
        <v>265</v>
      </c>
      <c r="B93" s="184">
        <f>$J$2-(S102)</f>
        <v>11256</v>
      </c>
      <c r="C93" s="275"/>
      <c r="D93" s="97" t="s">
        <v>152</v>
      </c>
      <c r="E93" s="97" t="s">
        <v>145</v>
      </c>
      <c r="F93" s="85"/>
      <c r="G93" s="46"/>
      <c r="H93" s="85">
        <v>7190</v>
      </c>
      <c r="I93" s="46"/>
      <c r="J93" s="46"/>
      <c r="K93" s="46"/>
      <c r="L93" s="46"/>
      <c r="M93" s="89">
        <v>180</v>
      </c>
      <c r="N93" s="46"/>
      <c r="O93" s="89"/>
      <c r="P93" s="46"/>
      <c r="Q93" s="46"/>
      <c r="R93" s="46"/>
      <c r="S93" s="83">
        <f t="shared" si="26"/>
        <v>7370</v>
      </c>
      <c r="T93" s="281"/>
    </row>
    <row r="94" spans="1:20" ht="15" customHeight="1" x14ac:dyDescent="0.25">
      <c r="C94" s="275"/>
      <c r="D94" s="97" t="s">
        <v>152</v>
      </c>
      <c r="E94" s="97" t="s">
        <v>146</v>
      </c>
      <c r="F94" s="86">
        <f>200+60+140+60</f>
        <v>460</v>
      </c>
      <c r="G94" s="46"/>
      <c r="H94" s="87"/>
      <c r="I94" s="46"/>
      <c r="J94" s="46"/>
      <c r="K94" s="46"/>
      <c r="L94" s="46"/>
      <c r="M94" s="89">
        <v>300</v>
      </c>
      <c r="N94" s="46"/>
      <c r="O94" s="89"/>
      <c r="P94" s="46"/>
      <c r="Q94" s="46"/>
      <c r="R94" s="46"/>
      <c r="S94" s="83">
        <f t="shared" si="26"/>
        <v>760</v>
      </c>
      <c r="T94" s="281"/>
    </row>
    <row r="95" spans="1:20" ht="15" customHeight="1" x14ac:dyDescent="0.25">
      <c r="C95" s="275"/>
      <c r="D95" s="97" t="s">
        <v>152</v>
      </c>
      <c r="E95" s="97" t="s">
        <v>147</v>
      </c>
      <c r="F95" s="86">
        <f>200+60+140+60</f>
        <v>460</v>
      </c>
      <c r="G95" s="46"/>
      <c r="H95" s="87"/>
      <c r="I95" s="46"/>
      <c r="J95" s="46"/>
      <c r="K95" s="46"/>
      <c r="L95" s="46"/>
      <c r="M95" s="89">
        <f>310+270</f>
        <v>580</v>
      </c>
      <c r="N95" s="46"/>
      <c r="O95" s="89"/>
      <c r="P95" s="46"/>
      <c r="Q95" s="46"/>
      <c r="R95" s="46"/>
      <c r="S95" s="83">
        <f t="shared" si="26"/>
        <v>1040</v>
      </c>
      <c r="T95" s="281"/>
    </row>
    <row r="96" spans="1:20" ht="15" customHeight="1" x14ac:dyDescent="0.25">
      <c r="B96" s="52"/>
      <c r="C96" s="275"/>
      <c r="D96" s="97" t="s">
        <v>152</v>
      </c>
      <c r="E96" s="97" t="s">
        <v>168</v>
      </c>
      <c r="F96" s="85"/>
      <c r="G96" s="46"/>
      <c r="H96" s="46"/>
      <c r="I96" s="46"/>
      <c r="J96" s="46"/>
      <c r="K96" s="46"/>
      <c r="L96" s="46"/>
      <c r="M96" s="89"/>
      <c r="N96" s="46"/>
      <c r="O96" s="89"/>
      <c r="P96" s="46"/>
      <c r="Q96" s="86"/>
      <c r="R96" s="46"/>
      <c r="S96" s="83">
        <f t="shared" si="26"/>
        <v>0</v>
      </c>
      <c r="T96" s="281"/>
    </row>
    <row r="97" spans="1:20" ht="15" customHeight="1" x14ac:dyDescent="0.25">
      <c r="C97" s="275"/>
      <c r="D97" s="98" t="s">
        <v>153</v>
      </c>
      <c r="E97" s="98" t="s">
        <v>170</v>
      </c>
      <c r="F97" s="81">
        <f>1910+600+60+60+900+590+210</f>
        <v>4330</v>
      </c>
      <c r="G97" s="81"/>
      <c r="H97" s="81"/>
      <c r="I97" s="81"/>
      <c r="J97" s="81"/>
      <c r="K97" s="81"/>
      <c r="L97" s="81"/>
      <c r="M97" s="237">
        <f>220+395+40</f>
        <v>655</v>
      </c>
      <c r="N97" s="81"/>
      <c r="O97" s="81">
        <v>315</v>
      </c>
      <c r="P97" s="81"/>
      <c r="Q97" s="81"/>
      <c r="R97" s="81"/>
      <c r="S97" s="81">
        <f t="shared" si="26"/>
        <v>5300</v>
      </c>
      <c r="T97" s="282">
        <f>SUM(S97:S101)</f>
        <v>60498</v>
      </c>
    </row>
    <row r="98" spans="1:20" ht="15" customHeight="1" x14ac:dyDescent="0.25">
      <c r="C98" s="275"/>
      <c r="D98" s="99" t="s">
        <v>153</v>
      </c>
      <c r="E98" s="99" t="s">
        <v>171</v>
      </c>
      <c r="F98" s="81"/>
      <c r="G98" s="82"/>
      <c r="H98" s="82"/>
      <c r="I98" s="82"/>
      <c r="J98" s="82"/>
      <c r="K98" s="82"/>
      <c r="L98" s="82"/>
      <c r="M98" s="82">
        <v>7920</v>
      </c>
      <c r="N98" s="82"/>
      <c r="O98" s="82"/>
      <c r="P98" s="82"/>
      <c r="Q98" s="82"/>
      <c r="R98" s="82"/>
      <c r="S98" s="82">
        <f t="shared" si="26"/>
        <v>7920</v>
      </c>
      <c r="T98" s="283"/>
    </row>
    <row r="99" spans="1:20" ht="15" customHeight="1" x14ac:dyDescent="0.25">
      <c r="C99" s="275"/>
      <c r="D99" s="99" t="s">
        <v>153</v>
      </c>
      <c r="E99" s="99" t="s">
        <v>172</v>
      </c>
      <c r="F99" s="82">
        <v>39527</v>
      </c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>
        <f t="shared" si="26"/>
        <v>39527</v>
      </c>
      <c r="T99" s="283"/>
    </row>
    <row r="100" spans="1:20" s="41" customFormat="1" ht="15" customHeight="1" x14ac:dyDescent="0.25">
      <c r="A100" s="45"/>
      <c r="B100" s="45"/>
      <c r="C100" s="276"/>
      <c r="D100" s="99" t="s">
        <v>153</v>
      </c>
      <c r="E100" s="99" t="s">
        <v>173</v>
      </c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>
        <v>6751</v>
      </c>
      <c r="R100" s="82"/>
      <c r="S100" s="82">
        <f t="shared" si="26"/>
        <v>6751</v>
      </c>
      <c r="T100" s="283"/>
    </row>
    <row r="101" spans="1:20" ht="15.75" customHeight="1" thickBot="1" x14ac:dyDescent="0.3">
      <c r="A101" s="41"/>
      <c r="B101" s="41"/>
      <c r="C101" s="276"/>
      <c r="D101" s="100" t="s">
        <v>153</v>
      </c>
      <c r="E101" s="100" t="s">
        <v>168</v>
      </c>
      <c r="F101" s="48">
        <v>1000</v>
      </c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>
        <f t="shared" si="26"/>
        <v>1000</v>
      </c>
      <c r="T101" s="283"/>
    </row>
    <row r="102" spans="1:20" ht="14.25" customHeight="1" x14ac:dyDescent="0.25">
      <c r="D102" s="101" t="s">
        <v>120</v>
      </c>
      <c r="E102" s="101" t="s">
        <v>120</v>
      </c>
      <c r="F102" s="64">
        <f t="shared" ref="F102:S102" si="27">SUM(F85:F101)</f>
        <v>116367</v>
      </c>
      <c r="G102" s="64">
        <f t="shared" si="27"/>
        <v>0</v>
      </c>
      <c r="H102" s="64">
        <f t="shared" si="27"/>
        <v>12537</v>
      </c>
      <c r="I102" s="64">
        <f t="shared" si="27"/>
        <v>646</v>
      </c>
      <c r="J102" s="64">
        <f t="shared" si="27"/>
        <v>78</v>
      </c>
      <c r="K102" s="64">
        <f t="shared" si="27"/>
        <v>0</v>
      </c>
      <c r="L102" s="64">
        <f t="shared" si="27"/>
        <v>2403</v>
      </c>
      <c r="M102" s="64">
        <f t="shared" si="27"/>
        <v>14531</v>
      </c>
      <c r="N102" s="64">
        <f t="shared" si="27"/>
        <v>1157</v>
      </c>
      <c r="O102" s="64">
        <f t="shared" si="27"/>
        <v>1170</v>
      </c>
      <c r="P102" s="64">
        <f t="shared" si="27"/>
        <v>2010</v>
      </c>
      <c r="Q102" s="64">
        <f t="shared" si="27"/>
        <v>22845</v>
      </c>
      <c r="R102" s="64">
        <f t="shared" si="27"/>
        <v>0</v>
      </c>
      <c r="S102" s="54">
        <f t="shared" si="27"/>
        <v>173744</v>
      </c>
    </row>
    <row r="103" spans="1:20" ht="15.75" customHeight="1" thickBot="1" x14ac:dyDescent="0.3"/>
    <row r="104" spans="1:20" ht="17.25" x14ac:dyDescent="0.25">
      <c r="A104" s="166" t="s">
        <v>188</v>
      </c>
      <c r="B104" s="167">
        <f>B85+1</f>
        <v>202406</v>
      </c>
      <c r="C104" s="275">
        <v>202406</v>
      </c>
      <c r="D104" s="94" t="s">
        <v>151</v>
      </c>
      <c r="E104" s="177" t="s">
        <v>252</v>
      </c>
      <c r="F104" s="60">
        <f>200+252+45+100+181+55+100+50+56+80+69+301+35+300+110+50+120+55+110+230+150+85+600+70+189+1224+205+270+290+40+1106</f>
        <v>6728</v>
      </c>
      <c r="G104" s="59"/>
      <c r="H104" s="59">
        <f>70+60+50+0+144+32+70+90+317+24+143+490+280+70+350+55+370+195+580+110+140+110+184+120+132+189+75+19+80+500+320</f>
        <v>5369</v>
      </c>
      <c r="I104" s="60">
        <v>70</v>
      </c>
      <c r="J104" s="59">
        <v>980</v>
      </c>
      <c r="K104" s="60"/>
      <c r="L104" s="60">
        <f>45+39+45+48+45+68+198+143+45+495+95+38+619+240+89+45</f>
        <v>2297</v>
      </c>
      <c r="M104" s="148">
        <f>94+197+150+228+160+408+65+3390-1695+95+414+100+580+289+227+59+189+114+179+349+1474+715+75+840</f>
        <v>8696</v>
      </c>
      <c r="N104" s="60">
        <v>54</v>
      </c>
      <c r="O104" s="60">
        <f>500+850+85+700+220</f>
        <v>2355</v>
      </c>
      <c r="P104" s="60">
        <v>567</v>
      </c>
      <c r="Q104" s="60">
        <f>2000+2000+2000+2000</f>
        <v>8000</v>
      </c>
      <c r="R104" s="60"/>
      <c r="S104" s="44">
        <f t="shared" ref="S104:S120" si="28">SUM(F104:R104)</f>
        <v>35116</v>
      </c>
      <c r="T104" s="277">
        <f>SUM(S104:S110)</f>
        <v>89519</v>
      </c>
    </row>
    <row r="105" spans="1:20" ht="15" customHeight="1" thickBot="1" x14ac:dyDescent="0.3">
      <c r="A105" s="164" t="s">
        <v>247</v>
      </c>
      <c r="B105" s="162">
        <f>$J$2</f>
        <v>185000</v>
      </c>
      <c r="C105" s="275"/>
      <c r="D105" s="95" t="s">
        <v>151</v>
      </c>
      <c r="E105" s="176" t="s">
        <v>251</v>
      </c>
      <c r="F105" s="79">
        <v>1197</v>
      </c>
      <c r="G105" s="78"/>
      <c r="H105" s="78"/>
      <c r="I105" s="79"/>
      <c r="J105" s="78"/>
      <c r="K105" s="79"/>
      <c r="L105" s="79"/>
      <c r="M105" s="149"/>
      <c r="N105" s="79"/>
      <c r="O105" s="79">
        <f>2600+1360</f>
        <v>3960</v>
      </c>
      <c r="P105" s="79"/>
      <c r="Q105" s="79"/>
      <c r="R105" s="79"/>
      <c r="S105" s="80">
        <f t="shared" si="28"/>
        <v>5157</v>
      </c>
      <c r="T105" s="278"/>
    </row>
    <row r="106" spans="1:20" ht="15" customHeight="1" thickTop="1" x14ac:dyDescent="0.25">
      <c r="A106" s="165" t="s">
        <v>237</v>
      </c>
      <c r="B106" s="182">
        <f>SUMPRODUCT((($V$10:$V$21)&lt;=VALUE(B104))*($Z$10:$Z$21))</f>
        <v>1014622</v>
      </c>
      <c r="C106" s="275"/>
      <c r="D106" s="95" t="s">
        <v>151</v>
      </c>
      <c r="E106" s="176" t="s">
        <v>254</v>
      </c>
      <c r="F106" s="79">
        <f>1350+102</f>
        <v>1452</v>
      </c>
      <c r="G106" s="78"/>
      <c r="H106" s="78">
        <f>726+1529</f>
        <v>2255</v>
      </c>
      <c r="I106" s="79"/>
      <c r="J106" s="78"/>
      <c r="K106" s="79"/>
      <c r="L106" s="79">
        <v>60</v>
      </c>
      <c r="M106" s="149"/>
      <c r="N106" s="79"/>
      <c r="O106" s="79"/>
      <c r="P106" s="79"/>
      <c r="Q106" s="79">
        <f>10500-7000</f>
        <v>3500</v>
      </c>
      <c r="R106" s="79"/>
      <c r="S106" s="80">
        <f t="shared" si="28"/>
        <v>7267</v>
      </c>
      <c r="T106" s="278"/>
    </row>
    <row r="107" spans="1:20" ht="15" customHeight="1" x14ac:dyDescent="0.25">
      <c r="A107" s="165" t="s">
        <v>264</v>
      </c>
      <c r="B107" s="181">
        <f>B106/SUMPRODUCT(('2024'!$V$10:$V$21&lt;='2024'!B104)*'2023'!$Z$10:$Z$21)</f>
        <v>0.86918776481553506</v>
      </c>
      <c r="C107" s="275"/>
      <c r="D107" s="95" t="s">
        <v>151</v>
      </c>
      <c r="E107" s="176" t="s">
        <v>255</v>
      </c>
      <c r="F107" s="79">
        <f>130+150+100+100+100+100</f>
        <v>680</v>
      </c>
      <c r="G107" s="78"/>
      <c r="H107" s="78">
        <f>75+80+800+25+30</f>
        <v>1010</v>
      </c>
      <c r="I107" s="79"/>
      <c r="J107" s="78"/>
      <c r="K107" s="79"/>
      <c r="L107" s="79"/>
      <c r="M107" s="149">
        <f>150+107+130+1340+111</f>
        <v>1838</v>
      </c>
      <c r="N107" s="79">
        <v>854</v>
      </c>
      <c r="O107" s="79"/>
      <c r="P107" s="79"/>
      <c r="Q107" s="79">
        <v>597</v>
      </c>
      <c r="R107" s="79"/>
      <c r="S107" s="80">
        <f t="shared" si="28"/>
        <v>4979</v>
      </c>
      <c r="T107" s="278"/>
    </row>
    <row r="108" spans="1:20" ht="15" customHeight="1" x14ac:dyDescent="0.25">
      <c r="A108" s="165" t="s">
        <v>296</v>
      </c>
      <c r="B108" s="186">
        <f>B106-SUMPRODUCT((($AD$10:$AD$21)&lt;=VALUE(B104))*($AQ$10:$AQ$21))</f>
        <v>805010</v>
      </c>
      <c r="C108" s="275"/>
      <c r="D108" s="96" t="s">
        <v>151</v>
      </c>
      <c r="E108" s="176" t="s">
        <v>256</v>
      </c>
      <c r="F108" s="79">
        <f>11000+4500+2000</f>
        <v>17500</v>
      </c>
      <c r="G108" s="78"/>
      <c r="H108" s="78">
        <f>180+4776+160</f>
        <v>5116</v>
      </c>
      <c r="I108" s="78"/>
      <c r="J108" s="78"/>
      <c r="K108" s="79"/>
      <c r="L108" s="79"/>
      <c r="M108" s="149"/>
      <c r="N108" s="79"/>
      <c r="O108" s="79"/>
      <c r="P108" s="79"/>
      <c r="Q108" s="79"/>
      <c r="R108" s="79"/>
      <c r="S108" s="80">
        <f t="shared" si="28"/>
        <v>22616</v>
      </c>
      <c r="T108" s="278"/>
    </row>
    <row r="109" spans="1:20" ht="15" customHeight="1" x14ac:dyDescent="0.25">
      <c r="A109" s="164" t="s">
        <v>242</v>
      </c>
      <c r="B109" s="157">
        <f>B106/($J$2*12)</f>
        <v>0.45703693693693692</v>
      </c>
      <c r="C109" s="275"/>
      <c r="D109" s="95" t="s">
        <v>151</v>
      </c>
      <c r="E109" s="176" t="s">
        <v>257</v>
      </c>
      <c r="F109" s="79">
        <f>5864+2700+2700</f>
        <v>11264</v>
      </c>
      <c r="G109" s="78"/>
      <c r="H109" s="78"/>
      <c r="I109" s="79">
        <v>1400</v>
      </c>
      <c r="J109" s="78"/>
      <c r="K109" s="79"/>
      <c r="L109" s="79"/>
      <c r="M109" s="149"/>
      <c r="N109" s="79"/>
      <c r="O109" s="79"/>
      <c r="P109" s="79"/>
      <c r="Q109" s="79"/>
      <c r="R109" s="79"/>
      <c r="S109" s="80">
        <f t="shared" si="28"/>
        <v>12664</v>
      </c>
      <c r="T109" s="278"/>
    </row>
    <row r="110" spans="1:20" ht="15" customHeight="1" x14ac:dyDescent="0.25">
      <c r="A110" s="164" t="s">
        <v>241</v>
      </c>
      <c r="B110" s="126">
        <f>VALUE(RIGHT(B104,2))/12</f>
        <v>0.5</v>
      </c>
      <c r="C110" s="275"/>
      <c r="D110" s="95" t="s">
        <v>151</v>
      </c>
      <c r="E110" s="176" t="s">
        <v>263</v>
      </c>
      <c r="F110" s="78">
        <f>250+50</f>
        <v>300</v>
      </c>
      <c r="G110" s="78"/>
      <c r="H110" s="78">
        <v>370</v>
      </c>
      <c r="I110" s="79"/>
      <c r="J110" s="78"/>
      <c r="K110" s="79"/>
      <c r="L110" s="79"/>
      <c r="M110" s="149"/>
      <c r="N110" s="79"/>
      <c r="O110" s="79"/>
      <c r="P110" s="79"/>
      <c r="Q110" s="79">
        <v>1050</v>
      </c>
      <c r="R110" s="79"/>
      <c r="S110" s="80">
        <f>SUM(F110:R110)</f>
        <v>1720</v>
      </c>
      <c r="T110" s="279"/>
    </row>
    <row r="111" spans="1:20" ht="15" customHeight="1" x14ac:dyDescent="0.25">
      <c r="A111" s="164" t="s">
        <v>243</v>
      </c>
      <c r="B111" s="161">
        <f>B105*VALUE(RIGHT(B104,2))-B106</f>
        <v>95378</v>
      </c>
      <c r="C111" s="275"/>
      <c r="D111" s="97" t="s">
        <v>152</v>
      </c>
      <c r="E111" s="97" t="s">
        <v>144</v>
      </c>
      <c r="F111" s="85">
        <v>350</v>
      </c>
      <c r="G111" s="46"/>
      <c r="H111" s="85"/>
      <c r="I111" s="46"/>
      <c r="J111" s="46"/>
      <c r="K111" s="46"/>
      <c r="L111" s="46"/>
      <c r="M111" s="152"/>
      <c r="N111" s="46"/>
      <c r="O111" s="86"/>
      <c r="P111" s="46"/>
      <c r="Q111" s="46"/>
      <c r="R111" s="46"/>
      <c r="S111" s="83">
        <f t="shared" si="28"/>
        <v>350</v>
      </c>
      <c r="T111" s="280">
        <f>SUM(S111:S115)</f>
        <v>3949</v>
      </c>
    </row>
    <row r="112" spans="1:20" ht="15" customHeight="1" x14ac:dyDescent="0.25">
      <c r="A112" s="164" t="s">
        <v>265</v>
      </c>
      <c r="B112" s="184">
        <f>$J$2-(S121)</f>
        <v>73517</v>
      </c>
      <c r="C112" s="275"/>
      <c r="D112" s="97" t="s">
        <v>152</v>
      </c>
      <c r="E112" s="97" t="s">
        <v>145</v>
      </c>
      <c r="F112" s="85"/>
      <c r="G112" s="46"/>
      <c r="H112" s="85"/>
      <c r="I112" s="46"/>
      <c r="J112" s="46"/>
      <c r="K112" s="46"/>
      <c r="L112" s="46"/>
      <c r="M112" s="152"/>
      <c r="N112" s="46"/>
      <c r="O112" s="89"/>
      <c r="P112" s="46"/>
      <c r="Q112" s="46"/>
      <c r="R112" s="46"/>
      <c r="S112" s="83">
        <f t="shared" si="28"/>
        <v>0</v>
      </c>
      <c r="T112" s="281"/>
    </row>
    <row r="113" spans="1:23" ht="15" customHeight="1" x14ac:dyDescent="0.25">
      <c r="C113" s="275"/>
      <c r="D113" s="97" t="s">
        <v>152</v>
      </c>
      <c r="E113" s="97" t="s">
        <v>146</v>
      </c>
      <c r="F113" s="86">
        <f>100+300+1899+60+60</f>
        <v>2419</v>
      </c>
      <c r="G113" s="46"/>
      <c r="H113" s="87"/>
      <c r="I113" s="89"/>
      <c r="J113" s="46"/>
      <c r="K113" s="46"/>
      <c r="L113" s="46"/>
      <c r="M113" s="152"/>
      <c r="N113" s="46"/>
      <c r="O113" s="46"/>
      <c r="P113" s="46"/>
      <c r="Q113" s="46"/>
      <c r="R113" s="46"/>
      <c r="S113" s="83">
        <f t="shared" si="28"/>
        <v>2419</v>
      </c>
      <c r="T113" s="281"/>
    </row>
    <row r="114" spans="1:23" ht="15" customHeight="1" x14ac:dyDescent="0.25">
      <c r="C114" s="275"/>
      <c r="D114" s="97" t="s">
        <v>152</v>
      </c>
      <c r="E114" s="97" t="s">
        <v>147</v>
      </c>
      <c r="F114" s="85">
        <f>120+300+60+60</f>
        <v>540</v>
      </c>
      <c r="G114" s="46"/>
      <c r="H114" s="87"/>
      <c r="I114" s="46"/>
      <c r="J114" s="46"/>
      <c r="K114" s="46"/>
      <c r="L114" s="46"/>
      <c r="M114" s="152"/>
      <c r="N114" s="46"/>
      <c r="O114" s="46"/>
      <c r="P114" s="46"/>
      <c r="Q114" s="46"/>
      <c r="R114" s="46"/>
      <c r="S114" s="83">
        <f t="shared" si="28"/>
        <v>540</v>
      </c>
      <c r="T114" s="281"/>
    </row>
    <row r="115" spans="1:23" ht="15" customHeight="1" x14ac:dyDescent="0.25">
      <c r="C115" s="275"/>
      <c r="D115" s="97" t="s">
        <v>152</v>
      </c>
      <c r="E115" s="97" t="s">
        <v>168</v>
      </c>
      <c r="F115" s="85">
        <v>460</v>
      </c>
      <c r="G115" s="46"/>
      <c r="H115" s="85"/>
      <c r="I115" s="46"/>
      <c r="J115" s="46"/>
      <c r="K115" s="46"/>
      <c r="L115" s="46"/>
      <c r="M115" s="152"/>
      <c r="N115" s="46"/>
      <c r="O115" s="46">
        <v>180</v>
      </c>
      <c r="P115" s="46"/>
      <c r="Q115" s="46"/>
      <c r="R115" s="46"/>
      <c r="S115" s="83">
        <f t="shared" si="28"/>
        <v>640</v>
      </c>
      <c r="T115" s="281"/>
    </row>
    <row r="116" spans="1:23" ht="15" customHeight="1" x14ac:dyDescent="0.25">
      <c r="C116" s="275"/>
      <c r="D116" s="98" t="s">
        <v>153</v>
      </c>
      <c r="E116" s="98" t="s">
        <v>170</v>
      </c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>
        <f>1300-650</f>
        <v>650</v>
      </c>
      <c r="R116" s="81"/>
      <c r="S116" s="81">
        <f t="shared" si="28"/>
        <v>650</v>
      </c>
      <c r="T116" s="282">
        <f>SUM(S116:S120)</f>
        <v>18015</v>
      </c>
    </row>
    <row r="117" spans="1:23" ht="15" customHeight="1" x14ac:dyDescent="0.25">
      <c r="C117" s="275"/>
      <c r="D117" s="99" t="s">
        <v>153</v>
      </c>
      <c r="E117" s="99" t="s">
        <v>171</v>
      </c>
      <c r="F117" s="82"/>
      <c r="G117" s="82"/>
      <c r="H117" s="82">
        <v>1365</v>
      </c>
      <c r="I117" s="82"/>
      <c r="J117" s="82"/>
      <c r="K117" s="82"/>
      <c r="L117" s="82"/>
      <c r="M117" s="140"/>
      <c r="N117" s="82"/>
      <c r="O117" s="82"/>
      <c r="P117" s="82"/>
      <c r="Q117" s="82"/>
      <c r="R117" s="82"/>
      <c r="S117" s="82">
        <f t="shared" si="28"/>
        <v>1365</v>
      </c>
      <c r="T117" s="283"/>
    </row>
    <row r="118" spans="1:23" ht="15" customHeight="1" x14ac:dyDescent="0.25">
      <c r="C118" s="275"/>
      <c r="D118" s="99" t="s">
        <v>153</v>
      </c>
      <c r="E118" s="99" t="s">
        <v>172</v>
      </c>
      <c r="F118" s="82"/>
      <c r="G118" s="82"/>
      <c r="H118" s="81"/>
      <c r="I118" s="82"/>
      <c r="J118" s="82"/>
      <c r="K118" s="82"/>
      <c r="L118" s="82"/>
      <c r="M118" s="140"/>
      <c r="N118" s="82"/>
      <c r="O118" s="82"/>
      <c r="P118" s="82"/>
      <c r="Q118" s="82"/>
      <c r="R118" s="82"/>
      <c r="S118" s="82">
        <f t="shared" si="28"/>
        <v>0</v>
      </c>
      <c r="T118" s="283"/>
    </row>
    <row r="119" spans="1:23" s="41" customFormat="1" ht="15" customHeight="1" x14ac:dyDescent="0.25">
      <c r="A119" s="45"/>
      <c r="B119" s="45"/>
      <c r="C119" s="276"/>
      <c r="D119" s="99" t="s">
        <v>153</v>
      </c>
      <c r="E119" s="99" t="s">
        <v>173</v>
      </c>
      <c r="F119" s="82"/>
      <c r="G119" s="82"/>
      <c r="H119" s="82"/>
      <c r="I119" s="82"/>
      <c r="J119" s="82"/>
      <c r="K119" s="82"/>
      <c r="L119" s="82"/>
      <c r="M119" s="140"/>
      <c r="N119" s="82"/>
      <c r="O119" s="82"/>
      <c r="P119" s="82"/>
      <c r="Q119" s="82"/>
      <c r="R119" s="82"/>
      <c r="S119" s="82">
        <f t="shared" si="28"/>
        <v>0</v>
      </c>
      <c r="T119" s="283"/>
    </row>
    <row r="120" spans="1:23" ht="15.75" customHeight="1" thickBot="1" x14ac:dyDescent="0.3">
      <c r="A120" s="41"/>
      <c r="B120" s="41"/>
      <c r="C120" s="276"/>
      <c r="D120" s="100" t="s">
        <v>153</v>
      </c>
      <c r="E120" s="100" t="s">
        <v>168</v>
      </c>
      <c r="F120" s="48">
        <v>6000</v>
      </c>
      <c r="G120" s="48"/>
      <c r="H120" s="48">
        <v>10000</v>
      </c>
      <c r="I120" s="48"/>
      <c r="J120" s="48"/>
      <c r="K120" s="48"/>
      <c r="L120" s="48"/>
      <c r="M120" s="141"/>
      <c r="N120" s="48"/>
      <c r="O120" s="48"/>
      <c r="P120" s="48"/>
      <c r="Q120" s="48"/>
      <c r="R120" s="48"/>
      <c r="S120" s="48">
        <f t="shared" si="28"/>
        <v>16000</v>
      </c>
      <c r="T120" s="283"/>
    </row>
    <row r="121" spans="1:23" ht="15" customHeight="1" x14ac:dyDescent="0.25">
      <c r="D121" s="101" t="s">
        <v>120</v>
      </c>
      <c r="E121" s="101" t="s">
        <v>120</v>
      </c>
      <c r="F121" s="64">
        <f t="shared" ref="F121:S121" si="29">SUM(F104:F120)</f>
        <v>48890</v>
      </c>
      <c r="G121" s="64">
        <f t="shared" si="29"/>
        <v>0</v>
      </c>
      <c r="H121" s="64">
        <f t="shared" si="29"/>
        <v>25485</v>
      </c>
      <c r="I121" s="64">
        <f t="shared" si="29"/>
        <v>1470</v>
      </c>
      <c r="J121" s="64">
        <f t="shared" si="29"/>
        <v>980</v>
      </c>
      <c r="K121" s="64">
        <f t="shared" si="29"/>
        <v>0</v>
      </c>
      <c r="L121" s="64">
        <f t="shared" si="29"/>
        <v>2357</v>
      </c>
      <c r="M121" s="150">
        <f t="shared" si="29"/>
        <v>10534</v>
      </c>
      <c r="N121" s="64">
        <f t="shared" si="29"/>
        <v>908</v>
      </c>
      <c r="O121" s="64">
        <f t="shared" si="29"/>
        <v>6495</v>
      </c>
      <c r="P121" s="64">
        <f t="shared" si="29"/>
        <v>567</v>
      </c>
      <c r="Q121" s="64">
        <f t="shared" si="29"/>
        <v>13797</v>
      </c>
      <c r="R121" s="64">
        <f t="shared" si="29"/>
        <v>0</v>
      </c>
      <c r="S121" s="54">
        <f t="shared" si="29"/>
        <v>111483</v>
      </c>
      <c r="T121" s="52"/>
      <c r="U121" s="52"/>
    </row>
    <row r="122" spans="1:23" ht="15.75" customHeight="1" thickBot="1" x14ac:dyDescent="0.3">
      <c r="M122" s="151"/>
    </row>
    <row r="123" spans="1:23" ht="17.25" x14ac:dyDescent="0.25">
      <c r="A123" s="166" t="s">
        <v>188</v>
      </c>
      <c r="B123" s="167">
        <f>B104+1</f>
        <v>202407</v>
      </c>
      <c r="C123" s="275">
        <v>202407</v>
      </c>
      <c r="D123" s="94" t="s">
        <v>151</v>
      </c>
      <c r="E123" s="177" t="s">
        <v>252</v>
      </c>
      <c r="F123" s="60">
        <f>10+68+160+90+470+25+300+430+20+350+100+100+460+963+90+30+100+200+50+350+145+195+200+195+370+60+190+125+88+124+270+1375+60</f>
        <v>7763</v>
      </c>
      <c r="G123" s="59"/>
      <c r="H123" s="59">
        <f>104+105+46+116+69+50+40+0+85+94+60+91+160-75+79+88+140+36+60+45+53+45+49+190+88+60+97+199+25</f>
        <v>2199</v>
      </c>
      <c r="I123" s="60">
        <f>88+200+284</f>
        <v>572</v>
      </c>
      <c r="J123" s="59"/>
      <c r="K123" s="60">
        <f>780+2000</f>
        <v>2780</v>
      </c>
      <c r="L123" s="60">
        <f>719+338+539+110+299+320+128</f>
        <v>2453</v>
      </c>
      <c r="M123" s="148">
        <f>100+50+97+205+300+414+36+5070+360</f>
        <v>6632</v>
      </c>
      <c r="N123" s="60"/>
      <c r="O123" s="60">
        <f>267+290+530+45+200+299+230</f>
        <v>1861</v>
      </c>
      <c r="P123" s="60">
        <v>47</v>
      </c>
      <c r="Q123" s="60">
        <f>2000+2000+2000+2000+3000</f>
        <v>11000</v>
      </c>
      <c r="R123" s="60"/>
      <c r="S123" s="44">
        <f t="shared" ref="S123:S139" si="30">SUM(F123:R123)</f>
        <v>35307</v>
      </c>
      <c r="T123" s="277">
        <f>SUM(S123:S129)</f>
        <v>72519</v>
      </c>
      <c r="V123" s="52">
        <f>S123-S104</f>
        <v>191</v>
      </c>
    </row>
    <row r="124" spans="1:23" ht="15" customHeight="1" thickBot="1" x14ac:dyDescent="0.3">
      <c r="A124" s="164" t="s">
        <v>247</v>
      </c>
      <c r="B124" s="162">
        <f>$J$2</f>
        <v>185000</v>
      </c>
      <c r="C124" s="275"/>
      <c r="D124" s="95" t="s">
        <v>151</v>
      </c>
      <c r="E124" s="176" t="s">
        <v>251</v>
      </c>
      <c r="F124" s="79">
        <v>200</v>
      </c>
      <c r="G124" s="78"/>
      <c r="H124" s="78"/>
      <c r="I124" s="79"/>
      <c r="J124" s="78"/>
      <c r="K124" s="79"/>
      <c r="L124" s="79"/>
      <c r="M124" s="149"/>
      <c r="N124" s="79"/>
      <c r="O124" s="79">
        <v>2200</v>
      </c>
      <c r="P124" s="79"/>
      <c r="Q124" s="79"/>
      <c r="R124" s="79"/>
      <c r="S124" s="80">
        <f t="shared" si="30"/>
        <v>2400</v>
      </c>
      <c r="T124" s="278"/>
      <c r="V124" s="52">
        <f t="shared" ref="V124:V129" si="31">S124-S105</f>
        <v>-2757</v>
      </c>
    </row>
    <row r="125" spans="1:23" ht="15" customHeight="1" thickTop="1" x14ac:dyDescent="0.25">
      <c r="A125" s="165" t="s">
        <v>237</v>
      </c>
      <c r="B125" s="182">
        <f>SUMPRODUCT((($V$10:$V$21)&lt;=VALUE(B123))*($Z$10:$Z$21))</f>
        <v>1153670</v>
      </c>
      <c r="C125" s="275"/>
      <c r="D125" s="95" t="s">
        <v>151</v>
      </c>
      <c r="E125" s="176" t="s">
        <v>254</v>
      </c>
      <c r="F125" s="79">
        <v>504</v>
      </c>
      <c r="G125" s="78"/>
      <c r="H125" s="78">
        <f>57+697+599+417</f>
        <v>1770</v>
      </c>
      <c r="I125" s="79"/>
      <c r="J125" s="78"/>
      <c r="K125" s="79"/>
      <c r="L125" s="79"/>
      <c r="M125" s="149">
        <v>75</v>
      </c>
      <c r="N125" s="79"/>
      <c r="O125" s="79">
        <v>1780</v>
      </c>
      <c r="P125" s="79"/>
      <c r="Q125" s="79">
        <f>10500-7000</f>
        <v>3500</v>
      </c>
      <c r="R125" s="79"/>
      <c r="S125" s="80">
        <f t="shared" si="30"/>
        <v>7629</v>
      </c>
      <c r="T125" s="278"/>
      <c r="V125" s="52">
        <f t="shared" si="31"/>
        <v>362</v>
      </c>
      <c r="W125" s="55" t="s">
        <v>280</v>
      </c>
    </row>
    <row r="126" spans="1:23" ht="15" customHeight="1" x14ac:dyDescent="0.25">
      <c r="A126" s="165" t="s">
        <v>264</v>
      </c>
      <c r="B126" s="181">
        <f>B125/SUMPRODUCT(('2024'!$V$10:$V$21&lt;='2024'!B123)*'2023'!$Z$10:$Z$21)</f>
        <v>0.82633244826961327</v>
      </c>
      <c r="C126" s="275"/>
      <c r="D126" s="95" t="s">
        <v>151</v>
      </c>
      <c r="E126" s="176" t="s">
        <v>255</v>
      </c>
      <c r="F126" s="79">
        <f>165+100+40+60</f>
        <v>365</v>
      </c>
      <c r="G126" s="78"/>
      <c r="H126" s="78"/>
      <c r="I126" s="79">
        <v>19</v>
      </c>
      <c r="J126" s="78"/>
      <c r="K126" s="79"/>
      <c r="L126" s="79"/>
      <c r="M126" s="149">
        <f>1400+836+1400+50+1073+599</f>
        <v>5358</v>
      </c>
      <c r="N126" s="79"/>
      <c r="O126" s="79"/>
      <c r="P126" s="79"/>
      <c r="Q126" s="79">
        <f>597+1496+1298</f>
        <v>3391</v>
      </c>
      <c r="R126" s="79"/>
      <c r="S126" s="80">
        <f t="shared" si="30"/>
        <v>9133</v>
      </c>
      <c r="T126" s="278"/>
      <c r="V126" s="52">
        <f t="shared" si="31"/>
        <v>4154</v>
      </c>
    </row>
    <row r="127" spans="1:23" ht="15" customHeight="1" x14ac:dyDescent="0.25">
      <c r="A127" s="165" t="s">
        <v>296</v>
      </c>
      <c r="B127" s="186">
        <f>B125-SUMPRODUCT((($AD$10:$AD$21)&lt;=VALUE(B123))*($AQ$10:$AQ$21))</f>
        <v>925355</v>
      </c>
      <c r="C127" s="275"/>
      <c r="D127" s="96" t="s">
        <v>151</v>
      </c>
      <c r="E127" s="176" t="s">
        <v>256</v>
      </c>
      <c r="F127" s="79">
        <f>11000</f>
        <v>11000</v>
      </c>
      <c r="G127" s="78"/>
      <c r="H127" s="78"/>
      <c r="I127" s="78"/>
      <c r="J127" s="78"/>
      <c r="K127" s="79"/>
      <c r="L127" s="79"/>
      <c r="M127" s="149"/>
      <c r="N127" s="79"/>
      <c r="O127" s="79"/>
      <c r="P127" s="79"/>
      <c r="Q127" s="79"/>
      <c r="R127" s="79"/>
      <c r="S127" s="80">
        <f t="shared" si="30"/>
        <v>11000</v>
      </c>
      <c r="T127" s="278"/>
      <c r="V127" s="52">
        <f t="shared" si="31"/>
        <v>-11616</v>
      </c>
    </row>
    <row r="128" spans="1:23" ht="15" customHeight="1" x14ac:dyDescent="0.25">
      <c r="A128" s="164" t="s">
        <v>242</v>
      </c>
      <c r="B128" s="157">
        <f>B125/($J$2*12)</f>
        <v>0.51967117117117112</v>
      </c>
      <c r="C128" s="275"/>
      <c r="D128" s="95" t="s">
        <v>151</v>
      </c>
      <c r="E128" s="176" t="s">
        <v>257</v>
      </c>
      <c r="F128" s="79">
        <f>2700+2700</f>
        <v>5400</v>
      </c>
      <c r="G128" s="78"/>
      <c r="H128" s="78">
        <v>1650</v>
      </c>
      <c r="I128" s="79"/>
      <c r="J128" s="78"/>
      <c r="K128" s="79"/>
      <c r="L128" s="79"/>
      <c r="M128" s="149"/>
      <c r="N128" s="79"/>
      <c r="O128" s="79"/>
      <c r="P128" s="79"/>
      <c r="Q128" s="79"/>
      <c r="R128" s="79"/>
      <c r="S128" s="80">
        <f t="shared" si="30"/>
        <v>7050</v>
      </c>
      <c r="T128" s="278"/>
      <c r="V128" s="52">
        <f t="shared" si="31"/>
        <v>-5614</v>
      </c>
    </row>
    <row r="129" spans="1:23" ht="15" customHeight="1" x14ac:dyDescent="0.25">
      <c r="A129" s="164" t="s">
        <v>282</v>
      </c>
      <c r="B129" s="126">
        <f>VALUE(RIGHT(B123,2))/12</f>
        <v>0.58333333333333337</v>
      </c>
      <c r="C129" s="275"/>
      <c r="D129" s="95" t="s">
        <v>151</v>
      </c>
      <c r="E129" s="176" t="s">
        <v>263</v>
      </c>
      <c r="F129" s="78"/>
      <c r="G129" s="78"/>
      <c r="H129" s="78"/>
      <c r="I129" s="79"/>
      <c r="J129" s="78"/>
      <c r="K129" s="79"/>
      <c r="L129" s="79"/>
      <c r="M129" s="149"/>
      <c r="N129" s="79"/>
      <c r="O129" s="79"/>
      <c r="P129" s="79"/>
      <c r="Q129" s="79"/>
      <c r="R129" s="79"/>
      <c r="S129" s="80">
        <f t="shared" si="30"/>
        <v>0</v>
      </c>
      <c r="T129" s="279"/>
      <c r="V129" s="52">
        <f t="shared" si="31"/>
        <v>-1720</v>
      </c>
    </row>
    <row r="130" spans="1:23" ht="15" customHeight="1" x14ac:dyDescent="0.25">
      <c r="A130" s="164" t="s">
        <v>243</v>
      </c>
      <c r="B130" s="161">
        <f>B124*VALUE(RIGHT(B123,2))-B125</f>
        <v>141330</v>
      </c>
      <c r="C130" s="275"/>
      <c r="D130" s="97" t="s">
        <v>152</v>
      </c>
      <c r="E130" s="97" t="s">
        <v>144</v>
      </c>
      <c r="F130" s="85"/>
      <c r="G130" s="46"/>
      <c r="H130" s="85">
        <v>36590</v>
      </c>
      <c r="I130" s="89"/>
      <c r="J130" s="46"/>
      <c r="K130" s="46"/>
      <c r="L130" s="46"/>
      <c r="M130" s="152"/>
      <c r="N130" s="46"/>
      <c r="O130" s="86"/>
      <c r="P130" s="46"/>
      <c r="Q130" s="46"/>
      <c r="R130" s="46"/>
      <c r="S130" s="83">
        <f t="shared" si="30"/>
        <v>36590</v>
      </c>
      <c r="T130" s="280">
        <f>SUM(S130:S134)</f>
        <v>36940</v>
      </c>
    </row>
    <row r="131" spans="1:23" ht="15" customHeight="1" x14ac:dyDescent="0.25">
      <c r="A131" s="164" t="s">
        <v>265</v>
      </c>
      <c r="B131" s="184">
        <f>$J$2-(S140)</f>
        <v>45952</v>
      </c>
      <c r="C131" s="275"/>
      <c r="D131" s="97" t="s">
        <v>152</v>
      </c>
      <c r="E131" s="97" t="s">
        <v>145</v>
      </c>
      <c r="F131" s="85"/>
      <c r="G131" s="46"/>
      <c r="H131" s="85"/>
      <c r="I131" s="46"/>
      <c r="J131" s="46"/>
      <c r="K131" s="46"/>
      <c r="L131" s="46"/>
      <c r="M131" s="152"/>
      <c r="N131" s="46"/>
      <c r="O131" s="85"/>
      <c r="P131" s="46"/>
      <c r="Q131" s="46"/>
      <c r="R131" s="46"/>
      <c r="S131" s="83">
        <f t="shared" si="30"/>
        <v>0</v>
      </c>
      <c r="T131" s="281"/>
    </row>
    <row r="132" spans="1:23" ht="15" customHeight="1" x14ac:dyDescent="0.25">
      <c r="C132" s="275"/>
      <c r="D132" s="97" t="s">
        <v>152</v>
      </c>
      <c r="E132" s="97" t="s">
        <v>146</v>
      </c>
      <c r="F132" s="86"/>
      <c r="G132" s="46"/>
      <c r="H132" s="87"/>
      <c r="I132" s="46"/>
      <c r="J132" s="46"/>
      <c r="K132" s="46"/>
      <c r="L132" s="46"/>
      <c r="M132" s="152"/>
      <c r="N132" s="46"/>
      <c r="O132" s="85"/>
      <c r="P132" s="46"/>
      <c r="Q132" s="46"/>
      <c r="R132" s="46"/>
      <c r="S132" s="83">
        <f t="shared" si="30"/>
        <v>0</v>
      </c>
      <c r="T132" s="281"/>
    </row>
    <row r="133" spans="1:23" ht="15" customHeight="1" x14ac:dyDescent="0.25">
      <c r="C133" s="275"/>
      <c r="D133" s="97" t="s">
        <v>152</v>
      </c>
      <c r="E133" s="97" t="s">
        <v>147</v>
      </c>
      <c r="F133" s="85"/>
      <c r="G133" s="46"/>
      <c r="H133" s="87"/>
      <c r="I133" s="46"/>
      <c r="J133" s="46"/>
      <c r="K133" s="46"/>
      <c r="L133" s="46"/>
      <c r="M133" s="152"/>
      <c r="N133" s="46"/>
      <c r="O133" s="85"/>
      <c r="P133" s="46"/>
      <c r="Q133" s="46"/>
      <c r="R133" s="46"/>
      <c r="S133" s="83">
        <f t="shared" si="30"/>
        <v>0</v>
      </c>
      <c r="T133" s="281"/>
    </row>
    <row r="134" spans="1:23" ht="15" customHeight="1" x14ac:dyDescent="0.25">
      <c r="C134" s="275"/>
      <c r="D134" s="97" t="s">
        <v>152</v>
      </c>
      <c r="E134" s="97" t="s">
        <v>168</v>
      </c>
      <c r="F134" s="85">
        <v>350</v>
      </c>
      <c r="G134" s="46"/>
      <c r="H134" s="46"/>
      <c r="I134" s="46"/>
      <c r="J134" s="46"/>
      <c r="K134" s="46"/>
      <c r="L134" s="46"/>
      <c r="M134" s="152"/>
      <c r="N134" s="46"/>
      <c r="O134" s="86"/>
      <c r="P134" s="46"/>
      <c r="Q134" s="46"/>
      <c r="R134" s="46"/>
      <c r="S134" s="83">
        <f t="shared" si="30"/>
        <v>350</v>
      </c>
      <c r="T134" s="281"/>
    </row>
    <row r="135" spans="1:23" ht="15" customHeight="1" x14ac:dyDescent="0.25">
      <c r="C135" s="275"/>
      <c r="D135" s="98" t="s">
        <v>153</v>
      </c>
      <c r="E135" s="178" t="s">
        <v>258</v>
      </c>
      <c r="F135" s="81">
        <f>3000+7372+540+40+220+350+100+50+30+70</f>
        <v>11772</v>
      </c>
      <c r="G135" s="81"/>
      <c r="H135" s="81">
        <f>237+189</f>
        <v>426</v>
      </c>
      <c r="I135" s="81"/>
      <c r="J135" s="81"/>
      <c r="K135" s="81"/>
      <c r="L135" s="81"/>
      <c r="M135" s="81">
        <f>1800+2416+1400</f>
        <v>5616</v>
      </c>
      <c r="N135" s="81"/>
      <c r="O135" s="81">
        <v>889</v>
      </c>
      <c r="P135" s="81"/>
      <c r="Q135" s="81"/>
      <c r="R135" s="81"/>
      <c r="S135" s="81">
        <f t="shared" si="30"/>
        <v>18703</v>
      </c>
      <c r="T135" s="282">
        <f>SUM(S135:S139)</f>
        <v>29589</v>
      </c>
      <c r="V135" s="52">
        <f>S135-S116</f>
        <v>18053</v>
      </c>
    </row>
    <row r="136" spans="1:23" ht="15" customHeight="1" x14ac:dyDescent="0.25">
      <c r="C136" s="275"/>
      <c r="D136" s="99" t="s">
        <v>153</v>
      </c>
      <c r="E136" s="99" t="s">
        <v>171</v>
      </c>
      <c r="F136" s="82">
        <v>2076</v>
      </c>
      <c r="G136" s="82"/>
      <c r="H136" s="82"/>
      <c r="I136" s="82"/>
      <c r="J136" s="82"/>
      <c r="K136" s="82"/>
      <c r="L136" s="82"/>
      <c r="M136" s="140"/>
      <c r="N136" s="82"/>
      <c r="O136" s="82">
        <f>2000+530</f>
        <v>2530</v>
      </c>
      <c r="P136" s="82"/>
      <c r="Q136" s="82"/>
      <c r="R136" s="82"/>
      <c r="S136" s="82">
        <f t="shared" si="30"/>
        <v>4606</v>
      </c>
      <c r="T136" s="283"/>
      <c r="V136" s="52">
        <f>S136-S117</f>
        <v>3241</v>
      </c>
    </row>
    <row r="137" spans="1:23" ht="15" customHeight="1" x14ac:dyDescent="0.25">
      <c r="C137" s="275"/>
      <c r="D137" s="99" t="s">
        <v>153</v>
      </c>
      <c r="E137" s="99" t="s">
        <v>172</v>
      </c>
      <c r="F137" s="82"/>
      <c r="G137" s="82"/>
      <c r="H137" s="82"/>
      <c r="I137" s="82">
        <v>6180</v>
      </c>
      <c r="J137" s="82"/>
      <c r="K137" s="82"/>
      <c r="L137" s="82"/>
      <c r="M137" s="140"/>
      <c r="N137" s="82"/>
      <c r="O137" s="82"/>
      <c r="P137" s="82"/>
      <c r="Q137" s="82"/>
      <c r="R137" s="82"/>
      <c r="S137" s="82">
        <f t="shared" si="30"/>
        <v>6180</v>
      </c>
      <c r="T137" s="283"/>
      <c r="U137" s="52"/>
      <c r="V137" s="52">
        <f>S137-S118</f>
        <v>6180</v>
      </c>
      <c r="W137" s="55" t="s">
        <v>281</v>
      </c>
    </row>
    <row r="138" spans="1:23" s="41" customFormat="1" ht="15" customHeight="1" x14ac:dyDescent="0.25">
      <c r="A138" s="45"/>
      <c r="B138" s="45"/>
      <c r="C138" s="276"/>
      <c r="D138" s="99" t="s">
        <v>153</v>
      </c>
      <c r="E138" s="99" t="s">
        <v>173</v>
      </c>
      <c r="F138" s="82"/>
      <c r="G138" s="82"/>
      <c r="H138" s="82"/>
      <c r="I138" s="82"/>
      <c r="J138" s="82"/>
      <c r="K138" s="82"/>
      <c r="L138" s="82"/>
      <c r="M138" s="140"/>
      <c r="N138" s="82"/>
      <c r="O138" s="82"/>
      <c r="P138" s="82"/>
      <c r="Q138" s="82"/>
      <c r="R138" s="82"/>
      <c r="S138" s="82">
        <f t="shared" si="30"/>
        <v>0</v>
      </c>
      <c r="T138" s="283"/>
      <c r="V138" s="52">
        <f>S138-S119</f>
        <v>0</v>
      </c>
    </row>
    <row r="139" spans="1:23" ht="15.75" customHeight="1" thickBot="1" x14ac:dyDescent="0.3">
      <c r="A139" s="41"/>
      <c r="B139" s="41"/>
      <c r="C139" s="276"/>
      <c r="D139" s="100" t="s">
        <v>153</v>
      </c>
      <c r="E139" s="100" t="s">
        <v>168</v>
      </c>
      <c r="F139" s="48">
        <v>100</v>
      </c>
      <c r="G139" s="48"/>
      <c r="H139" s="48"/>
      <c r="I139" s="48"/>
      <c r="J139" s="48"/>
      <c r="K139" s="48"/>
      <c r="L139" s="48"/>
      <c r="M139" s="141"/>
      <c r="N139" s="48"/>
      <c r="O139" s="48"/>
      <c r="P139" s="48"/>
      <c r="Q139" s="48"/>
      <c r="R139" s="48"/>
      <c r="S139" s="48">
        <f t="shared" si="30"/>
        <v>100</v>
      </c>
      <c r="T139" s="283"/>
      <c r="V139" s="52">
        <f>S139-S120</f>
        <v>-15900</v>
      </c>
    </row>
    <row r="140" spans="1:23" ht="15" customHeight="1" x14ac:dyDescent="0.25">
      <c r="D140" s="101" t="s">
        <v>120</v>
      </c>
      <c r="E140" s="101" t="s">
        <v>120</v>
      </c>
      <c r="F140" s="64">
        <f>SUM(F123:F139)</f>
        <v>39530</v>
      </c>
      <c r="G140" s="64">
        <f>SUM(G123:G139)</f>
        <v>0</v>
      </c>
      <c r="H140" s="64">
        <f>SUM(H123:H139)</f>
        <v>42635</v>
      </c>
      <c r="I140" s="64">
        <f t="shared" ref="I140:P140" si="32">SUM(I123:I139)</f>
        <v>6771</v>
      </c>
      <c r="J140" s="64">
        <f t="shared" si="32"/>
        <v>0</v>
      </c>
      <c r="K140" s="64">
        <f t="shared" si="32"/>
        <v>2780</v>
      </c>
      <c r="L140" s="64">
        <f t="shared" si="32"/>
        <v>2453</v>
      </c>
      <c r="M140" s="150">
        <f t="shared" si="32"/>
        <v>17681</v>
      </c>
      <c r="N140" s="64">
        <f t="shared" si="32"/>
        <v>0</v>
      </c>
      <c r="O140" s="64">
        <f t="shared" si="32"/>
        <v>9260</v>
      </c>
      <c r="P140" s="64">
        <f t="shared" si="32"/>
        <v>47</v>
      </c>
      <c r="Q140" s="64">
        <f>SUM(Q123:Q139)</f>
        <v>17891</v>
      </c>
      <c r="R140" s="64">
        <f>SUM(R123:R139)</f>
        <v>0</v>
      </c>
      <c r="S140" s="54">
        <f>SUM(S123:S139)</f>
        <v>139048</v>
      </c>
    </row>
    <row r="141" spans="1:23" ht="15.75" customHeight="1" thickBot="1" x14ac:dyDescent="0.3">
      <c r="M141" s="151"/>
    </row>
    <row r="142" spans="1:23" ht="17.25" x14ac:dyDescent="0.25">
      <c r="A142" s="166" t="s">
        <v>188</v>
      </c>
      <c r="B142" s="167">
        <f>B123+1</f>
        <v>202408</v>
      </c>
      <c r="C142" s="275">
        <v>202408</v>
      </c>
      <c r="D142" s="94" t="s">
        <v>151</v>
      </c>
      <c r="E142" s="177" t="s">
        <v>252</v>
      </c>
      <c r="F142" s="60">
        <f>120+70+100+60+500+140+300+110+480+1224+358</f>
        <v>3462</v>
      </c>
      <c r="G142" s="59"/>
      <c r="H142" s="59">
        <f>360+80+270+385+517+100+30+120+120+534+190+40</f>
        <v>2746</v>
      </c>
      <c r="I142" s="60">
        <f>70+30+145+70</f>
        <v>315</v>
      </c>
      <c r="J142" s="59"/>
      <c r="K142" s="60">
        <f>190+520</f>
        <v>710</v>
      </c>
      <c r="L142" s="60">
        <v>482</v>
      </c>
      <c r="M142" s="148">
        <f>90+105+160</f>
        <v>355</v>
      </c>
      <c r="N142" s="60"/>
      <c r="O142" s="60">
        <f>260+290</f>
        <v>550</v>
      </c>
      <c r="P142" s="60">
        <v>190</v>
      </c>
      <c r="Q142" s="60">
        <f>2000+2000+2000+2000</f>
        <v>8000</v>
      </c>
      <c r="R142" s="60"/>
      <c r="S142" s="44">
        <f t="shared" ref="S142:S158" si="33">SUM(F142:R142)</f>
        <v>16810</v>
      </c>
      <c r="T142" s="277">
        <f>SUM(S142:S148)</f>
        <v>28457</v>
      </c>
    </row>
    <row r="143" spans="1:23" ht="15" customHeight="1" thickBot="1" x14ac:dyDescent="0.3">
      <c r="A143" s="164" t="s">
        <v>247</v>
      </c>
      <c r="B143" s="162">
        <f>$J$2</f>
        <v>185000</v>
      </c>
      <c r="C143" s="275"/>
      <c r="D143" s="95" t="s">
        <v>151</v>
      </c>
      <c r="E143" s="176" t="s">
        <v>251</v>
      </c>
      <c r="F143" s="79"/>
      <c r="G143" s="78"/>
      <c r="H143" s="78"/>
      <c r="I143" s="79"/>
      <c r="J143" s="78"/>
      <c r="K143" s="79"/>
      <c r="L143" s="79"/>
      <c r="M143" s="149"/>
      <c r="N143" s="79"/>
      <c r="O143" s="79"/>
      <c r="P143" s="79"/>
      <c r="Q143" s="79"/>
      <c r="R143" s="79"/>
      <c r="S143" s="80">
        <f t="shared" si="33"/>
        <v>0</v>
      </c>
      <c r="T143" s="278"/>
    </row>
    <row r="144" spans="1:23" ht="15" customHeight="1" thickTop="1" x14ac:dyDescent="0.25">
      <c r="A144" s="165" t="s">
        <v>237</v>
      </c>
      <c r="B144" s="182">
        <f>SUMPRODUCT((($V$10:$V$21)&lt;=VALUE(B142))*($Z$10:$Z$21))</f>
        <v>1666843.5</v>
      </c>
      <c r="C144" s="275"/>
      <c r="D144" s="95" t="s">
        <v>151</v>
      </c>
      <c r="E144" s="176" t="s">
        <v>254</v>
      </c>
      <c r="F144" s="79"/>
      <c r="G144" s="78"/>
      <c r="H144" s="78">
        <v>799</v>
      </c>
      <c r="I144" s="79"/>
      <c r="J144" s="78"/>
      <c r="K144" s="79"/>
      <c r="L144" s="79"/>
      <c r="M144" s="149"/>
      <c r="N144" s="79"/>
      <c r="O144" s="79"/>
      <c r="P144" s="79"/>
      <c r="Q144" s="79">
        <f>11000-7000</f>
        <v>4000</v>
      </c>
      <c r="R144" s="79"/>
      <c r="S144" s="80">
        <f t="shared" si="33"/>
        <v>4799</v>
      </c>
      <c r="T144" s="278"/>
    </row>
    <row r="145" spans="1:20" ht="15" customHeight="1" x14ac:dyDescent="0.25">
      <c r="A145" s="165" t="s">
        <v>264</v>
      </c>
      <c r="B145" s="181">
        <f>B144/SUMPRODUCT(('2024'!$V$10:$V$21&lt;='2024'!B142)*'2023'!$Z$10:$Z$21)</f>
        <v>1.0124964237358247</v>
      </c>
      <c r="C145" s="275"/>
      <c r="D145" s="95" t="s">
        <v>151</v>
      </c>
      <c r="E145" s="176" t="s">
        <v>255</v>
      </c>
      <c r="F145" s="79">
        <f>600+200</f>
        <v>800</v>
      </c>
      <c r="G145" s="78"/>
      <c r="H145" s="78"/>
      <c r="I145" s="79">
        <v>19</v>
      </c>
      <c r="J145" s="79">
        <f>519+1000</f>
        <v>1519</v>
      </c>
      <c r="K145" s="79"/>
      <c r="L145" s="79"/>
      <c r="M145" s="149">
        <f>534+599</f>
        <v>1133</v>
      </c>
      <c r="N145" s="79"/>
      <c r="O145" s="79"/>
      <c r="P145" s="79"/>
      <c r="Q145" s="79">
        <v>597</v>
      </c>
      <c r="R145" s="79"/>
      <c r="S145" s="80">
        <f t="shared" si="33"/>
        <v>4068</v>
      </c>
      <c r="T145" s="278"/>
    </row>
    <row r="146" spans="1:20" ht="15" customHeight="1" x14ac:dyDescent="0.25">
      <c r="A146" s="165" t="s">
        <v>296</v>
      </c>
      <c r="B146" s="186">
        <f>B144-SUMPRODUCT((($AD$10:$AD$21)&lt;=VALUE(B142))*($AQ$10:$AQ$21))</f>
        <v>955633</v>
      </c>
      <c r="C146" s="275"/>
      <c r="D146" s="96" t="s">
        <v>151</v>
      </c>
      <c r="E146" s="176" t="s">
        <v>256</v>
      </c>
      <c r="F146" s="79"/>
      <c r="G146" s="78"/>
      <c r="H146" s="78"/>
      <c r="I146" s="78">
        <v>2780</v>
      </c>
      <c r="J146" s="78"/>
      <c r="K146" s="79"/>
      <c r="L146" s="79"/>
      <c r="M146" s="149"/>
      <c r="N146" s="79"/>
      <c r="O146" s="79"/>
      <c r="P146" s="79"/>
      <c r="Q146" s="79"/>
      <c r="R146" s="79"/>
      <c r="S146" s="80">
        <f t="shared" si="33"/>
        <v>2780</v>
      </c>
      <c r="T146" s="278"/>
    </row>
    <row r="147" spans="1:20" ht="15" customHeight="1" x14ac:dyDescent="0.25">
      <c r="A147" s="164" t="s">
        <v>242</v>
      </c>
      <c r="B147" s="157">
        <f>B144/($J$2*12)</f>
        <v>0.75083040540540535</v>
      </c>
      <c r="C147" s="275"/>
      <c r="D147" s="95" t="s">
        <v>151</v>
      </c>
      <c r="E147" s="176" t="s">
        <v>257</v>
      </c>
      <c r="F147" s="79"/>
      <c r="G147" s="78"/>
      <c r="H147" s="78"/>
      <c r="I147" s="79"/>
      <c r="J147" s="78"/>
      <c r="K147" s="79"/>
      <c r="L147" s="79"/>
      <c r="M147" s="149"/>
      <c r="N147" s="79"/>
      <c r="O147" s="79"/>
      <c r="P147" s="79"/>
      <c r="Q147" s="79"/>
      <c r="R147" s="79"/>
      <c r="S147" s="80">
        <f t="shared" si="33"/>
        <v>0</v>
      </c>
      <c r="T147" s="278"/>
    </row>
    <row r="148" spans="1:20" ht="15" customHeight="1" x14ac:dyDescent="0.25">
      <c r="A148" s="164" t="s">
        <v>282</v>
      </c>
      <c r="B148" s="126">
        <f>VALUE(RIGHT(B142,2))/12</f>
        <v>0.66666666666666663</v>
      </c>
      <c r="C148" s="275"/>
      <c r="D148" s="95" t="s">
        <v>151</v>
      </c>
      <c r="E148" s="176" t="s">
        <v>263</v>
      </c>
      <c r="F148" s="78"/>
      <c r="G148" s="78"/>
      <c r="H148" s="78"/>
      <c r="I148" s="79"/>
      <c r="J148" s="78"/>
      <c r="K148" s="79"/>
      <c r="L148" s="79"/>
      <c r="M148" s="149"/>
      <c r="N148" s="79"/>
      <c r="O148" s="79"/>
      <c r="P148" s="79"/>
      <c r="Q148" s="79"/>
      <c r="R148" s="79"/>
      <c r="S148" s="80">
        <f t="shared" si="33"/>
        <v>0</v>
      </c>
      <c r="T148" s="279"/>
    </row>
    <row r="149" spans="1:20" ht="15" customHeight="1" x14ac:dyDescent="0.25">
      <c r="A149" s="164" t="s">
        <v>243</v>
      </c>
      <c r="B149" s="161">
        <f>B143*VALUE(RIGHT(B142,2))-B144</f>
        <v>-186843.5</v>
      </c>
      <c r="C149" s="275"/>
      <c r="D149" s="97" t="s">
        <v>152</v>
      </c>
      <c r="E149" s="97" t="s">
        <v>144</v>
      </c>
      <c r="F149" s="85"/>
      <c r="G149" s="46"/>
      <c r="H149" s="85"/>
      <c r="I149" s="46"/>
      <c r="J149" s="46"/>
      <c r="K149" s="46"/>
      <c r="L149" s="46"/>
      <c r="M149" s="152"/>
      <c r="N149" s="46"/>
      <c r="O149" s="86"/>
      <c r="P149" s="46"/>
      <c r="Q149" s="46"/>
      <c r="R149" s="46"/>
      <c r="S149" s="83">
        <f t="shared" si="33"/>
        <v>0</v>
      </c>
      <c r="T149" s="280">
        <f>SUM(S149:S153)</f>
        <v>802</v>
      </c>
    </row>
    <row r="150" spans="1:20" ht="15" customHeight="1" x14ac:dyDescent="0.25">
      <c r="A150" s="164" t="s">
        <v>265</v>
      </c>
      <c r="B150" s="184">
        <f>$J$2-(S159)</f>
        <v>-328173.5</v>
      </c>
      <c r="C150" s="275"/>
      <c r="D150" s="97" t="s">
        <v>152</v>
      </c>
      <c r="E150" s="97" t="s">
        <v>145</v>
      </c>
      <c r="F150" s="85"/>
      <c r="G150" s="46"/>
      <c r="H150" s="85"/>
      <c r="I150" s="46"/>
      <c r="J150" s="46"/>
      <c r="K150" s="46"/>
      <c r="L150" s="46"/>
      <c r="M150" s="152"/>
      <c r="N150" s="46"/>
      <c r="O150" s="86"/>
      <c r="P150" s="46"/>
      <c r="Q150" s="46"/>
      <c r="R150" s="46"/>
      <c r="S150" s="83">
        <f t="shared" si="33"/>
        <v>0</v>
      </c>
      <c r="T150" s="281"/>
    </row>
    <row r="151" spans="1:20" ht="15" customHeight="1" x14ac:dyDescent="0.25">
      <c r="C151" s="275"/>
      <c r="D151" s="97" t="s">
        <v>152</v>
      </c>
      <c r="E151" s="97" t="s">
        <v>146</v>
      </c>
      <c r="F151" s="86"/>
      <c r="G151" s="46"/>
      <c r="H151" s="87"/>
      <c r="I151" s="46"/>
      <c r="J151" s="46"/>
      <c r="K151" s="46"/>
      <c r="L151" s="46"/>
      <c r="M151" s="152"/>
      <c r="N151" s="46"/>
      <c r="O151" s="86"/>
      <c r="P151" s="46"/>
      <c r="Q151" s="46"/>
      <c r="R151" s="46"/>
      <c r="S151" s="83">
        <f t="shared" si="33"/>
        <v>0</v>
      </c>
      <c r="T151" s="281"/>
    </row>
    <row r="152" spans="1:20" ht="15" customHeight="1" x14ac:dyDescent="0.25">
      <c r="C152" s="275"/>
      <c r="D152" s="97" t="s">
        <v>152</v>
      </c>
      <c r="E152" s="97" t="s">
        <v>147</v>
      </c>
      <c r="F152" s="85"/>
      <c r="G152" s="46"/>
      <c r="H152" s="87"/>
      <c r="I152" s="46"/>
      <c r="J152" s="46"/>
      <c r="K152" s="46"/>
      <c r="L152" s="46"/>
      <c r="M152" s="152"/>
      <c r="N152" s="46"/>
      <c r="O152" s="86"/>
      <c r="P152" s="46"/>
      <c r="Q152" s="86"/>
      <c r="R152" s="46"/>
      <c r="S152" s="83">
        <f t="shared" si="33"/>
        <v>0</v>
      </c>
      <c r="T152" s="281"/>
    </row>
    <row r="153" spans="1:20" ht="15" customHeight="1" x14ac:dyDescent="0.25">
      <c r="C153" s="275"/>
      <c r="D153" s="97" t="s">
        <v>152</v>
      </c>
      <c r="E153" s="97" t="s">
        <v>168</v>
      </c>
      <c r="F153" s="85">
        <v>100</v>
      </c>
      <c r="G153" s="46"/>
      <c r="H153" s="46"/>
      <c r="I153" s="46"/>
      <c r="J153" s="46"/>
      <c r="K153" s="46"/>
      <c r="L153" s="46"/>
      <c r="M153" s="152">
        <v>702</v>
      </c>
      <c r="N153" s="46"/>
      <c r="O153" s="86"/>
      <c r="P153" s="46"/>
      <c r="Q153" s="46"/>
      <c r="R153" s="46"/>
      <c r="S153" s="83">
        <f t="shared" si="33"/>
        <v>802</v>
      </c>
      <c r="T153" s="281"/>
    </row>
    <row r="154" spans="1:20" ht="15" customHeight="1" x14ac:dyDescent="0.25">
      <c r="C154" s="275"/>
      <c r="D154" s="98" t="s">
        <v>153</v>
      </c>
      <c r="E154" s="98" t="s">
        <v>170</v>
      </c>
      <c r="F154" s="81">
        <f>494+960+1138+6825+200+650+130+516+293+1625+242+528+40</f>
        <v>13641</v>
      </c>
      <c r="G154" s="81"/>
      <c r="H154" s="81">
        <f>53119+2636+39+44644+669+47264+684*4+10*4+860+95+95+95+93+94+1+93+1+93+93+93+3+92+1+7664+115+146+339+389+748+2+5+6+11+311+5+1184+18+96+190+170+94+94+1+1+95+95+95+123+475+1375+381+21+6+321+648+5+9+282+646+130+194+940+329+5+9+9+14+517+185+572+371+9+17+564+94+94+94+129+517+207+775+1054+281+633+1037+1652+1255+15+16+19+27+7+8+9+12+9+3+2631+111+39+2595+7743+94+387+1432+21+39+122+1+2933+44+146+5451+352+224+1041+3271+1520+608+17+26+49+6+82+9+447+3196+93+93+93+93+93+93+93+93+383+512+2279+34+48+12+10+6+208+382+435+9+6+1537+2236+2566+1078+480+209+2762+16+23+36+39+49+129+428+245+3+30+64+6+12741</f>
        <v>245309</v>
      </c>
      <c r="I154" s="81">
        <f>200+2699</f>
        <v>2899</v>
      </c>
      <c r="J154" s="81"/>
      <c r="K154" s="81"/>
      <c r="L154" s="81">
        <f>4233+51+3369+63</f>
        <v>7716</v>
      </c>
      <c r="M154" s="81">
        <f>53035+910+861+759+125+203+316+292+414+141+3+5+4+6+2+1241+345+19+5+94+221+662+1+3+10+1035+1+16+528+8+94+1+422+6+141+2+2652+40+2366+35+884+13+5016+75+670+10+960+14+494+7+1149+17+274+4+9097+136+973+15+4959+74+1770+27+1440+22+192+3+1162+17+5258+79+1356+20+195+3+1026+92+707+11+8656+130</f>
        <v>114031</v>
      </c>
      <c r="N154" s="81"/>
      <c r="O154" s="81">
        <f>94+550+778+94+1885+650+5200+27138+1495+975+8940+1235+2080+2136+1755+552.5+94+1591+9100+1057+12870+14950+94+94+94+553+94+423</f>
        <v>96571.5</v>
      </c>
      <c r="P154" s="81">
        <f>885+13+1803+27</f>
        <v>2728</v>
      </c>
      <c r="Q154" s="81"/>
      <c r="R154" s="81"/>
      <c r="S154" s="81">
        <f t="shared" si="33"/>
        <v>482895.5</v>
      </c>
      <c r="T154" s="282">
        <f>SUM(S154:S158)</f>
        <v>483914.5</v>
      </c>
    </row>
    <row r="155" spans="1:20" ht="15" customHeight="1" x14ac:dyDescent="0.25">
      <c r="C155" s="275"/>
      <c r="D155" s="99" t="s">
        <v>153</v>
      </c>
      <c r="E155" s="99" t="s">
        <v>171</v>
      </c>
      <c r="F155" s="82"/>
      <c r="G155" s="82"/>
      <c r="H155" s="82"/>
      <c r="I155" s="82"/>
      <c r="J155" s="82"/>
      <c r="K155" s="82"/>
      <c r="L155" s="82"/>
      <c r="M155" s="140"/>
      <c r="N155" s="82"/>
      <c r="O155" s="82"/>
      <c r="P155" s="82"/>
      <c r="Q155" s="82"/>
      <c r="R155" s="82"/>
      <c r="S155" s="82">
        <f t="shared" si="33"/>
        <v>0</v>
      </c>
      <c r="T155" s="283"/>
    </row>
    <row r="156" spans="1:20" ht="15" customHeight="1" x14ac:dyDescent="0.25">
      <c r="C156" s="275"/>
      <c r="D156" s="99" t="s">
        <v>153</v>
      </c>
      <c r="E156" s="99" t="s">
        <v>172</v>
      </c>
      <c r="F156" s="82"/>
      <c r="G156" s="82"/>
      <c r="H156" s="82"/>
      <c r="I156" s="82"/>
      <c r="J156" s="82"/>
      <c r="K156" s="82"/>
      <c r="L156" s="82"/>
      <c r="M156" s="140"/>
      <c r="N156" s="82"/>
      <c r="O156" s="82"/>
      <c r="P156" s="82"/>
      <c r="Q156" s="82"/>
      <c r="R156" s="82"/>
      <c r="S156" s="82">
        <f t="shared" si="33"/>
        <v>0</v>
      </c>
      <c r="T156" s="283"/>
    </row>
    <row r="157" spans="1:20" s="41" customFormat="1" ht="15" customHeight="1" x14ac:dyDescent="0.25">
      <c r="A157" s="45"/>
      <c r="B157" s="52"/>
      <c r="C157" s="276"/>
      <c r="D157" s="99" t="s">
        <v>153</v>
      </c>
      <c r="E157" s="99" t="s">
        <v>173</v>
      </c>
      <c r="F157" s="82"/>
      <c r="G157" s="82"/>
      <c r="H157" s="82"/>
      <c r="I157" s="82"/>
      <c r="J157" s="82">
        <v>1019</v>
      </c>
      <c r="K157" s="82"/>
      <c r="L157" s="82"/>
      <c r="M157" s="140"/>
      <c r="N157" s="82"/>
      <c r="O157" s="82"/>
      <c r="P157" s="82"/>
      <c r="Q157" s="82"/>
      <c r="R157" s="82"/>
      <c r="S157" s="82">
        <f t="shared" si="33"/>
        <v>1019</v>
      </c>
      <c r="T157" s="283"/>
    </row>
    <row r="158" spans="1:20" ht="15.75" customHeight="1" thickBot="1" x14ac:dyDescent="0.3">
      <c r="A158" s="41"/>
      <c r="B158" s="163"/>
      <c r="C158" s="276"/>
      <c r="D158" s="100" t="s">
        <v>153</v>
      </c>
      <c r="E158" s="100" t="s">
        <v>168</v>
      </c>
      <c r="F158" s="48"/>
      <c r="G158" s="48"/>
      <c r="H158" s="48"/>
      <c r="I158" s="48"/>
      <c r="J158" s="48"/>
      <c r="K158" s="48"/>
      <c r="L158" s="48"/>
      <c r="M158" s="141"/>
      <c r="N158" s="48"/>
      <c r="O158" s="48"/>
      <c r="P158" s="48"/>
      <c r="Q158" s="48"/>
      <c r="R158" s="48"/>
      <c r="S158" s="48">
        <f t="shared" si="33"/>
        <v>0</v>
      </c>
      <c r="T158" s="283"/>
    </row>
    <row r="159" spans="1:20" ht="15" customHeight="1" x14ac:dyDescent="0.25">
      <c r="D159" s="101" t="s">
        <v>120</v>
      </c>
      <c r="E159" s="101" t="s">
        <v>120</v>
      </c>
      <c r="F159" s="64">
        <f>SUM(F142:F158)</f>
        <v>18003</v>
      </c>
      <c r="G159" s="64">
        <f>SUM(G142:G158)</f>
        <v>0</v>
      </c>
      <c r="H159" s="64">
        <f>SUM(H142:H158)</f>
        <v>248854</v>
      </c>
      <c r="I159" s="64">
        <f t="shared" ref="I159:P159" si="34">SUM(I142:I158)</f>
        <v>6013</v>
      </c>
      <c r="J159" s="64">
        <f t="shared" si="34"/>
        <v>2538</v>
      </c>
      <c r="K159" s="64">
        <f t="shared" si="34"/>
        <v>710</v>
      </c>
      <c r="L159" s="64">
        <f t="shared" si="34"/>
        <v>8198</v>
      </c>
      <c r="M159" s="150">
        <f t="shared" si="34"/>
        <v>116221</v>
      </c>
      <c r="N159" s="64">
        <f t="shared" si="34"/>
        <v>0</v>
      </c>
      <c r="O159" s="64">
        <f t="shared" si="34"/>
        <v>97121.5</v>
      </c>
      <c r="P159" s="64">
        <f t="shared" si="34"/>
        <v>2918</v>
      </c>
      <c r="Q159" s="64">
        <f>SUM(Q142:Q158)</f>
        <v>12597</v>
      </c>
      <c r="R159" s="64">
        <f>SUM(R142:R158)</f>
        <v>0</v>
      </c>
      <c r="S159" s="54">
        <f>SUM(S142:S158)</f>
        <v>513173.5</v>
      </c>
    </row>
    <row r="160" spans="1:20" ht="15.75" customHeight="1" thickBot="1" x14ac:dyDescent="0.3">
      <c r="M160" s="151"/>
    </row>
    <row r="161" spans="1:20" ht="17.25" x14ac:dyDescent="0.25">
      <c r="A161" s="166" t="s">
        <v>188</v>
      </c>
      <c r="B161" s="167">
        <f>C161</f>
        <v>202409</v>
      </c>
      <c r="C161" s="275">
        <v>202409</v>
      </c>
      <c r="D161" s="94" t="s">
        <v>151</v>
      </c>
      <c r="E161" s="177" t="s">
        <v>252</v>
      </c>
      <c r="F161" s="60">
        <f>41+306+375+77+90+100+104+80+1221+191+75+235+765+179+900+80</f>
        <v>4819</v>
      </c>
      <c r="G161" s="59"/>
      <c r="H161" s="59">
        <f>530+190+64+120+400+3+76+630+120+20+27+56+179+72+29+119+37+35</f>
        <v>2707</v>
      </c>
      <c r="I161" s="60">
        <f>30+95</f>
        <v>125</v>
      </c>
      <c r="J161" s="59"/>
      <c r="K161" s="60">
        <v>2000</v>
      </c>
      <c r="L161" s="60">
        <f>181+1256</f>
        <v>1437</v>
      </c>
      <c r="M161" s="148">
        <f>235+85+143+121+77+121+135+524+25+580+236</f>
        <v>2282</v>
      </c>
      <c r="N161" s="60">
        <f>216+352</f>
        <v>568</v>
      </c>
      <c r="O161" s="60"/>
      <c r="P161" s="60">
        <f>590+720</f>
        <v>1310</v>
      </c>
      <c r="Q161" s="60">
        <f>2000+2000+2000+2000</f>
        <v>8000</v>
      </c>
      <c r="R161" s="60"/>
      <c r="S161" s="44">
        <f t="shared" ref="S161:S177" si="35">SUM(F161:R161)</f>
        <v>23248</v>
      </c>
      <c r="T161" s="277">
        <f>SUM(S161:S167)</f>
        <v>115276</v>
      </c>
    </row>
    <row r="162" spans="1:20" ht="15" customHeight="1" thickBot="1" x14ac:dyDescent="0.3">
      <c r="A162" s="164" t="s">
        <v>247</v>
      </c>
      <c r="B162" s="162">
        <f>$J$2</f>
        <v>185000</v>
      </c>
      <c r="C162" s="275"/>
      <c r="D162" s="95" t="s">
        <v>151</v>
      </c>
      <c r="E162" s="176" t="s">
        <v>251</v>
      </c>
      <c r="F162" s="79">
        <v>649</v>
      </c>
      <c r="G162" s="78"/>
      <c r="H162" s="78"/>
      <c r="I162" s="79"/>
      <c r="J162" s="78"/>
      <c r="K162" s="79"/>
      <c r="L162" s="79"/>
      <c r="M162" s="149"/>
      <c r="N162" s="79"/>
      <c r="O162" s="79"/>
      <c r="P162" s="79"/>
      <c r="Q162" s="79"/>
      <c r="R162" s="79"/>
      <c r="S162" s="80">
        <f t="shared" si="35"/>
        <v>649</v>
      </c>
      <c r="T162" s="278"/>
    </row>
    <row r="163" spans="1:20" ht="15" customHeight="1" thickTop="1" x14ac:dyDescent="0.25">
      <c r="A163" s="165" t="s">
        <v>237</v>
      </c>
      <c r="B163" s="182">
        <f>SUMPRODUCT((($V$10:$V$21)&lt;=VALUE(B161))*($Z$10:$Z$21))</f>
        <v>1940345.5</v>
      </c>
      <c r="C163" s="275"/>
      <c r="D163" s="95" t="s">
        <v>151</v>
      </c>
      <c r="E163" s="176" t="s">
        <v>254</v>
      </c>
      <c r="F163" s="79"/>
      <c r="G163" s="78"/>
      <c r="H163" s="78">
        <f>2532+1760</f>
        <v>4292</v>
      </c>
      <c r="I163" s="79"/>
      <c r="J163" s="78"/>
      <c r="K163" s="79"/>
      <c r="L163" s="79"/>
      <c r="M163" s="149"/>
      <c r="N163" s="79"/>
      <c r="O163" s="79"/>
      <c r="P163" s="79"/>
      <c r="Q163" s="79">
        <f>11000-7000+1482+2426</f>
        <v>7908</v>
      </c>
      <c r="R163" s="79"/>
      <c r="S163" s="80">
        <f t="shared" si="35"/>
        <v>12200</v>
      </c>
      <c r="T163" s="278"/>
    </row>
    <row r="164" spans="1:20" ht="15" customHeight="1" x14ac:dyDescent="0.25">
      <c r="A164" s="165" t="s">
        <v>264</v>
      </c>
      <c r="B164" s="181">
        <f>B163/SUMPRODUCT(('2024'!$V$10:$V$21&lt;='2024'!B161)*'2023'!$Z$10:$Z$21)</f>
        <v>1.0567858625050515</v>
      </c>
      <c r="C164" s="275"/>
      <c r="D164" s="95" t="s">
        <v>151</v>
      </c>
      <c r="E164" s="176" t="s">
        <v>255</v>
      </c>
      <c r="F164" s="79">
        <f>561+700+200+20+66+140+180</f>
        <v>1867</v>
      </c>
      <c r="G164" s="78"/>
      <c r="H164" s="78">
        <f>76+698+45+500+529</f>
        <v>1848</v>
      </c>
      <c r="I164" s="79"/>
      <c r="J164" s="78"/>
      <c r="K164" s="79"/>
      <c r="L164" s="79"/>
      <c r="M164" s="149">
        <f>608+449</f>
        <v>1057</v>
      </c>
      <c r="N164" s="79"/>
      <c r="O164" s="79">
        <f>1150+1496</f>
        <v>2646</v>
      </c>
      <c r="P164" s="79"/>
      <c r="Q164" s="79">
        <f>356+448</f>
        <v>804</v>
      </c>
      <c r="R164" s="79"/>
      <c r="S164" s="80">
        <f t="shared" si="35"/>
        <v>8222</v>
      </c>
      <c r="T164" s="278"/>
    </row>
    <row r="165" spans="1:20" ht="15" customHeight="1" x14ac:dyDescent="0.25">
      <c r="A165" s="165" t="s">
        <v>296</v>
      </c>
      <c r="B165" s="186">
        <f>B163-SUMPRODUCT((($AD$10:$AD$21)&lt;=VALUE(B161))*($AQ$10:$AQ$21))</f>
        <v>1072809</v>
      </c>
      <c r="C165" s="275"/>
      <c r="D165" s="96" t="s">
        <v>151</v>
      </c>
      <c r="E165" s="176" t="s">
        <v>256</v>
      </c>
      <c r="F165" s="79">
        <f>9500+31100+7200+500</f>
        <v>48300</v>
      </c>
      <c r="G165" s="78"/>
      <c r="H165" s="78">
        <f>3203+7635+48</f>
        <v>10886</v>
      </c>
      <c r="I165" s="78"/>
      <c r="J165" s="78"/>
      <c r="K165" s="79"/>
      <c r="L165" s="79"/>
      <c r="M165" s="149"/>
      <c r="N165" s="79"/>
      <c r="O165" s="79"/>
      <c r="P165" s="79"/>
      <c r="Q165" s="79"/>
      <c r="R165" s="79"/>
      <c r="S165" s="80">
        <f t="shared" si="35"/>
        <v>59186</v>
      </c>
      <c r="T165" s="278"/>
    </row>
    <row r="166" spans="1:20" ht="15" customHeight="1" x14ac:dyDescent="0.25">
      <c r="A166" s="164" t="s">
        <v>242</v>
      </c>
      <c r="B166" s="157">
        <f>B163/($J$2*12)</f>
        <v>0.87402950450450445</v>
      </c>
      <c r="C166" s="275"/>
      <c r="D166" s="95" t="s">
        <v>151</v>
      </c>
      <c r="E166" s="176" t="s">
        <v>257</v>
      </c>
      <c r="F166" s="79">
        <f>7300+2171+900+900</f>
        <v>11271</v>
      </c>
      <c r="G166" s="78"/>
      <c r="H166" s="78"/>
      <c r="I166" s="79"/>
      <c r="J166" s="78"/>
      <c r="K166" s="79"/>
      <c r="L166" s="79"/>
      <c r="M166" s="149"/>
      <c r="N166" s="79"/>
      <c r="O166" s="79"/>
      <c r="P166" s="79"/>
      <c r="Q166" s="79"/>
      <c r="R166" s="79"/>
      <c r="S166" s="80">
        <f t="shared" si="35"/>
        <v>11271</v>
      </c>
      <c r="T166" s="278"/>
    </row>
    <row r="167" spans="1:20" ht="15" customHeight="1" x14ac:dyDescent="0.25">
      <c r="A167" s="164" t="s">
        <v>282</v>
      </c>
      <c r="B167" s="126">
        <f>VALUE(RIGHT(B161,2))/12</f>
        <v>0.75</v>
      </c>
      <c r="C167" s="275"/>
      <c r="D167" s="95" t="s">
        <v>151</v>
      </c>
      <c r="E167" s="176" t="s">
        <v>263</v>
      </c>
      <c r="F167" s="78">
        <v>200</v>
      </c>
      <c r="G167" s="78"/>
      <c r="H167" s="78"/>
      <c r="I167" s="79"/>
      <c r="J167" s="78"/>
      <c r="K167" s="79"/>
      <c r="L167" s="79"/>
      <c r="M167" s="149"/>
      <c r="N167" s="79"/>
      <c r="O167" s="79"/>
      <c r="P167" s="79"/>
      <c r="Q167" s="79">
        <v>300</v>
      </c>
      <c r="R167" s="79"/>
      <c r="S167" s="80">
        <f t="shared" si="35"/>
        <v>500</v>
      </c>
      <c r="T167" s="279"/>
    </row>
    <row r="168" spans="1:20" ht="15" customHeight="1" x14ac:dyDescent="0.25">
      <c r="A168" s="164" t="s">
        <v>243</v>
      </c>
      <c r="B168" s="161">
        <f>B162*VALUE(RIGHT(B161,2))-B163</f>
        <v>-275345.5</v>
      </c>
      <c r="C168" s="275"/>
      <c r="D168" s="97" t="s">
        <v>152</v>
      </c>
      <c r="E168" s="97" t="s">
        <v>144</v>
      </c>
      <c r="F168" s="85">
        <v>1900</v>
      </c>
      <c r="G168" s="46"/>
      <c r="H168" s="85"/>
      <c r="I168" s="46"/>
      <c r="J168" s="46"/>
      <c r="K168" s="46"/>
      <c r="L168" s="46"/>
      <c r="M168" s="152"/>
      <c r="N168" s="46"/>
      <c r="O168" s="89"/>
      <c r="P168" s="46"/>
      <c r="Q168" s="46"/>
      <c r="R168" s="46"/>
      <c r="S168" s="83">
        <f t="shared" si="35"/>
        <v>1900</v>
      </c>
      <c r="T168" s="280">
        <f>SUM(S168:S172)</f>
        <v>1900</v>
      </c>
    </row>
    <row r="169" spans="1:20" ht="15" customHeight="1" x14ac:dyDescent="0.25">
      <c r="A169" s="164" t="s">
        <v>265</v>
      </c>
      <c r="B169" s="184">
        <f>$J$2-(S178)</f>
        <v>-88502</v>
      </c>
      <c r="C169" s="275"/>
      <c r="D169" s="97" t="s">
        <v>152</v>
      </c>
      <c r="E169" s="97" t="s">
        <v>145</v>
      </c>
      <c r="F169" s="85"/>
      <c r="G169" s="46"/>
      <c r="H169" s="85"/>
      <c r="I169" s="46"/>
      <c r="J169" s="46"/>
      <c r="K169" s="46"/>
      <c r="L169" s="46"/>
      <c r="M169" s="152"/>
      <c r="N169" s="46"/>
      <c r="O169" s="46"/>
      <c r="P169" s="46"/>
      <c r="Q169" s="46"/>
      <c r="R169" s="46"/>
      <c r="S169" s="83">
        <f t="shared" si="35"/>
        <v>0</v>
      </c>
      <c r="T169" s="281"/>
    </row>
    <row r="170" spans="1:20" ht="15" customHeight="1" x14ac:dyDescent="0.25">
      <c r="C170" s="275"/>
      <c r="D170" s="97" t="s">
        <v>152</v>
      </c>
      <c r="E170" s="97" t="s">
        <v>146</v>
      </c>
      <c r="F170" s="85"/>
      <c r="G170" s="46"/>
      <c r="H170" s="87"/>
      <c r="I170" s="46"/>
      <c r="J170" s="46"/>
      <c r="K170" s="46"/>
      <c r="L170" s="46"/>
      <c r="M170" s="152"/>
      <c r="N170" s="46"/>
      <c r="O170" s="46"/>
      <c r="P170" s="46"/>
      <c r="Q170" s="46"/>
      <c r="R170" s="46"/>
      <c r="S170" s="83">
        <f t="shared" si="35"/>
        <v>0</v>
      </c>
      <c r="T170" s="281"/>
    </row>
    <row r="171" spans="1:20" ht="15" customHeight="1" x14ac:dyDescent="0.25">
      <c r="C171" s="275"/>
      <c r="D171" s="97" t="s">
        <v>152</v>
      </c>
      <c r="E171" s="97" t="s">
        <v>147</v>
      </c>
      <c r="F171" s="85"/>
      <c r="G171" s="46"/>
      <c r="H171" s="87"/>
      <c r="I171" s="46"/>
      <c r="J171" s="46"/>
      <c r="K171" s="46"/>
      <c r="L171" s="46"/>
      <c r="M171" s="152"/>
      <c r="N171" s="46"/>
      <c r="O171" s="46"/>
      <c r="P171" s="46"/>
      <c r="Q171" s="46"/>
      <c r="R171" s="46"/>
      <c r="S171" s="83">
        <f t="shared" si="35"/>
        <v>0</v>
      </c>
      <c r="T171" s="281"/>
    </row>
    <row r="172" spans="1:20" ht="15" customHeight="1" x14ac:dyDescent="0.25">
      <c r="C172" s="275"/>
      <c r="D172" s="97" t="s">
        <v>152</v>
      </c>
      <c r="E172" s="97" t="s">
        <v>168</v>
      </c>
      <c r="F172" s="85"/>
      <c r="G172" s="46"/>
      <c r="H172" s="46"/>
      <c r="I172" s="46"/>
      <c r="J172" s="46"/>
      <c r="K172" s="46"/>
      <c r="L172" s="46"/>
      <c r="M172" s="152"/>
      <c r="N172" s="46"/>
      <c r="O172" s="86"/>
      <c r="P172" s="46"/>
      <c r="Q172" s="46"/>
      <c r="R172" s="46"/>
      <c r="S172" s="83">
        <f t="shared" si="35"/>
        <v>0</v>
      </c>
      <c r="T172" s="281"/>
    </row>
    <row r="173" spans="1:20" ht="15" customHeight="1" x14ac:dyDescent="0.25">
      <c r="C173" s="275"/>
      <c r="D173" s="98" t="s">
        <v>153</v>
      </c>
      <c r="E173" s="98" t="s">
        <v>170</v>
      </c>
      <c r="F173" s="81">
        <v>50000</v>
      </c>
      <c r="G173" s="81"/>
      <c r="H173" s="81">
        <f>12875+1280+48000</f>
        <v>62155</v>
      </c>
      <c r="I173" s="81">
        <f>2664+69+115+344+115+401+1684</f>
        <v>5392</v>
      </c>
      <c r="J173" s="81"/>
      <c r="K173" s="81"/>
      <c r="L173" s="81"/>
      <c r="M173" s="91">
        <f>33495+881+1144+17+228+3+490</f>
        <v>36258</v>
      </c>
      <c r="N173" s="81"/>
      <c r="O173" s="81"/>
      <c r="P173" s="81">
        <f>513+8</f>
        <v>521</v>
      </c>
      <c r="Q173" s="81">
        <v>2000</v>
      </c>
      <c r="R173" s="81"/>
      <c r="S173" s="81">
        <f>SUM(F173:R173)</f>
        <v>156326</v>
      </c>
      <c r="T173" s="282">
        <f>SUM(S173:S177)</f>
        <v>156326</v>
      </c>
    </row>
    <row r="174" spans="1:20" ht="15" customHeight="1" x14ac:dyDescent="0.25">
      <c r="B174" s="52"/>
      <c r="C174" s="275"/>
      <c r="D174" s="99" t="s">
        <v>153</v>
      </c>
      <c r="E174" s="99" t="s">
        <v>171</v>
      </c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>
        <f t="shared" si="35"/>
        <v>0</v>
      </c>
      <c r="T174" s="283"/>
    </row>
    <row r="175" spans="1:20" ht="15" customHeight="1" x14ac:dyDescent="0.25">
      <c r="B175" s="52"/>
      <c r="C175" s="275"/>
      <c r="D175" s="99" t="s">
        <v>153</v>
      </c>
      <c r="E175" s="99" t="s">
        <v>172</v>
      </c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>
        <f t="shared" si="35"/>
        <v>0</v>
      </c>
      <c r="T175" s="283"/>
    </row>
    <row r="176" spans="1:20" s="41" customFormat="1" ht="15" customHeight="1" x14ac:dyDescent="0.25">
      <c r="A176" s="45"/>
      <c r="B176" s="45"/>
      <c r="C176" s="276"/>
      <c r="D176" s="99" t="s">
        <v>153</v>
      </c>
      <c r="E176" s="99" t="s">
        <v>173</v>
      </c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>
        <f t="shared" si="35"/>
        <v>0</v>
      </c>
      <c r="T176" s="283"/>
    </row>
    <row r="177" spans="1:20" ht="15.75" customHeight="1" thickBot="1" x14ac:dyDescent="0.3">
      <c r="A177" s="41"/>
      <c r="B177" s="41"/>
      <c r="C177" s="276"/>
      <c r="D177" s="100" t="s">
        <v>153</v>
      </c>
      <c r="E177" s="100" t="s">
        <v>168</v>
      </c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>
        <f t="shared" si="35"/>
        <v>0</v>
      </c>
      <c r="T177" s="283"/>
    </row>
    <row r="178" spans="1:20" ht="15" customHeight="1" x14ac:dyDescent="0.25">
      <c r="D178" s="101" t="s">
        <v>120</v>
      </c>
      <c r="E178" s="101" t="s">
        <v>120</v>
      </c>
      <c r="F178" s="64">
        <f>SUM(F161:F177)</f>
        <v>119006</v>
      </c>
      <c r="G178" s="64">
        <f>SUM(G161:G177)</f>
        <v>0</v>
      </c>
      <c r="H178" s="64">
        <f>SUM(H161:H177)</f>
        <v>81888</v>
      </c>
      <c r="I178" s="64">
        <f t="shared" ref="I178:P178" si="36">SUM(I161:I177)</f>
        <v>5517</v>
      </c>
      <c r="J178" s="64">
        <f t="shared" si="36"/>
        <v>0</v>
      </c>
      <c r="K178" s="64">
        <f t="shared" si="36"/>
        <v>2000</v>
      </c>
      <c r="L178" s="64">
        <f t="shared" si="36"/>
        <v>1437</v>
      </c>
      <c r="M178" s="64">
        <f t="shared" si="36"/>
        <v>39597</v>
      </c>
      <c r="N178" s="64">
        <f t="shared" si="36"/>
        <v>568</v>
      </c>
      <c r="O178" s="64">
        <f t="shared" si="36"/>
        <v>2646</v>
      </c>
      <c r="P178" s="64">
        <f t="shared" si="36"/>
        <v>1831</v>
      </c>
      <c r="Q178" s="64">
        <f>SUM(Q161:Q177)</f>
        <v>19012</v>
      </c>
      <c r="R178" s="64">
        <f>SUM(R161:R177)</f>
        <v>0</v>
      </c>
      <c r="S178" s="54">
        <f>SUM(S161:S177)</f>
        <v>273502</v>
      </c>
    </row>
    <row r="179" spans="1:20" ht="15.75" customHeight="1" thickBot="1" x14ac:dyDescent="0.3"/>
    <row r="180" spans="1:20" ht="17.25" x14ac:dyDescent="0.25">
      <c r="A180" s="166" t="s">
        <v>188</v>
      </c>
      <c r="B180" s="167">
        <f>C180</f>
        <v>202410</v>
      </c>
      <c r="C180" s="275">
        <v>202410</v>
      </c>
      <c r="D180" s="94" t="s">
        <v>151</v>
      </c>
      <c r="E180" s="177" t="s">
        <v>252</v>
      </c>
      <c r="F180" s="60">
        <f>60+360+305+60+200+40+80+70+56+165+120+355+110+405+100+170+500+918</f>
        <v>4074</v>
      </c>
      <c r="G180" s="59"/>
      <c r="H180" s="59">
        <f>60+87+140+60+500+75+120+55+178+61+30</f>
        <v>1366</v>
      </c>
      <c r="I180" s="60">
        <f>400+200+260+284+50+119+64+90</f>
        <v>1467</v>
      </c>
      <c r="J180" s="59"/>
      <c r="K180" s="60">
        <f>58+40+58+13+1384</f>
        <v>1553</v>
      </c>
      <c r="L180" s="60">
        <v>128</v>
      </c>
      <c r="M180" s="60">
        <f>460+320+89+75+580+99+160+389+130+740+110+35+160+55+35+125+500+56+30+56+240+1160+140+30</f>
        <v>5774</v>
      </c>
      <c r="N180" s="60">
        <f>116+227+190+130</f>
        <v>663</v>
      </c>
      <c r="O180" s="60">
        <f>407+521+650+340</f>
        <v>1918</v>
      </c>
      <c r="P180" s="60"/>
      <c r="Q180" s="60">
        <f>2000+2000+2000+2000</f>
        <v>8000</v>
      </c>
      <c r="R180" s="60">
        <f>3190+89-414+1395</f>
        <v>4260</v>
      </c>
      <c r="S180" s="44">
        <f t="shared" ref="S180:S196" si="37">SUM(F180:R180)</f>
        <v>29203</v>
      </c>
      <c r="T180" s="277">
        <f>SUM(S180:S186)</f>
        <v>73556</v>
      </c>
    </row>
    <row r="181" spans="1:20" ht="15" customHeight="1" thickBot="1" x14ac:dyDescent="0.3">
      <c r="A181" s="164" t="s">
        <v>247</v>
      </c>
      <c r="B181" s="162">
        <f>$J$2</f>
        <v>185000</v>
      </c>
      <c r="C181" s="275"/>
      <c r="D181" s="95" t="s">
        <v>151</v>
      </c>
      <c r="E181" s="176" t="s">
        <v>251</v>
      </c>
      <c r="F181" s="79"/>
      <c r="G181" s="78"/>
      <c r="H181" s="78"/>
      <c r="I181" s="79"/>
      <c r="J181" s="78"/>
      <c r="K181" s="79"/>
      <c r="L181" s="79"/>
      <c r="M181" s="79">
        <f>775+12</f>
        <v>787</v>
      </c>
      <c r="N181" s="79"/>
      <c r="O181" s="79"/>
      <c r="P181" s="79"/>
      <c r="Q181" s="79"/>
      <c r="R181" s="79"/>
      <c r="S181" s="80">
        <f t="shared" si="37"/>
        <v>787</v>
      </c>
      <c r="T181" s="278"/>
    </row>
    <row r="182" spans="1:20" ht="15" customHeight="1" thickTop="1" x14ac:dyDescent="0.25">
      <c r="A182" s="165" t="s">
        <v>237</v>
      </c>
      <c r="B182" s="182">
        <f>SUMPRODUCT((($V$10:$V$21)&lt;=VALUE(B180))*($Z$10:$Z$21))</f>
        <v>2026172.5</v>
      </c>
      <c r="C182" s="275"/>
      <c r="D182" s="95" t="s">
        <v>151</v>
      </c>
      <c r="E182" s="176" t="s">
        <v>254</v>
      </c>
      <c r="F182" s="79"/>
      <c r="G182" s="78"/>
      <c r="H182" s="78">
        <v>70</v>
      </c>
      <c r="I182" s="79">
        <v>1422</v>
      </c>
      <c r="J182" s="78"/>
      <c r="K182" s="79"/>
      <c r="L182" s="79"/>
      <c r="M182" s="79"/>
      <c r="N182" s="79"/>
      <c r="O182" s="79">
        <v>1089</v>
      </c>
      <c r="P182" s="79"/>
      <c r="Q182" s="79">
        <f>11000-7000</f>
        <v>4000</v>
      </c>
      <c r="R182" s="79"/>
      <c r="S182" s="80">
        <f t="shared" si="37"/>
        <v>6581</v>
      </c>
      <c r="T182" s="278"/>
    </row>
    <row r="183" spans="1:20" ht="15" customHeight="1" x14ac:dyDescent="0.25">
      <c r="A183" s="165" t="s">
        <v>264</v>
      </c>
      <c r="B183" s="181">
        <f>B182/SUMPRODUCT(('2024'!$V$10:$V$21&lt;='2024'!B180)*'2023'!$Z$10:$Z$21)</f>
        <v>0.96967649507736531</v>
      </c>
      <c r="C183" s="275"/>
      <c r="D183" s="95" t="s">
        <v>151</v>
      </c>
      <c r="E183" s="176" t="s">
        <v>255</v>
      </c>
      <c r="F183" s="79">
        <f>599+160+150+6000+100</f>
        <v>7009</v>
      </c>
      <c r="G183" s="78"/>
      <c r="H183" s="78">
        <f>86+529+698</f>
        <v>1313</v>
      </c>
      <c r="I183" s="79">
        <v>100</v>
      </c>
      <c r="J183" s="78"/>
      <c r="K183" s="79"/>
      <c r="L183" s="79"/>
      <c r="M183" s="79">
        <f>1268+985+1445</f>
        <v>3698</v>
      </c>
      <c r="N183" s="79"/>
      <c r="O183" s="79">
        <v>160</v>
      </c>
      <c r="P183" s="79"/>
      <c r="Q183" s="79">
        <f>597+935+383+1376</f>
        <v>3291</v>
      </c>
      <c r="R183" s="79"/>
      <c r="S183" s="80">
        <f t="shared" si="37"/>
        <v>15571</v>
      </c>
      <c r="T183" s="278"/>
    </row>
    <row r="184" spans="1:20" ht="15" customHeight="1" x14ac:dyDescent="0.25">
      <c r="A184" s="165" t="s">
        <v>296</v>
      </c>
      <c r="B184" s="186">
        <f>B182-SUMPRODUCT((($AD$10:$AD$21)&lt;=VALUE(B180))*($AQ$10:$AQ$21))</f>
        <v>1155006</v>
      </c>
      <c r="C184" s="275"/>
      <c r="D184" s="96" t="s">
        <v>151</v>
      </c>
      <c r="E184" s="176" t="s">
        <v>256</v>
      </c>
      <c r="F184" s="79">
        <f>4700+6500</f>
        <v>11200</v>
      </c>
      <c r="G184" s="78"/>
      <c r="H184" s="79"/>
      <c r="I184" s="78"/>
      <c r="J184" s="78"/>
      <c r="K184" s="79"/>
      <c r="L184" s="79"/>
      <c r="M184" s="79"/>
      <c r="N184" s="79"/>
      <c r="O184" s="79"/>
      <c r="P184" s="79"/>
      <c r="Q184" s="79"/>
      <c r="R184" s="79"/>
      <c r="S184" s="80">
        <f t="shared" si="37"/>
        <v>11200</v>
      </c>
      <c r="T184" s="278"/>
    </row>
    <row r="185" spans="1:20" ht="15" customHeight="1" x14ac:dyDescent="0.25">
      <c r="A185" s="164" t="s">
        <v>242</v>
      </c>
      <c r="B185" s="157">
        <f>B182/($J$2*12)</f>
        <v>0.9126903153153153</v>
      </c>
      <c r="C185" s="275"/>
      <c r="D185" s="95" t="s">
        <v>151</v>
      </c>
      <c r="E185" s="176" t="s">
        <v>257</v>
      </c>
      <c r="F185" s="79">
        <f>1800+1800+5864</f>
        <v>9464</v>
      </c>
      <c r="G185" s="78"/>
      <c r="H185" s="78"/>
      <c r="I185" s="79"/>
      <c r="J185" s="78"/>
      <c r="K185" s="79"/>
      <c r="L185" s="79"/>
      <c r="M185" s="79"/>
      <c r="N185" s="79"/>
      <c r="O185" s="79"/>
      <c r="P185" s="79"/>
      <c r="Q185" s="79"/>
      <c r="R185" s="79"/>
      <c r="S185" s="80">
        <f t="shared" si="37"/>
        <v>9464</v>
      </c>
      <c r="T185" s="278"/>
    </row>
    <row r="186" spans="1:20" ht="15" customHeight="1" x14ac:dyDescent="0.25">
      <c r="A186" s="164" t="s">
        <v>282</v>
      </c>
      <c r="B186" s="126">
        <f>VALUE(RIGHT(B180,2))/12</f>
        <v>0.83333333333333337</v>
      </c>
      <c r="C186" s="275"/>
      <c r="D186" s="95" t="s">
        <v>151</v>
      </c>
      <c r="E186" s="176" t="s">
        <v>263</v>
      </c>
      <c r="F186" s="78">
        <f>250+200</f>
        <v>450</v>
      </c>
      <c r="G186" s="78"/>
      <c r="H186" s="78">
        <v>150</v>
      </c>
      <c r="I186" s="79"/>
      <c r="J186" s="78"/>
      <c r="K186" s="79"/>
      <c r="L186" s="79"/>
      <c r="M186" s="79">
        <f>150</f>
        <v>150</v>
      </c>
      <c r="N186" s="79"/>
      <c r="O186" s="79"/>
      <c r="P186" s="79"/>
      <c r="Q186" s="79"/>
      <c r="R186" s="79"/>
      <c r="S186" s="80">
        <f t="shared" si="37"/>
        <v>750</v>
      </c>
      <c r="T186" s="279"/>
    </row>
    <row r="187" spans="1:20" ht="15" customHeight="1" x14ac:dyDescent="0.25">
      <c r="A187" s="164" t="s">
        <v>243</v>
      </c>
      <c r="B187" s="161">
        <f>B181*VALUE(RIGHT(B180,2))-B182</f>
        <v>-176172.5</v>
      </c>
      <c r="C187" s="275"/>
      <c r="D187" s="97" t="s">
        <v>152</v>
      </c>
      <c r="E187" s="97" t="s">
        <v>144</v>
      </c>
      <c r="F187" s="85"/>
      <c r="G187" s="46"/>
      <c r="H187" s="85"/>
      <c r="I187" s="46"/>
      <c r="J187" s="46"/>
      <c r="K187" s="46"/>
      <c r="L187" s="46"/>
      <c r="M187" s="152"/>
      <c r="N187" s="46"/>
      <c r="O187" s="46"/>
      <c r="P187" s="46"/>
      <c r="Q187" s="46"/>
      <c r="R187" s="46"/>
      <c r="S187" s="83">
        <f t="shared" si="37"/>
        <v>0</v>
      </c>
      <c r="T187" s="280">
        <f>SUM(S187:S191)</f>
        <v>1605</v>
      </c>
    </row>
    <row r="188" spans="1:20" ht="15" customHeight="1" x14ac:dyDescent="0.25">
      <c r="A188" s="164" t="s">
        <v>265</v>
      </c>
      <c r="B188" s="184">
        <f>$J$2-(S197)</f>
        <v>99173</v>
      </c>
      <c r="C188" s="275"/>
      <c r="D188" s="97" t="s">
        <v>152</v>
      </c>
      <c r="E188" s="97" t="s">
        <v>145</v>
      </c>
      <c r="F188" s="85"/>
      <c r="G188" s="46"/>
      <c r="H188" s="85"/>
      <c r="I188" s="46"/>
      <c r="J188" s="46"/>
      <c r="K188" s="46"/>
      <c r="L188" s="46"/>
      <c r="M188" s="152"/>
      <c r="N188" s="46"/>
      <c r="O188" s="85"/>
      <c r="P188" s="46"/>
      <c r="Q188" s="46"/>
      <c r="R188" s="46"/>
      <c r="S188" s="83">
        <f t="shared" si="37"/>
        <v>0</v>
      </c>
      <c r="T188" s="281"/>
    </row>
    <row r="189" spans="1:20" ht="15" customHeight="1" x14ac:dyDescent="0.25">
      <c r="C189" s="275"/>
      <c r="D189" s="97" t="s">
        <v>152</v>
      </c>
      <c r="E189" s="97" t="s">
        <v>146</v>
      </c>
      <c r="F189" s="86"/>
      <c r="G189" s="46"/>
      <c r="H189" s="87"/>
      <c r="I189" s="46"/>
      <c r="J189" s="46"/>
      <c r="K189" s="46"/>
      <c r="L189" s="46"/>
      <c r="M189" s="152"/>
      <c r="N189" s="46"/>
      <c r="O189" s="87"/>
      <c r="P189" s="46"/>
      <c r="Q189" s="46"/>
      <c r="R189" s="46"/>
      <c r="S189" s="83">
        <f t="shared" si="37"/>
        <v>0</v>
      </c>
      <c r="T189" s="281"/>
    </row>
    <row r="190" spans="1:20" ht="15" customHeight="1" x14ac:dyDescent="0.25">
      <c r="C190" s="275"/>
      <c r="D190" s="97" t="s">
        <v>152</v>
      </c>
      <c r="E190" s="97" t="s">
        <v>147</v>
      </c>
      <c r="F190" s="86"/>
      <c r="G190" s="46"/>
      <c r="H190" s="87"/>
      <c r="I190" s="46"/>
      <c r="J190" s="46"/>
      <c r="K190" s="46"/>
      <c r="L190" s="46"/>
      <c r="M190" s="152"/>
      <c r="N190" s="46"/>
      <c r="O190" s="87"/>
      <c r="P190" s="46"/>
      <c r="Q190" s="46"/>
      <c r="R190" s="46"/>
      <c r="S190" s="83">
        <f t="shared" si="37"/>
        <v>0</v>
      </c>
      <c r="T190" s="281"/>
    </row>
    <row r="191" spans="1:20" ht="15" customHeight="1" x14ac:dyDescent="0.25">
      <c r="C191" s="275"/>
      <c r="D191" s="97" t="s">
        <v>152</v>
      </c>
      <c r="E191" s="97" t="s">
        <v>168</v>
      </c>
      <c r="F191" s="85"/>
      <c r="G191" s="46"/>
      <c r="H191" s="89">
        <v>185</v>
      </c>
      <c r="I191" s="46"/>
      <c r="J191" s="46"/>
      <c r="K191" s="46"/>
      <c r="L191" s="46"/>
      <c r="M191" s="152"/>
      <c r="N191" s="46"/>
      <c r="O191" s="86">
        <f>1070+350</f>
        <v>1420</v>
      </c>
      <c r="P191" s="46"/>
      <c r="Q191" s="46"/>
      <c r="R191" s="46"/>
      <c r="S191" s="83">
        <f t="shared" si="37"/>
        <v>1605</v>
      </c>
      <c r="T191" s="281"/>
    </row>
    <row r="192" spans="1:20" ht="15" customHeight="1" x14ac:dyDescent="0.25">
      <c r="C192" s="275"/>
      <c r="D192" s="98" t="s">
        <v>153</v>
      </c>
      <c r="E192" s="98" t="s">
        <v>170</v>
      </c>
      <c r="F192" s="81">
        <f>2400+1100</f>
        <v>3500</v>
      </c>
      <c r="G192" s="81"/>
      <c r="H192" s="81"/>
      <c r="I192" s="81"/>
      <c r="J192" s="81"/>
      <c r="K192" s="81"/>
      <c r="L192" s="81"/>
      <c r="M192" s="81">
        <v>130</v>
      </c>
      <c r="N192" s="81"/>
      <c r="O192" s="81"/>
      <c r="P192" s="81"/>
      <c r="Q192" s="81"/>
      <c r="R192" s="81"/>
      <c r="S192" s="81">
        <f t="shared" si="37"/>
        <v>3630</v>
      </c>
      <c r="T192" s="282">
        <f>SUM(S192:S196)</f>
        <v>10666</v>
      </c>
    </row>
    <row r="193" spans="1:20" ht="15" customHeight="1" x14ac:dyDescent="0.25">
      <c r="C193" s="275"/>
      <c r="D193" s="99" t="s">
        <v>153</v>
      </c>
      <c r="E193" s="99" t="s">
        <v>171</v>
      </c>
      <c r="F193" s="82">
        <v>780</v>
      </c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>
        <f t="shared" si="37"/>
        <v>780</v>
      </c>
      <c r="T193" s="283"/>
    </row>
    <row r="194" spans="1:20" ht="15" customHeight="1" x14ac:dyDescent="0.25">
      <c r="C194" s="275"/>
      <c r="D194" s="99" t="s">
        <v>153</v>
      </c>
      <c r="E194" s="99" t="s">
        <v>172</v>
      </c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>
        <f t="shared" si="37"/>
        <v>0</v>
      </c>
      <c r="T194" s="283"/>
    </row>
    <row r="195" spans="1:20" s="41" customFormat="1" ht="15" customHeight="1" x14ac:dyDescent="0.25">
      <c r="A195" s="45"/>
      <c r="B195" s="45"/>
      <c r="C195" s="276"/>
      <c r="D195" s="99" t="s">
        <v>153</v>
      </c>
      <c r="E195" s="99" t="s">
        <v>173</v>
      </c>
      <c r="F195" s="82">
        <v>338</v>
      </c>
      <c r="G195" s="82"/>
      <c r="H195" s="82"/>
      <c r="I195" s="82"/>
      <c r="J195" s="82">
        <v>2959</v>
      </c>
      <c r="K195" s="82"/>
      <c r="L195" s="82"/>
      <c r="M195" s="82">
        <v>2959</v>
      </c>
      <c r="N195" s="82"/>
      <c r="O195" s="82"/>
      <c r="P195" s="82"/>
      <c r="Q195" s="82"/>
      <c r="R195" s="82"/>
      <c r="S195" s="82">
        <f t="shared" si="37"/>
        <v>6256</v>
      </c>
      <c r="T195" s="283"/>
    </row>
    <row r="196" spans="1:20" ht="15.75" customHeight="1" thickBot="1" x14ac:dyDescent="0.3">
      <c r="A196" s="41"/>
      <c r="B196" s="41"/>
      <c r="C196" s="276"/>
      <c r="D196" s="100" t="s">
        <v>153</v>
      </c>
      <c r="E196" s="100" t="s">
        <v>168</v>
      </c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>
        <f t="shared" si="37"/>
        <v>0</v>
      </c>
      <c r="T196" s="283"/>
    </row>
    <row r="197" spans="1:20" ht="15" customHeight="1" x14ac:dyDescent="0.25">
      <c r="D197" s="101" t="s">
        <v>120</v>
      </c>
      <c r="E197" s="101" t="s">
        <v>120</v>
      </c>
      <c r="F197" s="64">
        <f>SUM(F180:F196)</f>
        <v>36815</v>
      </c>
      <c r="G197" s="64">
        <f>SUM(G180:G196)</f>
        <v>0</v>
      </c>
      <c r="H197" s="64">
        <f>SUM(H180:H196)</f>
        <v>3084</v>
      </c>
      <c r="I197" s="64">
        <f t="shared" ref="I197:P197" si="38">SUM(I180:I196)</f>
        <v>2989</v>
      </c>
      <c r="J197" s="64">
        <f t="shared" si="38"/>
        <v>2959</v>
      </c>
      <c r="K197" s="64">
        <f t="shared" si="38"/>
        <v>1553</v>
      </c>
      <c r="L197" s="64">
        <f t="shared" si="38"/>
        <v>128</v>
      </c>
      <c r="M197" s="64">
        <f t="shared" si="38"/>
        <v>13498</v>
      </c>
      <c r="N197" s="64">
        <f t="shared" si="38"/>
        <v>663</v>
      </c>
      <c r="O197" s="64">
        <f t="shared" si="38"/>
        <v>4587</v>
      </c>
      <c r="P197" s="64">
        <f t="shared" si="38"/>
        <v>0</v>
      </c>
      <c r="Q197" s="64">
        <f>SUM(Q180:Q196)</f>
        <v>15291</v>
      </c>
      <c r="R197" s="64">
        <f>SUM(R180:R196)</f>
        <v>4260</v>
      </c>
      <c r="S197" s="54">
        <f>SUM(S180:S196)</f>
        <v>85827</v>
      </c>
    </row>
    <row r="198" spans="1:20" ht="15.75" customHeight="1" thickBot="1" x14ac:dyDescent="0.3"/>
    <row r="199" spans="1:20" ht="17.25" x14ac:dyDescent="0.25">
      <c r="A199" s="166" t="s">
        <v>188</v>
      </c>
      <c r="B199" s="167">
        <f>C199</f>
        <v>202411</v>
      </c>
      <c r="C199" s="275">
        <v>202411</v>
      </c>
      <c r="D199" s="94" t="s">
        <v>151</v>
      </c>
      <c r="E199" s="177" t="s">
        <v>252</v>
      </c>
      <c r="F199" s="60">
        <f>425+60+165+100+55+136+140+130+35+170+214+240+80+70+100+250+210+130+30+103</f>
        <v>2843</v>
      </c>
      <c r="G199" s="59">
        <f>890+430</f>
        <v>1320</v>
      </c>
      <c r="H199" s="59">
        <f>40+59+110+210+500+500</f>
        <v>1419</v>
      </c>
      <c r="I199" s="60">
        <f>70+65+1400+300+195+95+90+66+55</f>
        <v>2336</v>
      </c>
      <c r="J199" s="59"/>
      <c r="K199" s="60">
        <v>2000</v>
      </c>
      <c r="L199" s="60">
        <f>688+749+45+20</f>
        <v>1502</v>
      </c>
      <c r="M199" s="60">
        <f>55+740+246+200+290+48+385+190+50+160+99+20+286</f>
        <v>2769</v>
      </c>
      <c r="N199" s="60"/>
      <c r="O199" s="60">
        <f>330+457+350+255+195+170+300</f>
        <v>2057</v>
      </c>
      <c r="P199" s="60"/>
      <c r="Q199" s="60">
        <f>2000+2000+2000+2000</f>
        <v>8000</v>
      </c>
      <c r="R199" s="60"/>
      <c r="S199" s="44">
        <f t="shared" ref="S199:S215" si="39">SUM(F199:R199)</f>
        <v>24246</v>
      </c>
      <c r="T199" s="277">
        <f>SUM(S199:S205)</f>
        <v>61366</v>
      </c>
    </row>
    <row r="200" spans="1:20" ht="15" customHeight="1" thickBot="1" x14ac:dyDescent="0.3">
      <c r="A200" s="164" t="s">
        <v>247</v>
      </c>
      <c r="B200" s="162">
        <f>$J$2</f>
        <v>185000</v>
      </c>
      <c r="C200" s="275"/>
      <c r="D200" s="95" t="s">
        <v>151</v>
      </c>
      <c r="E200" s="176" t="s">
        <v>251</v>
      </c>
      <c r="F200" s="79"/>
      <c r="G200" s="78"/>
      <c r="H200" s="78"/>
      <c r="I200" s="79">
        <v>1070</v>
      </c>
      <c r="J200" s="78"/>
      <c r="K200" s="79"/>
      <c r="L200" s="79"/>
      <c r="M200" s="79"/>
      <c r="N200" s="79"/>
      <c r="O200" s="79">
        <f>955+1520</f>
        <v>2475</v>
      </c>
      <c r="P200" s="79"/>
      <c r="Q200" s="79">
        <v>2000</v>
      </c>
      <c r="R200" s="79"/>
      <c r="S200" s="80">
        <f t="shared" si="39"/>
        <v>5545</v>
      </c>
      <c r="T200" s="278"/>
    </row>
    <row r="201" spans="1:20" ht="15" customHeight="1" thickTop="1" x14ac:dyDescent="0.25">
      <c r="A201" s="165" t="s">
        <v>237</v>
      </c>
      <c r="B201" s="182">
        <f>SUMPRODUCT((($V$10:$V$21)&lt;=VALUE(B199))*($Z$10:$Z$21))</f>
        <v>2136489.23</v>
      </c>
      <c r="C201" s="275"/>
      <c r="D201" s="95" t="s">
        <v>151</v>
      </c>
      <c r="E201" s="176" t="s">
        <v>254</v>
      </c>
      <c r="F201" s="79">
        <v>60</v>
      </c>
      <c r="G201" s="78"/>
      <c r="H201" s="78">
        <f>333+70</f>
        <v>403</v>
      </c>
      <c r="I201" s="79"/>
      <c r="J201" s="78"/>
      <c r="K201" s="79"/>
      <c r="L201" s="79"/>
      <c r="M201" s="79"/>
      <c r="N201" s="79"/>
      <c r="O201" s="79"/>
      <c r="P201" s="79"/>
      <c r="Q201" s="79">
        <f>11000-7000</f>
        <v>4000</v>
      </c>
      <c r="R201" s="79"/>
      <c r="S201" s="80">
        <f t="shared" si="39"/>
        <v>4463</v>
      </c>
      <c r="T201" s="278"/>
    </row>
    <row r="202" spans="1:20" ht="15" customHeight="1" x14ac:dyDescent="0.25">
      <c r="A202" s="165" t="s">
        <v>264</v>
      </c>
      <c r="B202" s="181">
        <f>B201/SUMPRODUCT(('2024'!$V$10:$V$21&lt;='2024'!B199)*'2023'!$Z$10:$Z$21)</f>
        <v>0.96543343179568852</v>
      </c>
      <c r="C202" s="275"/>
      <c r="D202" s="95" t="s">
        <v>151</v>
      </c>
      <c r="E202" s="176" t="s">
        <v>255</v>
      </c>
      <c r="F202" s="79">
        <f>120+90+100+100</f>
        <v>410</v>
      </c>
      <c r="G202" s="78"/>
      <c r="H202" s="78">
        <f>60+698+400+60</f>
        <v>1218</v>
      </c>
      <c r="I202" s="79">
        <f>628+120+29</f>
        <v>777</v>
      </c>
      <c r="J202" s="78"/>
      <c r="K202" s="79"/>
      <c r="L202" s="79"/>
      <c r="M202" s="79">
        <f>519+125+119+1324+529+100+1343</f>
        <v>4059</v>
      </c>
      <c r="N202" s="79"/>
      <c r="O202" s="79"/>
      <c r="P202" s="79"/>
      <c r="Q202" s="79">
        <v>597</v>
      </c>
      <c r="R202" s="79"/>
      <c r="S202" s="80">
        <f t="shared" si="39"/>
        <v>7061</v>
      </c>
      <c r="T202" s="278"/>
    </row>
    <row r="203" spans="1:20" ht="15" customHeight="1" x14ac:dyDescent="0.25">
      <c r="A203" s="165" t="s">
        <v>296</v>
      </c>
      <c r="B203" s="186">
        <f>B201-SUMPRODUCT((($AD$10:$AD$21)&lt;=VALUE(B199))*($AQ$10:$AQ$21))</f>
        <v>1251070</v>
      </c>
      <c r="C203" s="275"/>
      <c r="D203" s="96" t="s">
        <v>151</v>
      </c>
      <c r="E203" s="176" t="s">
        <v>256</v>
      </c>
      <c r="F203" s="79">
        <f>4700+6500</f>
        <v>11200</v>
      </c>
      <c r="G203" s="78"/>
      <c r="H203" s="78"/>
      <c r="I203" s="78">
        <v>254</v>
      </c>
      <c r="J203" s="78"/>
      <c r="K203" s="79"/>
      <c r="L203" s="79"/>
      <c r="M203" s="79">
        <v>40</v>
      </c>
      <c r="N203" s="79"/>
      <c r="O203" s="79"/>
      <c r="P203" s="79"/>
      <c r="Q203" s="79"/>
      <c r="R203" s="79"/>
      <c r="S203" s="80">
        <f t="shared" si="39"/>
        <v>11494</v>
      </c>
      <c r="T203" s="278"/>
    </row>
    <row r="204" spans="1:20" ht="15" customHeight="1" x14ac:dyDescent="0.25">
      <c r="A204" s="164" t="s">
        <v>242</v>
      </c>
      <c r="B204" s="157">
        <f>B201/($J$2*12)</f>
        <v>0.96238253603603607</v>
      </c>
      <c r="C204" s="275"/>
      <c r="D204" s="95" t="s">
        <v>151</v>
      </c>
      <c r="E204" s="176" t="s">
        <v>257</v>
      </c>
      <c r="F204" s="79">
        <v>1800</v>
      </c>
      <c r="G204" s="78"/>
      <c r="H204" s="78"/>
      <c r="I204" s="79">
        <v>5867</v>
      </c>
      <c r="J204" s="78"/>
      <c r="K204" s="79"/>
      <c r="L204" s="79"/>
      <c r="M204" s="79"/>
      <c r="N204" s="79"/>
      <c r="O204" s="79"/>
      <c r="P204" s="79"/>
      <c r="Q204" s="79"/>
      <c r="R204" s="79"/>
      <c r="S204" s="80">
        <f t="shared" si="39"/>
        <v>7667</v>
      </c>
      <c r="T204" s="278"/>
    </row>
    <row r="205" spans="1:20" ht="15" customHeight="1" x14ac:dyDescent="0.25">
      <c r="A205" s="164" t="s">
        <v>282</v>
      </c>
      <c r="B205" s="126">
        <f>VALUE(RIGHT(B199,2))/12</f>
        <v>0.91666666666666663</v>
      </c>
      <c r="C205" s="275"/>
      <c r="D205" s="95" t="s">
        <v>151</v>
      </c>
      <c r="E205" s="176" t="s">
        <v>263</v>
      </c>
      <c r="F205" s="78">
        <f>250+160</f>
        <v>410</v>
      </c>
      <c r="G205" s="78"/>
      <c r="H205" s="78"/>
      <c r="I205" s="79"/>
      <c r="J205" s="78"/>
      <c r="K205" s="79"/>
      <c r="L205" s="79"/>
      <c r="M205" s="79">
        <v>480</v>
      </c>
      <c r="N205" s="79"/>
      <c r="O205" s="79"/>
      <c r="P205" s="79"/>
      <c r="Q205" s="79"/>
      <c r="R205" s="79"/>
      <c r="S205" s="80">
        <f t="shared" si="39"/>
        <v>890</v>
      </c>
      <c r="T205" s="279"/>
    </row>
    <row r="206" spans="1:20" ht="15" customHeight="1" x14ac:dyDescent="0.25">
      <c r="A206" s="164" t="s">
        <v>243</v>
      </c>
      <c r="B206" s="161">
        <f>B200*VALUE(RIGHT(B199,2))-B201</f>
        <v>-101489.22999999998</v>
      </c>
      <c r="C206" s="275"/>
      <c r="D206" s="97" t="s">
        <v>152</v>
      </c>
      <c r="E206" s="97" t="s">
        <v>144</v>
      </c>
      <c r="F206" s="85"/>
      <c r="G206" s="46"/>
      <c r="H206" s="85"/>
      <c r="I206" s="46"/>
      <c r="J206" s="46"/>
      <c r="K206" s="46"/>
      <c r="L206" s="46"/>
      <c r="M206" s="152"/>
      <c r="N206" s="46"/>
      <c r="O206" s="46"/>
      <c r="P206" s="46"/>
      <c r="Q206" s="46"/>
      <c r="R206" s="46"/>
      <c r="S206" s="83">
        <f t="shared" si="39"/>
        <v>0</v>
      </c>
      <c r="T206" s="280">
        <f>SUM(S206:S210)</f>
        <v>14122</v>
      </c>
    </row>
    <row r="207" spans="1:20" ht="15" customHeight="1" x14ac:dyDescent="0.25">
      <c r="A207" s="164" t="s">
        <v>265</v>
      </c>
      <c r="B207" s="184">
        <f>$J$2-(S216)</f>
        <v>74683.27</v>
      </c>
      <c r="C207" s="275"/>
      <c r="D207" s="97" t="s">
        <v>152</v>
      </c>
      <c r="E207" s="97" t="s">
        <v>145</v>
      </c>
      <c r="F207" s="85"/>
      <c r="G207" s="46"/>
      <c r="H207" s="85"/>
      <c r="I207" s="46"/>
      <c r="J207" s="46"/>
      <c r="K207" s="46"/>
      <c r="L207" s="46"/>
      <c r="M207" s="152"/>
      <c r="N207" s="46"/>
      <c r="O207" s="89">
        <f>2200+6800</f>
        <v>9000</v>
      </c>
      <c r="P207" s="46"/>
      <c r="Q207" s="46"/>
      <c r="R207" s="46"/>
      <c r="S207" s="83">
        <f t="shared" si="39"/>
        <v>9000</v>
      </c>
      <c r="T207" s="281"/>
    </row>
    <row r="208" spans="1:20" ht="15" customHeight="1" x14ac:dyDescent="0.25">
      <c r="C208" s="275"/>
      <c r="D208" s="97" t="s">
        <v>152</v>
      </c>
      <c r="E208" s="97" t="s">
        <v>146</v>
      </c>
      <c r="F208" s="86"/>
      <c r="G208" s="46"/>
      <c r="H208" s="87"/>
      <c r="I208" s="46"/>
      <c r="J208" s="46"/>
      <c r="K208" s="46"/>
      <c r="L208" s="46"/>
      <c r="M208" s="152"/>
      <c r="N208" s="46"/>
      <c r="O208" s="89">
        <f>330+2000</f>
        <v>2330</v>
      </c>
      <c r="P208" s="46"/>
      <c r="Q208" s="46"/>
      <c r="R208" s="46"/>
      <c r="S208" s="83">
        <f t="shared" si="39"/>
        <v>2330</v>
      </c>
      <c r="T208" s="281"/>
    </row>
    <row r="209" spans="1:20" ht="15" customHeight="1" x14ac:dyDescent="0.25">
      <c r="C209" s="275"/>
      <c r="D209" s="97" t="s">
        <v>152</v>
      </c>
      <c r="E209" s="97" t="s">
        <v>147</v>
      </c>
      <c r="F209" s="85"/>
      <c r="G209" s="46"/>
      <c r="H209" s="87"/>
      <c r="I209" s="89">
        <f>33+33</f>
        <v>66</v>
      </c>
      <c r="J209" s="46"/>
      <c r="K209" s="46"/>
      <c r="L209" s="46"/>
      <c r="M209" s="152">
        <f>100+33+33</f>
        <v>166</v>
      </c>
      <c r="N209" s="46"/>
      <c r="O209" s="89">
        <f>360+2000</f>
        <v>2360</v>
      </c>
      <c r="P209" s="46"/>
      <c r="Q209" s="46"/>
      <c r="R209" s="46"/>
      <c r="S209" s="83">
        <f t="shared" si="39"/>
        <v>2592</v>
      </c>
      <c r="T209" s="281"/>
    </row>
    <row r="210" spans="1:20" ht="15" customHeight="1" x14ac:dyDescent="0.25">
      <c r="C210" s="275"/>
      <c r="D210" s="97" t="s">
        <v>152</v>
      </c>
      <c r="E210" s="97" t="s">
        <v>168</v>
      </c>
      <c r="F210" s="85">
        <v>200</v>
      </c>
      <c r="G210" s="46"/>
      <c r="H210" s="46"/>
      <c r="I210" s="46"/>
      <c r="J210" s="46"/>
      <c r="K210" s="46"/>
      <c r="L210" s="46"/>
      <c r="M210" s="152"/>
      <c r="N210" s="46"/>
      <c r="O210" s="86"/>
      <c r="P210" s="46"/>
      <c r="Q210" s="46"/>
      <c r="R210" s="46"/>
      <c r="S210" s="83">
        <f t="shared" si="39"/>
        <v>200</v>
      </c>
      <c r="T210" s="281"/>
    </row>
    <row r="211" spans="1:20" ht="15" customHeight="1" x14ac:dyDescent="0.25">
      <c r="C211" s="275"/>
      <c r="D211" s="98" t="s">
        <v>153</v>
      </c>
      <c r="E211" s="98" t="s">
        <v>170</v>
      </c>
      <c r="F211" s="81">
        <f>480+300+1150+90+135+350+40+504+280</f>
        <v>3329</v>
      </c>
      <c r="G211" s="81">
        <v>4463</v>
      </c>
      <c r="H211" s="81">
        <f>4782+72-693.27+100+60+115+90</f>
        <v>4525.7299999999996</v>
      </c>
      <c r="I211" s="81">
        <f>162+50+45+70+40+1108</f>
        <v>1475</v>
      </c>
      <c r="J211" s="81"/>
      <c r="K211" s="81"/>
      <c r="L211" s="81"/>
      <c r="M211" s="81"/>
      <c r="N211" s="81"/>
      <c r="O211" s="81">
        <v>460</v>
      </c>
      <c r="P211" s="81"/>
      <c r="Q211" s="81"/>
      <c r="R211" s="81"/>
      <c r="S211" s="81">
        <f t="shared" si="39"/>
        <v>14252.73</v>
      </c>
      <c r="T211" s="282">
        <f>SUM(S211:S215)</f>
        <v>34828.729999999996</v>
      </c>
    </row>
    <row r="212" spans="1:20" ht="15" customHeight="1" x14ac:dyDescent="0.25">
      <c r="C212" s="275"/>
      <c r="D212" s="99" t="s">
        <v>153</v>
      </c>
      <c r="E212" s="99" t="s">
        <v>171</v>
      </c>
      <c r="F212" s="82"/>
      <c r="G212" s="82"/>
      <c r="H212" s="82">
        <v>1150</v>
      </c>
      <c r="I212" s="82"/>
      <c r="J212" s="82"/>
      <c r="K212" s="82"/>
      <c r="L212" s="82"/>
      <c r="M212" s="82">
        <v>1666</v>
      </c>
      <c r="N212" s="82"/>
      <c r="O212" s="82"/>
      <c r="P212" s="82"/>
      <c r="Q212" s="82">
        <v>759</v>
      </c>
      <c r="R212" s="82"/>
      <c r="S212" s="82">
        <f t="shared" si="39"/>
        <v>3575</v>
      </c>
      <c r="T212" s="283"/>
    </row>
    <row r="213" spans="1:20" ht="15" customHeight="1" x14ac:dyDescent="0.25">
      <c r="C213" s="275"/>
      <c r="D213" s="99" t="s">
        <v>153</v>
      </c>
      <c r="E213" s="99" t="s">
        <v>172</v>
      </c>
      <c r="F213" s="82"/>
      <c r="G213" s="82"/>
      <c r="H213" s="82">
        <v>2093</v>
      </c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>
        <f t="shared" si="39"/>
        <v>2093</v>
      </c>
      <c r="T213" s="283"/>
    </row>
    <row r="214" spans="1:20" s="41" customFormat="1" ht="15" customHeight="1" x14ac:dyDescent="0.25">
      <c r="A214" s="45"/>
      <c r="B214" s="45"/>
      <c r="C214" s="276"/>
      <c r="D214" s="99" t="s">
        <v>153</v>
      </c>
      <c r="E214" s="99" t="s">
        <v>173</v>
      </c>
      <c r="F214" s="82"/>
      <c r="G214" s="82"/>
      <c r="H214" s="82">
        <v>14908</v>
      </c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>
        <f t="shared" si="39"/>
        <v>14908</v>
      </c>
      <c r="T214" s="283"/>
    </row>
    <row r="215" spans="1:20" ht="15.75" customHeight="1" thickBot="1" x14ac:dyDescent="0.3">
      <c r="A215" s="41"/>
      <c r="B215" s="41"/>
      <c r="C215" s="276"/>
      <c r="D215" s="100" t="s">
        <v>153</v>
      </c>
      <c r="E215" s="100" t="s">
        <v>168</v>
      </c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>
        <f t="shared" si="39"/>
        <v>0</v>
      </c>
      <c r="T215" s="283"/>
    </row>
    <row r="216" spans="1:20" ht="15" customHeight="1" x14ac:dyDescent="0.25">
      <c r="D216" s="101" t="s">
        <v>120</v>
      </c>
      <c r="E216" s="101" t="s">
        <v>120</v>
      </c>
      <c r="F216" s="64">
        <f>SUM(F199:F215)</f>
        <v>20252</v>
      </c>
      <c r="G216" s="64">
        <f>SUM(G199:G215)</f>
        <v>5783</v>
      </c>
      <c r="H216" s="64">
        <f>SUM(H199:H215)</f>
        <v>25716.73</v>
      </c>
      <c r="I216" s="64">
        <f t="shared" ref="I216:P216" si="40">SUM(I199:I215)</f>
        <v>11845</v>
      </c>
      <c r="J216" s="64">
        <f t="shared" si="40"/>
        <v>0</v>
      </c>
      <c r="K216" s="64">
        <f t="shared" si="40"/>
        <v>2000</v>
      </c>
      <c r="L216" s="64">
        <f t="shared" si="40"/>
        <v>1502</v>
      </c>
      <c r="M216" s="64">
        <f t="shared" si="40"/>
        <v>9180</v>
      </c>
      <c r="N216" s="64">
        <f t="shared" si="40"/>
        <v>0</v>
      </c>
      <c r="O216" s="64">
        <f t="shared" si="40"/>
        <v>18682</v>
      </c>
      <c r="P216" s="64">
        <f t="shared" si="40"/>
        <v>0</v>
      </c>
      <c r="Q216" s="64">
        <f>SUM(Q199:Q215)</f>
        <v>15356</v>
      </c>
      <c r="R216" s="64">
        <f>SUM(R199:R215)</f>
        <v>0</v>
      </c>
      <c r="S216" s="54">
        <f>SUM(S199:S215)</f>
        <v>110316.73</v>
      </c>
    </row>
    <row r="217" spans="1:20" ht="15.75" customHeight="1" thickBot="1" x14ac:dyDescent="0.3"/>
    <row r="218" spans="1:20" ht="17.25" x14ac:dyDescent="0.25">
      <c r="A218" s="166" t="s">
        <v>188</v>
      </c>
      <c r="B218" s="167">
        <f>C218</f>
        <v>202412</v>
      </c>
      <c r="C218" s="275">
        <v>202412</v>
      </c>
      <c r="D218" s="94" t="s">
        <v>151</v>
      </c>
      <c r="E218" s="177" t="s">
        <v>252</v>
      </c>
      <c r="F218" s="60">
        <f>1474+46+70+220+918+325+260+175+223+740+300+405+160+350+734+2290</f>
        <v>8690</v>
      </c>
      <c r="G218" s="59">
        <f>300+243+84</f>
        <v>627</v>
      </c>
      <c r="H218" s="59">
        <f>158+55+65+500+68+50+475+99+500</f>
        <v>1970</v>
      </c>
      <c r="I218" s="60">
        <f>184+50+50+67+398+11+50+75+145+173+60+50+85+160+170+170+372+140</f>
        <v>2410</v>
      </c>
      <c r="J218" s="59"/>
      <c r="K218" s="60">
        <f>58+58</f>
        <v>116</v>
      </c>
      <c r="L218" s="60">
        <v>105</v>
      </c>
      <c r="M218" s="60">
        <f>115+1000+99+720+241+144+572+1000+680+225+970</f>
        <v>5766</v>
      </c>
      <c r="N218" s="60"/>
      <c r="O218" s="60">
        <f>85+200</f>
        <v>285</v>
      </c>
      <c r="P218" s="60"/>
      <c r="Q218" s="60">
        <f>2000+2000+2000+2000</f>
        <v>8000</v>
      </c>
      <c r="R218" s="60"/>
      <c r="S218" s="44">
        <f t="shared" ref="S218:S234" si="41">SUM(F218:R218)</f>
        <v>27969</v>
      </c>
      <c r="T218" s="277">
        <f>SUM(S218:S224)</f>
        <v>66002.333333333328</v>
      </c>
    </row>
    <row r="219" spans="1:20" ht="15" customHeight="1" thickBot="1" x14ac:dyDescent="0.3">
      <c r="A219" s="164" t="s">
        <v>247</v>
      </c>
      <c r="B219" s="162">
        <f>$J$2</f>
        <v>185000</v>
      </c>
      <c r="C219" s="275"/>
      <c r="D219" s="95" t="s">
        <v>151</v>
      </c>
      <c r="E219" s="176" t="s">
        <v>251</v>
      </c>
      <c r="F219" s="79">
        <v>200</v>
      </c>
      <c r="G219" s="78"/>
      <c r="H219" s="78"/>
      <c r="I219" s="79">
        <v>769</v>
      </c>
      <c r="J219" s="78"/>
      <c r="K219" s="79"/>
      <c r="L219" s="79"/>
      <c r="M219" s="79">
        <f>959-590</f>
        <v>369</v>
      </c>
      <c r="N219" s="79"/>
      <c r="O219" s="79"/>
      <c r="P219" s="79"/>
      <c r="Q219" s="79">
        <v>590</v>
      </c>
      <c r="R219" s="79"/>
      <c r="S219" s="80">
        <f t="shared" si="41"/>
        <v>1928</v>
      </c>
      <c r="T219" s="278"/>
    </row>
    <row r="220" spans="1:20" ht="15" customHeight="1" thickTop="1" x14ac:dyDescent="0.25">
      <c r="A220" s="165" t="s">
        <v>237</v>
      </c>
      <c r="B220" s="182">
        <f>SUMPRODUCT((($V$10:$V$21)&lt;=VALUE(B218))*($Z$10:$Z$21))</f>
        <v>2221601.5633333335</v>
      </c>
      <c r="C220" s="275"/>
      <c r="D220" s="95" t="s">
        <v>151</v>
      </c>
      <c r="E220" s="176" t="s">
        <v>254</v>
      </c>
      <c r="F220" s="79"/>
      <c r="G220" s="78">
        <v>200</v>
      </c>
      <c r="H220" s="78">
        <f>70+129+90</f>
        <v>289</v>
      </c>
      <c r="I220" s="79"/>
      <c r="J220" s="78"/>
      <c r="K220" s="79"/>
      <c r="L220" s="79"/>
      <c r="M220" s="79">
        <f>1317-239+459</f>
        <v>1537</v>
      </c>
      <c r="N220" s="79"/>
      <c r="O220" s="79"/>
      <c r="P220" s="79"/>
      <c r="Q220" s="79">
        <f>11000-7000</f>
        <v>4000</v>
      </c>
      <c r="R220" s="79"/>
      <c r="S220" s="80">
        <f t="shared" si="41"/>
        <v>6026</v>
      </c>
      <c r="T220" s="278"/>
    </row>
    <row r="221" spans="1:20" ht="15" customHeight="1" x14ac:dyDescent="0.25">
      <c r="A221" s="165" t="s">
        <v>264</v>
      </c>
      <c r="B221" s="181">
        <f>B220/SUMPRODUCT(('2024'!$V$10:$V$21&lt;='2024'!B218)*'2023'!$Z$10:$Z$21)</f>
        <v>0.96331465417985829</v>
      </c>
      <c r="C221" s="275"/>
      <c r="D221" s="95" t="s">
        <v>151</v>
      </c>
      <c r="E221" s="176" t="s">
        <v>255</v>
      </c>
      <c r="F221" s="79">
        <f>100+20+14+120+20+60</f>
        <v>334</v>
      </c>
      <c r="G221" s="78">
        <f>56+40+26+38</f>
        <v>160</v>
      </c>
      <c r="H221" s="78"/>
      <c r="I221" s="79"/>
      <c r="J221" s="78"/>
      <c r="K221" s="79"/>
      <c r="L221" s="79">
        <v>30</v>
      </c>
      <c r="M221" s="79">
        <f>692+1471+1064</f>
        <v>3227</v>
      </c>
      <c r="N221" s="79"/>
      <c r="O221" s="79"/>
      <c r="P221" s="79"/>
      <c r="Q221" s="79">
        <f>688+979</f>
        <v>1667</v>
      </c>
      <c r="R221" s="79"/>
      <c r="S221" s="80">
        <f t="shared" si="41"/>
        <v>5418</v>
      </c>
      <c r="T221" s="278"/>
    </row>
    <row r="222" spans="1:20" ht="15" customHeight="1" x14ac:dyDescent="0.25">
      <c r="A222" s="165" t="s">
        <v>296</v>
      </c>
      <c r="B222" s="186">
        <f>B220-SUMPRODUCT((($AD$10:$AD$21)&lt;=VALUE(B218))*($AQ$10:$AQ$21))</f>
        <v>1335182.3333333335</v>
      </c>
      <c r="C222" s="275"/>
      <c r="D222" s="96" t="s">
        <v>151</v>
      </c>
      <c r="E222" s="176" t="s">
        <v>256</v>
      </c>
      <c r="F222" s="79">
        <f>4700+6500</f>
        <v>11200</v>
      </c>
      <c r="G222" s="78"/>
      <c r="H222" s="78"/>
      <c r="I222" s="78"/>
      <c r="J222" s="78"/>
      <c r="K222" s="79"/>
      <c r="L222" s="79"/>
      <c r="M222" s="79"/>
      <c r="N222" s="79"/>
      <c r="O222" s="79"/>
      <c r="P222" s="79"/>
      <c r="Q222" s="79"/>
      <c r="R222" s="79"/>
      <c r="S222" s="80">
        <f t="shared" si="41"/>
        <v>11200</v>
      </c>
      <c r="T222" s="278"/>
    </row>
    <row r="223" spans="1:20" ht="15" customHeight="1" x14ac:dyDescent="0.25">
      <c r="A223" s="164" t="s">
        <v>242</v>
      </c>
      <c r="B223" s="157">
        <f>B220/($J$2*12)</f>
        <v>1.000721424924925</v>
      </c>
      <c r="C223" s="275"/>
      <c r="D223" s="95" t="s">
        <v>151</v>
      </c>
      <c r="E223" s="176" t="s">
        <v>257</v>
      </c>
      <c r="F223" s="79">
        <f>1800+850+460+1800+1800</f>
        <v>6710</v>
      </c>
      <c r="G223" s="78"/>
      <c r="H223" s="78"/>
      <c r="I223" s="79"/>
      <c r="J223" s="78"/>
      <c r="K223" s="79"/>
      <c r="L223" s="79"/>
      <c r="M223" s="79"/>
      <c r="N223" s="79"/>
      <c r="O223" s="79"/>
      <c r="P223" s="79"/>
      <c r="Q223" s="79"/>
      <c r="R223" s="79"/>
      <c r="S223" s="80">
        <f t="shared" si="41"/>
        <v>6710</v>
      </c>
      <c r="T223" s="278"/>
    </row>
    <row r="224" spans="1:20" ht="15" customHeight="1" x14ac:dyDescent="0.25">
      <c r="A224" s="164" t="s">
        <v>241</v>
      </c>
      <c r="B224" s="126">
        <f>VALUE(RIGHT(B218,2))/12</f>
        <v>1</v>
      </c>
      <c r="C224" s="275"/>
      <c r="D224" s="95" t="s">
        <v>151</v>
      </c>
      <c r="E224" s="176" t="s">
        <v>263</v>
      </c>
      <c r="F224" s="78"/>
      <c r="G224" s="78"/>
      <c r="H224" s="78"/>
      <c r="I224" s="79"/>
      <c r="J224" s="78"/>
      <c r="K224" s="79"/>
      <c r="L224" s="79"/>
      <c r="M224" s="79"/>
      <c r="N224" s="79"/>
      <c r="O224" s="79"/>
      <c r="P224" s="79"/>
      <c r="Q224" s="79">
        <f>40508/6</f>
        <v>6751.333333333333</v>
      </c>
      <c r="R224" s="79"/>
      <c r="S224" s="80">
        <f t="shared" si="41"/>
        <v>6751.333333333333</v>
      </c>
      <c r="T224" s="279"/>
    </row>
    <row r="225" spans="1:20" ht="15" customHeight="1" x14ac:dyDescent="0.25">
      <c r="A225" s="164" t="s">
        <v>243</v>
      </c>
      <c r="B225" s="161">
        <f>B219*VALUE(RIGHT(B218,2))-B220</f>
        <v>-1601.5633333334699</v>
      </c>
      <c r="C225" s="275"/>
      <c r="D225" s="97" t="s">
        <v>152</v>
      </c>
      <c r="E225" s="97" t="s">
        <v>144</v>
      </c>
      <c r="F225" s="85"/>
      <c r="G225" s="46"/>
      <c r="H225" s="85"/>
      <c r="I225" s="46"/>
      <c r="J225" s="46"/>
      <c r="K225" s="86">
        <v>2132</v>
      </c>
      <c r="L225" s="46"/>
      <c r="M225" s="152"/>
      <c r="N225" s="46"/>
      <c r="O225" s="86">
        <v>1250</v>
      </c>
      <c r="P225" s="46"/>
      <c r="Q225" s="46"/>
      <c r="R225" s="46"/>
      <c r="S225" s="83">
        <f t="shared" si="41"/>
        <v>3382</v>
      </c>
      <c r="T225" s="280">
        <f>SUM(S225:S229)</f>
        <v>15702</v>
      </c>
    </row>
    <row r="226" spans="1:20" ht="15" customHeight="1" x14ac:dyDescent="0.25">
      <c r="A226" s="164" t="s">
        <v>265</v>
      </c>
      <c r="B226" s="184">
        <f>$J$2-(S235)</f>
        <v>99887.666666666672</v>
      </c>
      <c r="C226" s="275"/>
      <c r="D226" s="97" t="s">
        <v>152</v>
      </c>
      <c r="E226" s="97" t="s">
        <v>145</v>
      </c>
      <c r="F226" s="85">
        <v>1000</v>
      </c>
      <c r="G226" s="46"/>
      <c r="H226" s="85"/>
      <c r="I226" s="46"/>
      <c r="J226" s="46"/>
      <c r="K226" s="46"/>
      <c r="L226" s="46"/>
      <c r="M226" s="152"/>
      <c r="N226" s="46"/>
      <c r="O226" s="86">
        <f>700+2250</f>
        <v>2950</v>
      </c>
      <c r="P226" s="46"/>
      <c r="Q226" s="46"/>
      <c r="R226" s="46"/>
      <c r="S226" s="83">
        <f t="shared" si="41"/>
        <v>3950</v>
      </c>
      <c r="T226" s="281"/>
    </row>
    <row r="227" spans="1:20" ht="15" customHeight="1" x14ac:dyDescent="0.25">
      <c r="C227" s="275"/>
      <c r="D227" s="97" t="s">
        <v>152</v>
      </c>
      <c r="E227" s="97" t="s">
        <v>146</v>
      </c>
      <c r="F227" s="86"/>
      <c r="G227" s="46"/>
      <c r="H227" s="87"/>
      <c r="I227" s="46"/>
      <c r="J227" s="46"/>
      <c r="K227" s="46"/>
      <c r="L227" s="46"/>
      <c r="M227" s="152"/>
      <c r="N227" s="46"/>
      <c r="O227" s="86">
        <v>2000</v>
      </c>
      <c r="P227" s="46"/>
      <c r="Q227" s="46"/>
      <c r="R227" s="46"/>
      <c r="S227" s="83">
        <f t="shared" si="41"/>
        <v>2000</v>
      </c>
      <c r="T227" s="281"/>
    </row>
    <row r="228" spans="1:20" ht="15" customHeight="1" x14ac:dyDescent="0.25">
      <c r="C228" s="275"/>
      <c r="D228" s="97" t="s">
        <v>152</v>
      </c>
      <c r="E228" s="97" t="s">
        <v>147</v>
      </c>
      <c r="F228" s="85"/>
      <c r="G228" s="46"/>
      <c r="H228" s="87"/>
      <c r="I228" s="46"/>
      <c r="J228" s="46"/>
      <c r="K228" s="46"/>
      <c r="L228" s="46"/>
      <c r="M228" s="152"/>
      <c r="N228" s="46"/>
      <c r="O228" s="86">
        <v>2000</v>
      </c>
      <c r="P228" s="46"/>
      <c r="Q228" s="46"/>
      <c r="R228" s="46"/>
      <c r="S228" s="83">
        <f t="shared" si="41"/>
        <v>2000</v>
      </c>
      <c r="T228" s="281"/>
    </row>
    <row r="229" spans="1:20" ht="15" customHeight="1" x14ac:dyDescent="0.25">
      <c r="C229" s="275"/>
      <c r="D229" s="97" t="s">
        <v>152</v>
      </c>
      <c r="E229" s="97" t="s">
        <v>168</v>
      </c>
      <c r="F229" s="85"/>
      <c r="G229" s="46"/>
      <c r="H229" s="46"/>
      <c r="I229" s="46"/>
      <c r="J229" s="46"/>
      <c r="K229" s="46"/>
      <c r="L229" s="46"/>
      <c r="M229" s="152"/>
      <c r="N229" s="46"/>
      <c r="O229" s="86">
        <f>2500+1870</f>
        <v>4370</v>
      </c>
      <c r="P229" s="46"/>
      <c r="Q229" s="46"/>
      <c r="R229" s="46"/>
      <c r="S229" s="83">
        <f t="shared" si="41"/>
        <v>4370</v>
      </c>
      <c r="T229" s="281"/>
    </row>
    <row r="230" spans="1:20" ht="15" customHeight="1" x14ac:dyDescent="0.25">
      <c r="C230" s="275"/>
      <c r="D230" s="98" t="s">
        <v>153</v>
      </c>
      <c r="E230" s="98" t="s">
        <v>170</v>
      </c>
      <c r="F230" s="81">
        <v>1000</v>
      </c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>
        <f t="shared" si="41"/>
        <v>1000</v>
      </c>
      <c r="T230" s="282">
        <f>SUM(S230:S234)</f>
        <v>3408</v>
      </c>
    </row>
    <row r="231" spans="1:20" ht="15" customHeight="1" x14ac:dyDescent="0.25">
      <c r="C231" s="275"/>
      <c r="D231" s="99" t="s">
        <v>153</v>
      </c>
      <c r="E231" s="99" t="s">
        <v>171</v>
      </c>
      <c r="F231" s="81">
        <v>2408</v>
      </c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>
        <f t="shared" si="41"/>
        <v>2408</v>
      </c>
      <c r="T231" s="283"/>
    </row>
    <row r="232" spans="1:20" ht="15" customHeight="1" x14ac:dyDescent="0.25">
      <c r="C232" s="275"/>
      <c r="D232" s="99" t="s">
        <v>153</v>
      </c>
      <c r="E232" s="99" t="s">
        <v>172</v>
      </c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>
        <f t="shared" si="41"/>
        <v>0</v>
      </c>
      <c r="T232" s="283"/>
    </row>
    <row r="233" spans="1:20" s="41" customFormat="1" ht="15" customHeight="1" x14ac:dyDescent="0.25">
      <c r="A233" s="45"/>
      <c r="B233" s="45"/>
      <c r="C233" s="276"/>
      <c r="D233" s="99" t="s">
        <v>153</v>
      </c>
      <c r="E233" s="99" t="s">
        <v>173</v>
      </c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>
        <f t="shared" si="41"/>
        <v>0</v>
      </c>
      <c r="T233" s="283"/>
    </row>
    <row r="234" spans="1:20" ht="15.75" customHeight="1" thickBot="1" x14ac:dyDescent="0.3">
      <c r="A234" s="41"/>
      <c r="B234" s="41"/>
      <c r="C234" s="276"/>
      <c r="D234" s="100" t="s">
        <v>153</v>
      </c>
      <c r="E234" s="100" t="s">
        <v>168</v>
      </c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>
        <f t="shared" si="41"/>
        <v>0</v>
      </c>
      <c r="T234" s="283"/>
    </row>
    <row r="235" spans="1:20" ht="15" customHeight="1" x14ac:dyDescent="0.25">
      <c r="D235" s="101" t="s">
        <v>120</v>
      </c>
      <c r="E235" s="101" t="s">
        <v>120</v>
      </c>
      <c r="F235" s="64">
        <f>SUM(F218:F234)</f>
        <v>31542</v>
      </c>
      <c r="G235" s="64">
        <f>SUM(G218:G234)</f>
        <v>987</v>
      </c>
      <c r="H235" s="64">
        <f>SUM(H218:H234)</f>
        <v>2259</v>
      </c>
      <c r="I235" s="64">
        <f t="shared" ref="I235:P235" si="42">SUM(I218:I234)</f>
        <v>3179</v>
      </c>
      <c r="J235" s="64">
        <f t="shared" si="42"/>
        <v>0</v>
      </c>
      <c r="K235" s="64">
        <f t="shared" si="42"/>
        <v>2248</v>
      </c>
      <c r="L235" s="64">
        <f t="shared" si="42"/>
        <v>135</v>
      </c>
      <c r="M235" s="64">
        <f t="shared" si="42"/>
        <v>10899</v>
      </c>
      <c r="N235" s="64">
        <f t="shared" si="42"/>
        <v>0</v>
      </c>
      <c r="O235" s="64">
        <f t="shared" si="42"/>
        <v>12855</v>
      </c>
      <c r="P235" s="64">
        <f t="shared" si="42"/>
        <v>0</v>
      </c>
      <c r="Q235" s="64">
        <f>SUM(Q218:Q234)</f>
        <v>21008.333333333332</v>
      </c>
      <c r="R235" s="64">
        <f>SUM(R218:R234)</f>
        <v>0</v>
      </c>
      <c r="S235" s="54">
        <f>SUM(S218:S234)</f>
        <v>85112.333333333328</v>
      </c>
    </row>
    <row r="240" spans="1:20" x14ac:dyDescent="0.25">
      <c r="E240" s="129">
        <f>SUM(G240:P240)</f>
        <v>0.25016077170418005</v>
      </c>
      <c r="F240" s="130" t="s">
        <v>223</v>
      </c>
      <c r="G240" s="233">
        <f t="shared" ref="G240:M240" si="43">G242/$E$243</f>
        <v>6.4308681672025723E-3</v>
      </c>
      <c r="H240" s="233">
        <f t="shared" si="43"/>
        <v>2.3579849946409433E-2</v>
      </c>
      <c r="I240" s="233">
        <f t="shared" si="43"/>
        <v>1.5005359056806002E-2</v>
      </c>
      <c r="J240" s="233">
        <f t="shared" si="43"/>
        <v>5.5091103965702035E-2</v>
      </c>
      <c r="K240" s="233">
        <f t="shared" si="43"/>
        <v>5.0160771704180061E-2</v>
      </c>
      <c r="L240" s="233">
        <f t="shared" si="43"/>
        <v>4.9946409431939981E-2</v>
      </c>
      <c r="M240" s="233">
        <f t="shared" si="43"/>
        <v>4.9946409431939981E-2</v>
      </c>
      <c r="N240" s="130"/>
      <c r="O240" s="130"/>
    </row>
    <row r="241" spans="5:15" ht="16.5" x14ac:dyDescent="0.25">
      <c r="F241" s="132" t="s">
        <v>97</v>
      </c>
      <c r="G241" s="234">
        <v>44478</v>
      </c>
      <c r="H241" s="234">
        <v>44482</v>
      </c>
      <c r="I241" s="234">
        <v>44487</v>
      </c>
      <c r="J241" s="234">
        <v>44501</v>
      </c>
      <c r="K241" s="234">
        <v>44526</v>
      </c>
      <c r="L241" s="234">
        <v>44725</v>
      </c>
      <c r="M241" s="234">
        <v>45056</v>
      </c>
      <c r="N241" s="234">
        <v>45596</v>
      </c>
      <c r="O241" s="234">
        <v>45672</v>
      </c>
    </row>
    <row r="242" spans="5:15" ht="16.5" x14ac:dyDescent="0.25">
      <c r="E242" s="128">
        <f>SUM(G242:P242)</f>
        <v>11670000</v>
      </c>
      <c r="F242" s="132" t="s">
        <v>96</v>
      </c>
      <c r="G242" s="235">
        <v>300000</v>
      </c>
      <c r="H242" s="235">
        <v>1100000</v>
      </c>
      <c r="I242" s="235">
        <v>700000</v>
      </c>
      <c r="J242" s="235">
        <v>2570000</v>
      </c>
      <c r="K242" s="235">
        <v>2340000</v>
      </c>
      <c r="L242" s="235">
        <v>2330000</v>
      </c>
      <c r="M242" s="235">
        <v>2330000</v>
      </c>
      <c r="N242" s="130"/>
      <c r="O242" s="130"/>
    </row>
    <row r="243" spans="5:15" ht="19.5" x14ac:dyDescent="0.25">
      <c r="E243" s="127">
        <v>46650000</v>
      </c>
      <c r="F243" s="132" t="s">
        <v>57</v>
      </c>
      <c r="G243" s="132" t="s">
        <v>218</v>
      </c>
      <c r="H243" s="132" t="s">
        <v>218</v>
      </c>
      <c r="I243" s="132" t="s">
        <v>219</v>
      </c>
      <c r="J243" s="132" t="s">
        <v>219</v>
      </c>
      <c r="K243" s="132" t="s">
        <v>225</v>
      </c>
      <c r="L243" s="132" t="s">
        <v>226</v>
      </c>
      <c r="M243" s="132" t="s">
        <v>227</v>
      </c>
      <c r="N243" s="130" t="s">
        <v>229</v>
      </c>
      <c r="O243" s="132" t="s">
        <v>228</v>
      </c>
    </row>
    <row r="247" spans="5:15" x14ac:dyDescent="0.25">
      <c r="F247" s="130" t="s">
        <v>223</v>
      </c>
      <c r="G247" s="233">
        <f>30000/232000</f>
        <v>0.12931034482758622</v>
      </c>
      <c r="H247" s="233">
        <f>H249/232000</f>
        <v>0.5</v>
      </c>
      <c r="I247" s="233">
        <f>I249/$E$243</f>
        <v>0</v>
      </c>
      <c r="J247" s="233">
        <f>J249/$E$243</f>
        <v>0</v>
      </c>
      <c r="K247" s="233">
        <f>K249/$E$243</f>
        <v>0</v>
      </c>
      <c r="L247" s="233">
        <f>L249/$E$243</f>
        <v>0</v>
      </c>
      <c r="M247" s="233">
        <f>M249/$E$243</f>
        <v>0</v>
      </c>
      <c r="N247" s="130"/>
      <c r="O247" s="130"/>
    </row>
    <row r="248" spans="5:15" ht="16.5" x14ac:dyDescent="0.25">
      <c r="F248" s="132" t="s">
        <v>97</v>
      </c>
      <c r="G248" s="234">
        <v>45294</v>
      </c>
      <c r="H248" s="234">
        <v>45399</v>
      </c>
      <c r="I248" s="234"/>
      <c r="J248" s="234"/>
      <c r="K248" s="234"/>
      <c r="L248" s="234"/>
      <c r="M248" s="234"/>
      <c r="N248" s="234"/>
      <c r="O248" s="234"/>
    </row>
    <row r="249" spans="5:15" ht="16.5" x14ac:dyDescent="0.25">
      <c r="F249" s="132" t="s">
        <v>96</v>
      </c>
      <c r="G249" s="235">
        <v>30000</v>
      </c>
      <c r="H249" s="235">
        <v>116000</v>
      </c>
      <c r="I249" s="235"/>
      <c r="J249" s="235"/>
      <c r="K249" s="235"/>
      <c r="L249" s="235"/>
      <c r="M249" s="235"/>
      <c r="N249" s="130"/>
      <c r="O249" s="130"/>
    </row>
    <row r="250" spans="5:15" ht="16.5" x14ac:dyDescent="0.25">
      <c r="F250" s="132" t="s">
        <v>57</v>
      </c>
      <c r="G250" s="132" t="s">
        <v>292</v>
      </c>
      <c r="H250" s="132" t="s">
        <v>291</v>
      </c>
      <c r="I250" s="132"/>
      <c r="J250" s="132"/>
      <c r="K250" s="132"/>
      <c r="L250" s="132"/>
      <c r="M250" s="132"/>
      <c r="N250" s="130"/>
      <c r="O250" s="132"/>
    </row>
  </sheetData>
  <mergeCells count="56">
    <mergeCell ref="AE6:AK6"/>
    <mergeCell ref="AL6:AP6"/>
    <mergeCell ref="AQ6:AU6"/>
    <mergeCell ref="AE7:AK7"/>
    <mergeCell ref="AL7:AP7"/>
    <mergeCell ref="AQ7:AU7"/>
    <mergeCell ref="AF8:AH8"/>
    <mergeCell ref="AI8:AJ8"/>
    <mergeCell ref="C9:C25"/>
    <mergeCell ref="T9:T15"/>
    <mergeCell ref="T16:T20"/>
    <mergeCell ref="T21:T25"/>
    <mergeCell ref="C28:C44"/>
    <mergeCell ref="T28:T34"/>
    <mergeCell ref="T35:T39"/>
    <mergeCell ref="T40:T44"/>
    <mergeCell ref="C47:C63"/>
    <mergeCell ref="T47:T53"/>
    <mergeCell ref="T54:T58"/>
    <mergeCell ref="T59:T63"/>
    <mergeCell ref="C66:C82"/>
    <mergeCell ref="T66:T72"/>
    <mergeCell ref="T73:T77"/>
    <mergeCell ref="T78:T82"/>
    <mergeCell ref="C85:C101"/>
    <mergeCell ref="T85:T91"/>
    <mergeCell ref="T92:T96"/>
    <mergeCell ref="T97:T101"/>
    <mergeCell ref="C104:C120"/>
    <mergeCell ref="T104:T110"/>
    <mergeCell ref="T111:T115"/>
    <mergeCell ref="T116:T120"/>
    <mergeCell ref="C123:C139"/>
    <mergeCell ref="T123:T129"/>
    <mergeCell ref="T130:T134"/>
    <mergeCell ref="T135:T139"/>
    <mergeCell ref="C142:C158"/>
    <mergeCell ref="T142:T148"/>
    <mergeCell ref="T149:T153"/>
    <mergeCell ref="T154:T158"/>
    <mergeCell ref="C161:C177"/>
    <mergeCell ref="T161:T167"/>
    <mergeCell ref="T168:T172"/>
    <mergeCell ref="T173:T177"/>
    <mergeCell ref="C218:C234"/>
    <mergeCell ref="T218:T224"/>
    <mergeCell ref="T225:T229"/>
    <mergeCell ref="T230:T234"/>
    <mergeCell ref="C180:C196"/>
    <mergeCell ref="T180:T186"/>
    <mergeCell ref="T187:T191"/>
    <mergeCell ref="T192:T196"/>
    <mergeCell ref="C199:C215"/>
    <mergeCell ref="T199:T205"/>
    <mergeCell ref="T206:T210"/>
    <mergeCell ref="T211:T215"/>
  </mergeCells>
  <phoneticPr fontId="1" type="noConversion"/>
  <conditionalFormatting sqref="J6:R6 F6:H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K5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:AP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:AU5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">
    <cfRule type="expression" dxfId="71" priority="22">
      <formula>$B$88&gt;1</formula>
    </cfRule>
  </conditionalFormatting>
  <conditionalFormatting sqref="B31">
    <cfRule type="expression" dxfId="70" priority="11">
      <formula>$B$88&gt;1</formula>
    </cfRule>
  </conditionalFormatting>
  <conditionalFormatting sqref="B50">
    <cfRule type="expression" dxfId="69" priority="10">
      <formula>$B$88&gt;1</formula>
    </cfRule>
  </conditionalFormatting>
  <conditionalFormatting sqref="B69">
    <cfRule type="expression" dxfId="68" priority="9">
      <formula>$B$88&gt;1</formula>
    </cfRule>
  </conditionalFormatting>
  <conditionalFormatting sqref="B88">
    <cfRule type="expression" dxfId="67" priority="8">
      <formula>$B$88&gt;1</formula>
    </cfRule>
  </conditionalFormatting>
  <conditionalFormatting sqref="B107">
    <cfRule type="expression" dxfId="66" priority="7">
      <formula>$B$88&gt;1</formula>
    </cfRule>
  </conditionalFormatting>
  <conditionalFormatting sqref="B126">
    <cfRule type="expression" dxfId="65" priority="6">
      <formula>$B$88&gt;1</formula>
    </cfRule>
  </conditionalFormatting>
  <conditionalFormatting sqref="B145">
    <cfRule type="expression" dxfId="64" priority="5">
      <formula>$B$88&gt;1</formula>
    </cfRule>
  </conditionalFormatting>
  <conditionalFormatting sqref="B164">
    <cfRule type="expression" dxfId="63" priority="4">
      <formula>$B$88&gt;1</formula>
    </cfRule>
  </conditionalFormatting>
  <conditionalFormatting sqref="B183">
    <cfRule type="expression" dxfId="62" priority="3">
      <formula>$B$88&gt;1</formula>
    </cfRule>
  </conditionalFormatting>
  <conditionalFormatting sqref="B202">
    <cfRule type="expression" dxfId="61" priority="2">
      <formula>$B$88&gt;1</formula>
    </cfRule>
  </conditionalFormatting>
  <conditionalFormatting sqref="B221">
    <cfRule type="expression" dxfId="60" priority="1">
      <formula>$B$88&gt;1</formula>
    </cfRule>
  </conditionalFormatting>
  <pageMargins left="0.7" right="0.7" top="0.75" bottom="0.75" header="0.3" footer="0.3"/>
  <pageSetup paperSize="9" scale="6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3"/>
  <dimension ref="A1:AV243"/>
  <sheetViews>
    <sheetView zoomScale="70" zoomScaleNormal="70" workbookViewId="0">
      <pane ySplit="8" topLeftCell="A210" activePane="bottomLeft" state="frozen"/>
      <selection pane="bottomLeft" activeCell="L219" sqref="L219"/>
    </sheetView>
  </sheetViews>
  <sheetFormatPr defaultColWidth="9" defaultRowHeight="15" x14ac:dyDescent="0.25"/>
  <cols>
    <col min="1" max="1" width="26" style="45" customWidth="1"/>
    <col min="2" max="2" width="16.5" style="45" bestFit="1" customWidth="1"/>
    <col min="3" max="3" width="11" style="45" customWidth="1"/>
    <col min="4" max="4" width="13.625" style="92" bestFit="1" customWidth="1"/>
    <col min="5" max="5" width="18" style="92" bestFit="1" customWidth="1"/>
    <col min="6" max="6" width="16.125" style="45" bestFit="1" customWidth="1"/>
    <col min="7" max="7" width="17.375" style="45" bestFit="1" customWidth="1"/>
    <col min="8" max="8" width="12.625" style="45" bestFit="1" customWidth="1"/>
    <col min="9" max="9" width="15.125" style="45" bestFit="1" customWidth="1"/>
    <col min="10" max="10" width="13.375" style="45" bestFit="1" customWidth="1"/>
    <col min="11" max="11" width="16.125" style="45" bestFit="1" customWidth="1"/>
    <col min="12" max="12" width="20.125" style="45" customWidth="1"/>
    <col min="13" max="13" width="18.375" style="45" bestFit="1" customWidth="1"/>
    <col min="14" max="14" width="16.125" style="45" bestFit="1" customWidth="1"/>
    <col min="15" max="15" width="17.5" style="45" bestFit="1" customWidth="1"/>
    <col min="16" max="16" width="16.125" style="45" bestFit="1" customWidth="1"/>
    <col min="17" max="18" width="15" style="45" customWidth="1"/>
    <col min="19" max="19" width="13.5" style="45" bestFit="1" customWidth="1"/>
    <col min="20" max="20" width="12.625" style="45" bestFit="1" customWidth="1"/>
    <col min="21" max="21" width="9.625" style="45" bestFit="1" customWidth="1"/>
    <col min="22" max="22" width="10.875" style="45" bestFit="1" customWidth="1"/>
    <col min="23" max="23" width="12.125" style="45" bestFit="1" customWidth="1"/>
    <col min="24" max="24" width="13.75" style="45" bestFit="1" customWidth="1"/>
    <col min="25" max="25" width="14.25" style="45" bestFit="1" customWidth="1"/>
    <col min="26" max="26" width="10.875" style="45" bestFit="1" customWidth="1"/>
    <col min="27" max="27" width="12.625" style="45" customWidth="1"/>
    <col min="28" max="29" width="9" style="45"/>
    <col min="30" max="30" width="12.875" style="45" bestFit="1" customWidth="1"/>
    <col min="31" max="31" width="14.25" style="45" bestFit="1" customWidth="1"/>
    <col min="32" max="33" width="10.875" style="45" bestFit="1" customWidth="1"/>
    <col min="34" max="34" width="9" style="45" bestFit="1" customWidth="1"/>
    <col min="35" max="37" width="10.875" style="45" bestFit="1" customWidth="1"/>
    <col min="38" max="40" width="9.625" style="45" bestFit="1" customWidth="1"/>
    <col min="41" max="41" width="10.875" style="45" bestFit="1" customWidth="1"/>
    <col min="42" max="42" width="9.625" style="45" bestFit="1" customWidth="1"/>
    <col min="43" max="43" width="10.875" style="45" bestFit="1" customWidth="1"/>
    <col min="44" max="44" width="10" style="45" bestFit="1" customWidth="1"/>
    <col min="45" max="45" width="14.25" style="45" bestFit="1" customWidth="1"/>
    <col min="46" max="46" width="9.625" style="45" bestFit="1" customWidth="1"/>
    <col min="47" max="48" width="10.875" style="45" bestFit="1" customWidth="1"/>
    <col min="49" max="16384" width="9" style="45"/>
  </cols>
  <sheetData>
    <row r="1" spans="1:48" ht="16.5" x14ac:dyDescent="0.25">
      <c r="A1" s="55" t="s">
        <v>250</v>
      </c>
      <c r="B1" s="51">
        <f>SUMIF(D:D,A1,S:S)</f>
        <v>1046214</v>
      </c>
      <c r="C1" s="57">
        <f>B1/$B$4</f>
        <v>0.453651678249611</v>
      </c>
      <c r="J1" s="53" t="s">
        <v>246</v>
      </c>
      <c r="K1" s="179" t="s">
        <v>224</v>
      </c>
      <c r="L1" s="227" t="s">
        <v>276</v>
      </c>
      <c r="O1" s="126"/>
      <c r="P1" s="126"/>
    </row>
    <row r="2" spans="1:48" ht="18" thickBot="1" x14ac:dyDescent="0.3">
      <c r="A2" s="45" t="s">
        <v>152</v>
      </c>
      <c r="B2" s="51">
        <f>SUMIF(D:D,A2,S:S)</f>
        <v>164570</v>
      </c>
      <c r="C2" s="57">
        <f>B2/$B$4</f>
        <v>7.1359642185574348E-2</v>
      </c>
      <c r="J2" s="162">
        <v>160000</v>
      </c>
      <c r="K2" s="107">
        <f>27778*9</f>
        <v>250002</v>
      </c>
      <c r="L2" s="107">
        <f>J2*12+K2</f>
        <v>2170002</v>
      </c>
      <c r="O2" s="147"/>
      <c r="P2" s="125"/>
      <c r="S2" s="51"/>
      <c r="AO2" s="52"/>
    </row>
    <row r="3" spans="1:48" ht="18.75" thickTop="1" thickBot="1" x14ac:dyDescent="0.3">
      <c r="A3" s="45" t="s">
        <v>153</v>
      </c>
      <c r="B3" s="51">
        <f>SUMIF(D:D,A3,S:S)</f>
        <v>1095421.51</v>
      </c>
      <c r="C3" s="57">
        <f>B3/$B$4</f>
        <v>0.47498867956481472</v>
      </c>
      <c r="K3" s="74"/>
      <c r="M3" s="51"/>
      <c r="N3" s="51"/>
      <c r="O3" s="126"/>
      <c r="P3" s="51"/>
      <c r="Q3" s="67"/>
      <c r="S3" s="51"/>
      <c r="AD3" s="232" t="s">
        <v>289</v>
      </c>
      <c r="AE3" s="51"/>
      <c r="AF3" s="52"/>
      <c r="AH3" s="191"/>
      <c r="AS3" s="51">
        <f>27778*12</f>
        <v>333336</v>
      </c>
    </row>
    <row r="4" spans="1:48" ht="15" customHeight="1" x14ac:dyDescent="0.25">
      <c r="A4" s="56" t="s">
        <v>120</v>
      </c>
      <c r="B4" s="156">
        <f>SUMIF(D:D,A4,S:S)</f>
        <v>2306205.5099999998</v>
      </c>
      <c r="C4" s="145">
        <f>B4-B89</f>
        <v>1462985.5099999998</v>
      </c>
      <c r="M4" s="53"/>
      <c r="N4" s="53"/>
      <c r="O4" s="53"/>
      <c r="AD4" s="232" t="s">
        <v>288</v>
      </c>
      <c r="AE4" s="241">
        <f>AE5/$AD$5</f>
        <v>0.14157237877729292</v>
      </c>
      <c r="AF4" s="241">
        <f t="shared" ref="AF4:AU4" si="0">AF5/$AD$5</f>
        <v>4.2589439481479693E-3</v>
      </c>
      <c r="AG4" s="241">
        <f t="shared" si="0"/>
        <v>5.761195150383628E-2</v>
      </c>
      <c r="AH4" s="241">
        <f t="shared" si="0"/>
        <v>4.2624128497550946E-3</v>
      </c>
      <c r="AI4" s="241">
        <f t="shared" si="0"/>
        <v>0.11898375873709539</v>
      </c>
      <c r="AJ4" s="241">
        <f t="shared" si="0"/>
        <v>9.340537912425681E-2</v>
      </c>
      <c r="AK4" s="241">
        <f t="shared" si="0"/>
        <v>3.3556853309226552E-2</v>
      </c>
      <c r="AL4" s="241">
        <f t="shared" si="0"/>
        <v>1.4894596275593844E-2</v>
      </c>
      <c r="AM4" s="241">
        <f t="shared" si="0"/>
        <v>2.6965506642987774E-2</v>
      </c>
      <c r="AN4" s="241">
        <f t="shared" si="0"/>
        <v>7.1333625423520911E-3</v>
      </c>
      <c r="AO4" s="241">
        <f t="shared" si="0"/>
        <v>3.6067904460084311E-3</v>
      </c>
      <c r="AP4" s="241">
        <f t="shared" si="0"/>
        <v>1.8759386278632214E-2</v>
      </c>
      <c r="AQ4" s="241">
        <f t="shared" si="0"/>
        <v>0.22222716396163672</v>
      </c>
      <c r="AR4" s="241">
        <f t="shared" si="0"/>
        <v>8.779356354933E-3</v>
      </c>
      <c r="AS4" s="241">
        <f t="shared" si="0"/>
        <v>0.16177352728638655</v>
      </c>
      <c r="AT4" s="241">
        <f t="shared" si="0"/>
        <v>2.7117271088299501E-2</v>
      </c>
      <c r="AU4" s="241">
        <f t="shared" si="0"/>
        <v>5.5091360873558926E-2</v>
      </c>
    </row>
    <row r="5" spans="1:48" ht="17.25" thickBot="1" x14ac:dyDescent="0.3">
      <c r="A5" s="45" t="s">
        <v>239</v>
      </c>
      <c r="B5" s="154">
        <f>B4-K2</f>
        <v>2056203.5099999998</v>
      </c>
      <c r="AD5" s="163">
        <f>SUM(AE5:AU5)</f>
        <v>2306205.5099999998</v>
      </c>
      <c r="AE5" s="192">
        <f t="shared" ref="AE5:AU5" si="1">SUM(AE10:AE21)</f>
        <v>326495</v>
      </c>
      <c r="AF5" s="192">
        <f t="shared" si="1"/>
        <v>9822</v>
      </c>
      <c r="AG5" s="192">
        <f t="shared" si="1"/>
        <v>132865</v>
      </c>
      <c r="AH5" s="192">
        <f t="shared" si="1"/>
        <v>9830</v>
      </c>
      <c r="AI5" s="192">
        <f t="shared" si="1"/>
        <v>274401</v>
      </c>
      <c r="AJ5" s="192">
        <f t="shared" si="1"/>
        <v>215412</v>
      </c>
      <c r="AK5" s="192">
        <f t="shared" si="1"/>
        <v>77389</v>
      </c>
      <c r="AL5" s="192">
        <f t="shared" si="1"/>
        <v>34350</v>
      </c>
      <c r="AM5" s="192">
        <f t="shared" si="1"/>
        <v>62188</v>
      </c>
      <c r="AN5" s="192">
        <f t="shared" si="1"/>
        <v>16451</v>
      </c>
      <c r="AO5" s="192">
        <f t="shared" si="1"/>
        <v>8318</v>
      </c>
      <c r="AP5" s="192">
        <f t="shared" si="1"/>
        <v>43263</v>
      </c>
      <c r="AQ5" s="192">
        <f t="shared" si="1"/>
        <v>512501.51</v>
      </c>
      <c r="AR5" s="192">
        <f t="shared" si="1"/>
        <v>20247</v>
      </c>
      <c r="AS5" s="192">
        <f>SUM(AS10:AS21)</f>
        <v>373083</v>
      </c>
      <c r="AT5" s="192">
        <f t="shared" si="1"/>
        <v>62538</v>
      </c>
      <c r="AU5" s="192">
        <f t="shared" si="1"/>
        <v>127052</v>
      </c>
    </row>
    <row r="6" spans="1:48" ht="17.25" thickBot="1" x14ac:dyDescent="0.3">
      <c r="A6" s="55" t="s">
        <v>238</v>
      </c>
      <c r="B6" s="157">
        <f>B4/L2</f>
        <v>1.0627665366207035</v>
      </c>
      <c r="F6" s="73">
        <f t="shared" ref="F6:R6" si="2">F7/$S$7</f>
        <v>0.47703511037054114</v>
      </c>
      <c r="G6" s="73">
        <f t="shared" si="2"/>
        <v>0</v>
      </c>
      <c r="H6" s="73">
        <f t="shared" si="2"/>
        <v>0.21227856662262509</v>
      </c>
      <c r="I6" s="73">
        <f t="shared" si="2"/>
        <v>1.5369402183069108E-2</v>
      </c>
      <c r="J6" s="73">
        <f t="shared" si="2"/>
        <v>2.4906713539158964E-3</v>
      </c>
      <c r="K6" s="73">
        <f t="shared" si="2"/>
        <v>0</v>
      </c>
      <c r="L6" s="73">
        <f t="shared" si="2"/>
        <v>9.3166024913365168E-3</v>
      </c>
      <c r="M6" s="73">
        <f t="shared" si="2"/>
        <v>0.10376395293583356</v>
      </c>
      <c r="N6" s="73">
        <f t="shared" si="2"/>
        <v>1.3168817726049056E-3</v>
      </c>
      <c r="O6" s="73">
        <f t="shared" si="2"/>
        <v>7.6920512604273517E-2</v>
      </c>
      <c r="P6" s="73">
        <f t="shared" si="2"/>
        <v>4.5442611053340173E-4</v>
      </c>
      <c r="Q6" s="73">
        <f t="shared" si="2"/>
        <v>0.10105387355526699</v>
      </c>
      <c r="R6" s="73">
        <f t="shared" si="2"/>
        <v>0</v>
      </c>
      <c r="AE6" s="289" t="str">
        <f>W9</f>
        <v>生活</v>
      </c>
      <c r="AF6" s="290"/>
      <c r="AG6" s="290"/>
      <c r="AH6" s="290"/>
      <c r="AI6" s="290"/>
      <c r="AJ6" s="290"/>
      <c r="AK6" s="291"/>
      <c r="AL6" s="289" t="str">
        <f>X9</f>
        <v>想要&amp;奢侈品</v>
      </c>
      <c r="AM6" s="292"/>
      <c r="AN6" s="292"/>
      <c r="AO6" s="292"/>
      <c r="AP6" s="293"/>
      <c r="AQ6" s="289" t="str">
        <f>Y9</f>
        <v>一次性支出</v>
      </c>
      <c r="AR6" s="292"/>
      <c r="AS6" s="292"/>
      <c r="AT6" s="292"/>
      <c r="AU6" s="293"/>
    </row>
    <row r="7" spans="1:48" ht="15.75" customHeight="1" thickBot="1" x14ac:dyDescent="0.3">
      <c r="F7" s="70">
        <f t="shared" ref="F7:R7" si="3">SUMIF($D$9:$D$1012,"Total",F9:F1012)</f>
        <v>1100141</v>
      </c>
      <c r="G7" s="70">
        <f t="shared" si="3"/>
        <v>0</v>
      </c>
      <c r="H7" s="70">
        <f t="shared" si="3"/>
        <v>489558</v>
      </c>
      <c r="I7" s="70">
        <f t="shared" si="3"/>
        <v>35445</v>
      </c>
      <c r="J7" s="70">
        <f t="shared" si="3"/>
        <v>5744</v>
      </c>
      <c r="K7" s="70">
        <f t="shared" si="3"/>
        <v>0</v>
      </c>
      <c r="L7" s="70">
        <f t="shared" si="3"/>
        <v>21486</v>
      </c>
      <c r="M7" s="70">
        <f t="shared" si="3"/>
        <v>239301</v>
      </c>
      <c r="N7" s="70">
        <f t="shared" si="3"/>
        <v>3037</v>
      </c>
      <c r="O7" s="70">
        <f t="shared" si="3"/>
        <v>177394.51</v>
      </c>
      <c r="P7" s="70">
        <f t="shared" si="3"/>
        <v>1048</v>
      </c>
      <c r="Q7" s="70">
        <f>SUMIF($D$9:$D$1012,"Total",Q9:Q1012)</f>
        <v>233051</v>
      </c>
      <c r="R7" s="70">
        <f t="shared" si="3"/>
        <v>0</v>
      </c>
      <c r="S7" s="71">
        <f>SUM(F7:R7)</f>
        <v>2306205.5099999998</v>
      </c>
      <c r="Y7" s="51"/>
      <c r="AD7" s="225" t="s">
        <v>275</v>
      </c>
      <c r="AE7" s="294">
        <f>SUMPRODUCT((VALUE($AD$10:$AD$21)&lt;=VALUE($AD$4))*(AE10:AK21))/SUMPRODUCT((VALUE('2022'!$AD$10:$AD$21)&lt;=VALUE($AD$3))*('2022'!AE$10:AK$21))</f>
        <v>0.98418014150104749</v>
      </c>
      <c r="AF7" s="295"/>
      <c r="AG7" s="295"/>
      <c r="AH7" s="295"/>
      <c r="AI7" s="295"/>
      <c r="AJ7" s="295"/>
      <c r="AK7" s="296"/>
      <c r="AL7" s="294">
        <f>SUMPRODUCT((VALUE($AD$10:$AD$21)&lt;=VALUE($AD$4))*(AL10:AP21))/SUMPRODUCT((VALUE('2022'!$AD$10:$AD$21)&lt;=VALUE($AD$3))*('2022'!AL$10:AP$21))</f>
        <v>0.89785207291058577</v>
      </c>
      <c r="AM7" s="295"/>
      <c r="AN7" s="295"/>
      <c r="AO7" s="295"/>
      <c r="AP7" s="295"/>
      <c r="AQ7" s="294">
        <f>SUMPRODUCT((VALUE($AD$10:$AD$21)&lt;=VALUE($AD$4))*(AQ10:AU21))/SUMPRODUCT((VALUE('2022'!$AD$10:$AD$21)&lt;=VALUE($AD$3))*('2022'!AQ$10:AU$21))</f>
        <v>1.6291605838330478</v>
      </c>
      <c r="AR7" s="295"/>
      <c r="AS7" s="295"/>
      <c r="AT7" s="295"/>
      <c r="AU7" s="296"/>
    </row>
    <row r="8" spans="1:48" ht="18.75" thickTop="1" thickBot="1" x14ac:dyDescent="0.3">
      <c r="C8" s="41" t="s">
        <v>154</v>
      </c>
      <c r="D8" s="93"/>
      <c r="E8" s="93"/>
      <c r="F8" s="41" t="s">
        <v>155</v>
      </c>
      <c r="G8" s="41" t="s">
        <v>156</v>
      </c>
      <c r="H8" s="41" t="s">
        <v>157</v>
      </c>
      <c r="I8" s="41" t="s">
        <v>158</v>
      </c>
      <c r="J8" s="41" t="s">
        <v>159</v>
      </c>
      <c r="K8" s="41" t="s">
        <v>160</v>
      </c>
      <c r="L8" s="41" t="s">
        <v>161</v>
      </c>
      <c r="M8" s="53" t="s">
        <v>235</v>
      </c>
      <c r="N8" s="41" t="s">
        <v>162</v>
      </c>
      <c r="O8" s="53" t="s">
        <v>233</v>
      </c>
      <c r="P8" s="41" t="s">
        <v>192</v>
      </c>
      <c r="Q8" s="41" t="s">
        <v>164</v>
      </c>
      <c r="R8" s="41"/>
      <c r="S8" s="84" t="s">
        <v>120</v>
      </c>
      <c r="W8" s="52">
        <f>SUM(W10:W21)</f>
        <v>1046214</v>
      </c>
      <c r="X8" s="52">
        <f>SUM(X10:X21)</f>
        <v>164570</v>
      </c>
      <c r="Y8" s="52">
        <f>SUM(Y10:Y21)</f>
        <v>1095421.51</v>
      </c>
      <c r="Z8" s="51"/>
      <c r="AA8" s="74"/>
      <c r="AD8" s="226">
        <f>SUMPRODUCT((VALUE($AD$10:$AD$21)&lt;=VALUE($AD$4))*(AE10:AU21))/SUMPRODUCT((VALUE('2022'!$AD$10:$AD$21)&lt;=VALUE($AD$3))*('2022'!AE$10:AU$21))</f>
        <v>1.2019575203730843</v>
      </c>
      <c r="AE8" s="199">
        <f>SUMPRODUCT((VALUE($AD$10:$AD$21)&lt;=VALUE($AD$4))*(AE10:AE21))/SUMPRODUCT((VALUE('2022'!$AD$10:$AD$21)&lt;=VALUE($AD$3))*('2022'!AG$10:AG$21))</f>
        <v>1.0648925795583155</v>
      </c>
      <c r="AF8" s="299">
        <f>(SUMPRODUCT((VALUE($AD$10:$AD$21)&lt;=VALUE($AD$4))*(AF10:AF21))+SUMPRODUCT((VALUE($AD$10:$AD$21)&lt;=VALUE($AD$4))*(AG10:AG21))+SUMPRODUCT((VALUE($AD$10:$AD$21)&lt;=VALUE($AD$4))*(AK10:AK21)))/(SUMPRODUCT((VALUE('2022'!$AD$10:$AD$21)&lt;=VALUE($AD$3))*('2022'!AE$10:AE$21))+SUMPRODUCT((VALUE('2022'!$AD$10:$AD$21)&lt;=VALUE($AD$3))*('2022'!AI$10:AI$21))+SUMPRODUCT((VALUE('2022'!$AD$10:$AD$21)&lt;=VALUE($AD$3))*('2022'!AJ$10:AJ$21)))</f>
        <v>0.879663604895636</v>
      </c>
      <c r="AG8" s="300"/>
      <c r="AH8" s="300"/>
      <c r="AI8" s="297">
        <f>(SUMPRODUCT((VALUE($AD$10:$AD$21)&lt;=VALUE($AD$4))*(AI10:AI21))+SUMPRODUCT((VALUE($AD$10:$AD$21)&lt;=VALUE($AD$4))*(AJ10:AJ21)))/SUMPRODUCT((VALUE('2022'!$AD$10:$AD$21)&lt;=VALUE($AD$3))*('2022'!AK$10:AK$21))</f>
        <v>1.0524175094592592</v>
      </c>
      <c r="AJ8" s="298"/>
      <c r="AK8" s="220">
        <f>SUMPRODUCT((VALUE($AD$10:$AD$21)&lt;=VALUE($AD$4))*(AH10:AH21))/SUMPRODUCT((VALUE('2022'!$AD$10:$AD$21)&lt;=VALUE($AD$3))*('2022'!AF$10:AF$21))</f>
        <v>0.24073665907476796</v>
      </c>
      <c r="AL8" s="196">
        <f>SUMPRODUCT((VALUE($AD$10:$AD$21)&lt;=VALUE($AD$4))*(AL10:AL21))/SUMPRODUCT((VALUE('2022'!$AD$10:$AD$21)&lt;=VALUE($AD$3))*('2022'!AL10:AL21))</f>
        <v>0.42894605394605395</v>
      </c>
      <c r="AM8" s="197">
        <f>SUMPRODUCT((VALUE($AD$10:$AD$21)&lt;=VALUE($AD$4))*(AM10:AM21))/SUMPRODUCT((VALUE('2022'!$AD$10:$AD$21)&lt;=VALUE($AD$3))*('2022'!AM10:AM21))</f>
        <v>1.054892115619487</v>
      </c>
      <c r="AN8" s="197">
        <f>SUMPRODUCT((VALUE($AD$10:$AD$21)&lt;=VALUE($AD$4))*(AN10:AN21))/SUMPRODUCT((VALUE('2022'!$AD$10:$AD$21)&lt;=VALUE($AD$3))*('2022'!AN10:AN21))</f>
        <v>1.0116221866929036</v>
      </c>
      <c r="AO8" s="197">
        <f>SUMPRODUCT((VALUE($AD$10:$AD$21)&lt;=VALUE($AD$4))*(AO10:AO21))/SUMPRODUCT((VALUE('2022'!$AD$10:$AD$21)&lt;=VALUE($AD$3))*('2022'!AO10:AO21))</f>
        <v>0.54366013071895425</v>
      </c>
      <c r="AP8" s="198">
        <f>SUMPRODUCT((VALUE($AD$10:$AD$21)&lt;=VALUE($AD$4))*(AP10:AP21))/SUMPRODUCT((VALUE('2022'!$AD$10:$AD$21)&lt;=VALUE($AD$3))*('2022'!AP10:AP21))</f>
        <v>3.4068036853295536</v>
      </c>
      <c r="AQ8" s="221">
        <f>SUMPRODUCT((VALUE($AD$10:$AD$21)&lt;=VALUE($AD$4))*(AQ10:AQ21))/SUMPRODUCT((VALUE('2022'!$AD$10:$AD$21)&lt;=VALUE($AD$3))*('2022'!AQ10:AQ21))</f>
        <v>4.363386062747435</v>
      </c>
      <c r="AR8" s="197">
        <f>SUMPRODUCT((VALUE($AD$10:$AD$21)&lt;=VALUE($AD$4))*(AR10:AR21))/SUMPRODUCT((VALUE('2022'!$AD$10:$AD$21)&lt;=VALUE($AD$3))*('2022'!AR10:AR21))</f>
        <v>1.527383826191913</v>
      </c>
      <c r="AS8" s="197">
        <f>SUMPRODUCT((VALUE($AD$10:$AD$21)&lt;=VALUE($AD$4))*(AS10:AS21))/SUMPRODUCT((VALUE('2022'!$AD$10:$AD$21)&lt;=VALUE($AD$3))*('2022'!AS10:AS21))</f>
        <v>0.90092511428095368</v>
      </c>
      <c r="AT8" s="197">
        <f>SUMPRODUCT((VALUE($AD$10:$AD$21)&lt;=VALUE($AD$4))*(AT10:AT21))/SUMPRODUCT((VALUE('2022'!$AD$10:$AD$21)&lt;=VALUE($AD$3))*('2022'!AT10:AT21))</f>
        <v>1.8712186948325902</v>
      </c>
      <c r="AU8" s="198">
        <f>SUMPRODUCT((VALUE($AD$10:$AD$21)&lt;=VALUE($AD$4))*(AU10:AU21))/SUMPRODUCT((VALUE('2022'!$AD$10:$AD$21)&lt;=VALUE($AD$3))*('2022'!AU10:AU21))</f>
        <v>1.3495926323281036</v>
      </c>
    </row>
    <row r="9" spans="1:48" ht="18" thickBot="1" x14ac:dyDescent="0.3">
      <c r="A9" s="166" t="s">
        <v>188</v>
      </c>
      <c r="B9" s="167">
        <v>202301</v>
      </c>
      <c r="C9" s="275">
        <v>202301</v>
      </c>
      <c r="D9" s="94" t="s">
        <v>151</v>
      </c>
      <c r="E9" s="177" t="s">
        <v>252</v>
      </c>
      <c r="F9" s="60">
        <f>20+1224+30+1030+80+480+340+100+260+355+170+313+52+12+45+340+100+150+100+40+100+90</f>
        <v>5431</v>
      </c>
      <c r="G9" s="59"/>
      <c r="H9" s="59">
        <f>19+104+39+55+109+68+38+202+500+500+175+39+1232+55+105+100+165+15+109+18+47+60+12+80+500+404+368+560+56+55+75</f>
        <v>5864</v>
      </c>
      <c r="I9" s="60">
        <f>69+38+125+65+3+200+55+1628+60+55+56+315+203</f>
        <v>2872</v>
      </c>
      <c r="J9" s="59">
        <v>1100</v>
      </c>
      <c r="K9" s="60"/>
      <c r="L9" s="60"/>
      <c r="M9" s="60">
        <v>237</v>
      </c>
      <c r="N9" s="60">
        <f>50+50+77+254</f>
        <v>431</v>
      </c>
      <c r="O9" s="60">
        <f>65+199+56+400</f>
        <v>720</v>
      </c>
      <c r="P9" s="60">
        <f>638+180+230</f>
        <v>1048</v>
      </c>
      <c r="Q9" s="60">
        <f>2000+2000+2000+2000</f>
        <v>8000</v>
      </c>
      <c r="R9" s="60"/>
      <c r="S9" s="44">
        <f t="shared" ref="S9:S25" si="4">SUM(F9:R9)</f>
        <v>25703</v>
      </c>
      <c r="T9" s="277">
        <f>SUM(S9:S15)</f>
        <v>79200</v>
      </c>
      <c r="V9" s="41" t="s">
        <v>188</v>
      </c>
      <c r="W9" s="41" t="str">
        <f>A1</f>
        <v>生活</v>
      </c>
      <c r="X9" s="41" t="s">
        <v>152</v>
      </c>
      <c r="Y9" s="41" t="str">
        <f>A3</f>
        <v>一次性支出</v>
      </c>
      <c r="Z9" s="41" t="s">
        <v>120</v>
      </c>
      <c r="AD9" s="41" t="s">
        <v>208</v>
      </c>
      <c r="AE9" s="193" t="s">
        <v>259</v>
      </c>
      <c r="AF9" s="194" t="s">
        <v>251</v>
      </c>
      <c r="AG9" s="194" t="s">
        <v>260</v>
      </c>
      <c r="AH9" s="195" t="s">
        <v>263</v>
      </c>
      <c r="AI9" s="194" t="s">
        <v>256</v>
      </c>
      <c r="AJ9" s="194" t="s">
        <v>261</v>
      </c>
      <c r="AK9" s="194" t="s">
        <v>255</v>
      </c>
      <c r="AL9" s="122" t="s">
        <v>200</v>
      </c>
      <c r="AM9" s="123" t="s">
        <v>201</v>
      </c>
      <c r="AN9" s="123" t="s">
        <v>202</v>
      </c>
      <c r="AO9" s="123" t="s">
        <v>203</v>
      </c>
      <c r="AP9" s="124" t="s">
        <v>198</v>
      </c>
      <c r="AQ9" s="123" t="s">
        <v>204</v>
      </c>
      <c r="AR9" s="123" t="s">
        <v>205</v>
      </c>
      <c r="AS9" s="123" t="s">
        <v>206</v>
      </c>
      <c r="AT9" s="123" t="s">
        <v>207</v>
      </c>
      <c r="AU9" s="124" t="s">
        <v>198</v>
      </c>
      <c r="AV9" s="158" t="s">
        <v>240</v>
      </c>
    </row>
    <row r="10" spans="1:48" ht="15" customHeight="1" thickBot="1" x14ac:dyDescent="0.3">
      <c r="A10" s="164" t="s">
        <v>247</v>
      </c>
      <c r="B10" s="162">
        <f>$J$2</f>
        <v>160000</v>
      </c>
      <c r="C10" s="275"/>
      <c r="D10" s="95" t="s">
        <v>151</v>
      </c>
      <c r="E10" s="176" t="s">
        <v>253</v>
      </c>
      <c r="F10" s="79"/>
      <c r="G10" s="78"/>
      <c r="H10" s="78">
        <v>990</v>
      </c>
      <c r="I10" s="79">
        <v>1040</v>
      </c>
      <c r="J10" s="78">
        <v>790</v>
      </c>
      <c r="K10" s="79"/>
      <c r="L10" s="79"/>
      <c r="M10" s="79"/>
      <c r="N10" s="79"/>
      <c r="O10" s="79"/>
      <c r="P10" s="79"/>
      <c r="Q10" s="79"/>
      <c r="R10" s="79"/>
      <c r="S10" s="80">
        <f t="shared" si="4"/>
        <v>2820</v>
      </c>
      <c r="T10" s="278"/>
      <c r="V10" s="90">
        <f>$C$9</f>
        <v>202301</v>
      </c>
      <c r="W10" s="52">
        <f>T9</f>
        <v>79200</v>
      </c>
      <c r="X10" s="52">
        <f>T16</f>
        <v>47777</v>
      </c>
      <c r="Y10" s="52">
        <f>T21</f>
        <v>86141</v>
      </c>
      <c r="Z10" s="52">
        <f>W10+X10+Y10</f>
        <v>213118</v>
      </c>
      <c r="AA10" s="73">
        <f>W10/'2022'!W10-1</f>
        <v>-0.10718311764440636</v>
      </c>
      <c r="AB10" s="73">
        <f>X10/'2022'!X10-1</f>
        <v>1.8253696037847429</v>
      </c>
      <c r="AC10" s="73">
        <f>Y10/'2022'!Y10-1</f>
        <v>0.75300677669468241</v>
      </c>
      <c r="AD10" s="200">
        <f t="shared" ref="AD10:AD21" si="5">V10</f>
        <v>202301</v>
      </c>
      <c r="AE10" s="116">
        <f>SUMPRODUCT(($D$9:$D$25=$AE$6)*($E$9:$E$25=AE$9)*$S$9:$S$25)</f>
        <v>25703</v>
      </c>
      <c r="AF10" s="201">
        <f>SUMPRODUCT(($D$9:$D$25=$AE$6)*($E$9:$E$25=$AF$9)*$S$9:$S$25)</f>
        <v>2820</v>
      </c>
      <c r="AG10" s="202">
        <f>SUMPRODUCT(($D$9:$D$25=$AE$6)*($E$9:$E$25=$AG$9)*$S$9:$S$25)</f>
        <v>10108</v>
      </c>
      <c r="AH10" s="203">
        <f>SUMPRODUCT(($D$9:$D$25=$AE$6)*($E$9:$E$25=$AH$9)*$S$9:$S$25)</f>
        <v>1080</v>
      </c>
      <c r="AI10" s="201">
        <f>SUMPRODUCT(($D$9:$D$25=$AE$6)*($E$9:$E$25=$AI$9)*$S$9:$S$25)</f>
        <v>18169</v>
      </c>
      <c r="AJ10" s="203">
        <f>SUMPRODUCT(($D$9:$D$25=$AE$6)*($E$9:$E$25=$AJ$9)*$S$9:$S$25)</f>
        <v>15220</v>
      </c>
      <c r="AK10" s="117">
        <f>SUMPRODUCT(($D$9:$D$25=$AE$6)*($E$9:$E$25=$AK$9)*$S$9:$S$25)</f>
        <v>6100</v>
      </c>
      <c r="AL10" s="210">
        <f>SUMPRODUCT(($D$9:$D$25=$AL$6)*($E$9:$E$25=$AL$9)*$S$9:$S$25)</f>
        <v>489</v>
      </c>
      <c r="AM10" s="211">
        <f>SUMPRODUCT(($D$9:$D$25=$AL$6)*($E$9:$E$25=$AM$9)*$S$9:$S$25)</f>
        <v>46498</v>
      </c>
      <c r="AN10" s="211">
        <f>SUMPRODUCT(($D$9:$D$25=$AL$6)*($E$9:$E$25=$AN$9)*$S$9:$S$25)</f>
        <v>150</v>
      </c>
      <c r="AO10" s="211">
        <f>SUMPRODUCT(($D$9:$D$25=$AL$6)*($E$9:$E$25=$AO$9)*$S$9:$S$25)</f>
        <v>350</v>
      </c>
      <c r="AP10" s="212">
        <f>SUMPRODUCT(($D$9:$D$25=$AL$6)*($E$9:$E$25=$AP$9)*$S$9:$S$25)</f>
        <v>290</v>
      </c>
      <c r="AQ10" s="210">
        <f>SUMPRODUCT(($D$9:$D$25=$AQ$6)*($E$9:$E$25=$AQ$9)*$S$9:$S$25)</f>
        <v>39981</v>
      </c>
      <c r="AR10" s="211">
        <f>SUMPRODUCT(($D$9:$D$25=$AQ$6)*($E$9:$E$25=$AR$9)*$S$9:$S$25)</f>
        <v>1800</v>
      </c>
      <c r="AS10" s="211">
        <f>SUMPRODUCT(($D$9:$D$25=$AQ$6)*($E$9:$E$25=$AS$9)*$S$9:$S$25)</f>
        <v>27778</v>
      </c>
      <c r="AT10" s="211">
        <f>SUMPRODUCT(($D$9:$D$25=$AQ$6)*($E$9:$E$25=$AT$9)*$S$9:$S$25)</f>
        <v>6753</v>
      </c>
      <c r="AU10" s="212">
        <f>SUMPRODUCT(($D$9:$D$25=$AQ$6)*($E$9:$E$25=$AU$9)*$S$9:$S$25)</f>
        <v>9829</v>
      </c>
      <c r="AV10" s="159">
        <f>SUM(AE10:AU10)</f>
        <v>213118</v>
      </c>
    </row>
    <row r="11" spans="1:48" ht="15" customHeight="1" thickTop="1" x14ac:dyDescent="0.25">
      <c r="A11" s="165" t="s">
        <v>237</v>
      </c>
      <c r="B11" s="182">
        <f>SUMPRODUCT((($V$10:$V$21)&lt;=VALUE(B9))*($Z$10:$Z$21))</f>
        <v>213118</v>
      </c>
      <c r="C11" s="275"/>
      <c r="D11" s="95" t="s">
        <v>151</v>
      </c>
      <c r="E11" s="176" t="s">
        <v>254</v>
      </c>
      <c r="F11" s="79">
        <v>3028</v>
      </c>
      <c r="G11" s="78"/>
      <c r="H11" s="78">
        <f>303+0</f>
        <v>303</v>
      </c>
      <c r="I11" s="79"/>
      <c r="J11" s="78"/>
      <c r="K11" s="79"/>
      <c r="L11" s="79"/>
      <c r="M11" s="79"/>
      <c r="N11" s="79"/>
      <c r="O11" s="79"/>
      <c r="P11" s="79"/>
      <c r="Q11" s="79">
        <f>10500-6000+1497+1580-800</f>
        <v>6777</v>
      </c>
      <c r="R11" s="79"/>
      <c r="S11" s="80">
        <f t="shared" si="4"/>
        <v>10108</v>
      </c>
      <c r="T11" s="278"/>
      <c r="V11" s="90">
        <f>$C$28</f>
        <v>202302</v>
      </c>
      <c r="W11" s="52">
        <f>T28</f>
        <v>89755</v>
      </c>
      <c r="X11" s="52">
        <f>T35</f>
        <v>2218</v>
      </c>
      <c r="Y11" s="52">
        <f>T40</f>
        <v>101660</v>
      </c>
      <c r="Z11" s="52">
        <f t="shared" ref="Z11:Z21" si="6">W11+X11+Y11</f>
        <v>193633</v>
      </c>
      <c r="AA11" s="73">
        <f>W11/'2022'!W11-1</f>
        <v>-0.247047078957082</v>
      </c>
      <c r="AB11" s="73">
        <f>X11/'2022'!X11-1</f>
        <v>-0.81834561834561836</v>
      </c>
      <c r="AC11" s="73">
        <f>Y11/'2022'!Y11-1</f>
        <v>1.0916404337180832</v>
      </c>
      <c r="AD11" s="200">
        <f t="shared" si="5"/>
        <v>202302</v>
      </c>
      <c r="AE11" s="116">
        <f t="shared" ref="AE11:AK11" si="7">SUMPRODUCT(($D$28:$D$44=$AE$6)*($E$28:$E$44=AE$9)*$S$28:$S$44)</f>
        <v>22683</v>
      </c>
      <c r="AF11" s="204">
        <f t="shared" si="7"/>
        <v>0</v>
      </c>
      <c r="AG11" s="117">
        <f t="shared" si="7"/>
        <v>8367</v>
      </c>
      <c r="AH11" s="205">
        <f t="shared" si="7"/>
        <v>80</v>
      </c>
      <c r="AI11" s="204">
        <f t="shared" si="7"/>
        <v>45531</v>
      </c>
      <c r="AJ11" s="205">
        <f t="shared" si="7"/>
        <v>6915</v>
      </c>
      <c r="AK11" s="117">
        <f t="shared" si="7"/>
        <v>6179</v>
      </c>
      <c r="AL11" s="213">
        <f>SUMPRODUCT(($D$28:$D$44=$AL$6)*($E$28:$E$44=AL$9)*$S$28:$S$44)</f>
        <v>40</v>
      </c>
      <c r="AM11" s="208">
        <f>SUMPRODUCT(($D$28:$D$44=$AL$6)*($E$28:$E$44=AM$9)*$S$28:$S$44)</f>
        <v>40</v>
      </c>
      <c r="AN11" s="208">
        <f>SUMPRODUCT(($D$28:$D$44=$AL$6)*($E$28:$E$44=AN$9)*$S$28:$S$44)</f>
        <v>969</v>
      </c>
      <c r="AO11" s="208">
        <f>SUMPRODUCT(($D$28:$D$44=$AL$6)*($E$28:$E$44=AO$9)*$S$28:$S$44)</f>
        <v>1069</v>
      </c>
      <c r="AP11" s="214">
        <f>SUMPRODUCT(($D$28:$D$44=$AL$6)*($E$28:$E$44=AP$9)*$S$28:$S$44)</f>
        <v>100</v>
      </c>
      <c r="AQ11" s="213">
        <f>SUMPRODUCT(($D$28:$D$44=$AQ$6)*($E$28:$E$44=AQ$9)*$S$28:$S$44)</f>
        <v>61076</v>
      </c>
      <c r="AR11" s="208">
        <f>SUMPRODUCT(($D$28:$D$44=$AQ$6)*($E$28:$E$44=AR$9)*$S$28:$S$44)</f>
        <v>0</v>
      </c>
      <c r="AS11" s="208">
        <f>SUMPRODUCT(($D$28:$D$44=$AQ$6)*($E$28:$E$44=AS$9)*$S$28:$S$44)</f>
        <v>27778</v>
      </c>
      <c r="AT11" s="208">
        <f>SUMPRODUCT(($D$28:$D$44=$AQ$6)*($E$28:$E$44=AT$9)*$S$28:$S$44)</f>
        <v>9117</v>
      </c>
      <c r="AU11" s="214">
        <f>SUMPRODUCT(($D$28:$D$44=$AQ$6)*($E$28:$E$44=AU$9)*$S$28:$S$44)</f>
        <v>3689</v>
      </c>
      <c r="AV11" s="159">
        <f t="shared" ref="AV11:AV21" si="8">SUM(AE11:AU11)</f>
        <v>193633</v>
      </c>
    </row>
    <row r="12" spans="1:48" ht="15" customHeight="1" x14ac:dyDescent="0.25">
      <c r="A12" s="165" t="s">
        <v>264</v>
      </c>
      <c r="B12" s="181">
        <f>B11/SUMPRODUCT(('2023'!$V$10:$V$21&lt;='2023'!B9)*'2022'!$Z$10:$Z$21)</f>
        <v>1.3771137977603598</v>
      </c>
      <c r="C12" s="275"/>
      <c r="D12" s="95" t="s">
        <v>151</v>
      </c>
      <c r="E12" s="176" t="s">
        <v>255</v>
      </c>
      <c r="F12" s="79">
        <f>60+80+40+35+100+80</f>
        <v>395</v>
      </c>
      <c r="G12" s="78"/>
      <c r="H12" s="78">
        <f>1441+724+110+69+45</f>
        <v>2389</v>
      </c>
      <c r="I12" s="79">
        <f>1249+1430</f>
        <v>2679</v>
      </c>
      <c r="J12" s="78"/>
      <c r="K12" s="79"/>
      <c r="L12" s="79"/>
      <c r="M12" s="79"/>
      <c r="N12" s="79"/>
      <c r="O12" s="79">
        <v>40</v>
      </c>
      <c r="P12" s="79"/>
      <c r="Q12" s="79">
        <v>597</v>
      </c>
      <c r="R12" s="79"/>
      <c r="S12" s="80">
        <f t="shared" si="4"/>
        <v>6100</v>
      </c>
      <c r="T12" s="278"/>
      <c r="V12" s="90">
        <f>$C$47</f>
        <v>202303</v>
      </c>
      <c r="W12" s="52">
        <f>T47</f>
        <v>106277</v>
      </c>
      <c r="X12" s="52">
        <f>T54</f>
        <v>4371</v>
      </c>
      <c r="Y12" s="52">
        <f>T59</f>
        <v>77572</v>
      </c>
      <c r="Z12" s="52">
        <f t="shared" si="6"/>
        <v>188220</v>
      </c>
      <c r="AA12" s="73">
        <f>W12/'2022'!W12-1</f>
        <v>0.313115463025885</v>
      </c>
      <c r="AB12" s="73">
        <f>X12/'2022'!X12-1</f>
        <v>-0.55434339314845027</v>
      </c>
      <c r="AC12" s="73">
        <f>Y12/'2022'!Y12-1</f>
        <v>0.46844356945443533</v>
      </c>
      <c r="AD12" s="200">
        <f t="shared" si="5"/>
        <v>202303</v>
      </c>
      <c r="AE12" s="116">
        <f t="shared" ref="AE12:AK12" si="9">SUMPRODUCT(($D$47:$D$63=$AE$6)*($E$47:$E$63=AE$9)*$S$47:$S$63)</f>
        <v>30473</v>
      </c>
      <c r="AF12" s="204">
        <f t="shared" si="9"/>
        <v>400</v>
      </c>
      <c r="AG12" s="117">
        <f t="shared" si="9"/>
        <v>11354</v>
      </c>
      <c r="AH12" s="205">
        <f t="shared" si="9"/>
        <v>570</v>
      </c>
      <c r="AI12" s="204">
        <f t="shared" si="9"/>
        <v>22135</v>
      </c>
      <c r="AJ12" s="205">
        <f t="shared" si="9"/>
        <v>37083</v>
      </c>
      <c r="AK12" s="117">
        <f t="shared" si="9"/>
        <v>4262</v>
      </c>
      <c r="AL12" s="213">
        <f>SUMPRODUCT(($D$47:$D$63=$AL$6)*($E$47:$E$63=AL$9)*$S$47:$S$63)</f>
        <v>500</v>
      </c>
      <c r="AM12" s="208">
        <f>SUMPRODUCT(($D$47:$D$63=$AL$6)*($E$47:$E$63=AM$9)*$S$47:$S$63)</f>
        <v>610</v>
      </c>
      <c r="AN12" s="208">
        <f>SUMPRODUCT(($D$47:$D$63=$AL$6)*($E$47:$E$63=AN$9)*$S$47:$S$63)</f>
        <v>1618</v>
      </c>
      <c r="AO12" s="208">
        <f>SUMPRODUCT(($D$47:$D$63=$AL$6)*($E$47:$E$63=AO$9)*$S$47:$S$63)</f>
        <v>1445</v>
      </c>
      <c r="AP12" s="214">
        <f>SUMPRODUCT(($D$47:$D$63=$AL$6)*($E$47:$E$63=AP$9)*$S$47:$S$63)</f>
        <v>198</v>
      </c>
      <c r="AQ12" s="213">
        <f>SUMPRODUCT(($D$47:$D$63=$AQ$6)*($E$47:$E$63=AQ$9)*$S$47:$S$63)</f>
        <v>26432</v>
      </c>
      <c r="AR12" s="208">
        <f>SUMPRODUCT(($D$47:$D$63=$AQ$6)*($E$47:$E$63=AR$9)*$S$47:$S$63)</f>
        <v>840</v>
      </c>
      <c r="AS12" s="208">
        <f>SUMPRODUCT(($D$47:$D$63=$AQ$6)*($E$47:$E$63=AS$9)*$S$47:$S$63)</f>
        <v>27778</v>
      </c>
      <c r="AT12" s="208">
        <f>SUMPRODUCT(($D$47:$D$63=$AQ$6)*($E$47:$E$63=AT$9)*$S$47:$S$63)</f>
        <v>6753</v>
      </c>
      <c r="AU12" s="214">
        <f>SUMPRODUCT(($D$47:$D$63=$AQ$6)*($E$47:$E$63=AU$9)*$S$47:$S$63)</f>
        <v>15769</v>
      </c>
      <c r="AV12" s="159">
        <f t="shared" si="8"/>
        <v>188220</v>
      </c>
    </row>
    <row r="13" spans="1:48" ht="15" customHeight="1" x14ac:dyDescent="0.25">
      <c r="A13" s="165" t="s">
        <v>236</v>
      </c>
      <c r="B13" s="186">
        <f>B11-$K$2*VALUE(RIGHT(B9,2))/9</f>
        <v>185340</v>
      </c>
      <c r="C13" s="275"/>
      <c r="D13" s="96" t="s">
        <v>151</v>
      </c>
      <c r="E13" s="176" t="s">
        <v>256</v>
      </c>
      <c r="F13" s="79">
        <f>3200+3000+100+11500+65</f>
        <v>17865</v>
      </c>
      <c r="G13" s="78"/>
      <c r="H13" s="78">
        <f>60*2+5*2+174</f>
        <v>304</v>
      </c>
      <c r="I13" s="78"/>
      <c r="J13" s="78"/>
      <c r="K13" s="79"/>
      <c r="L13" s="79"/>
      <c r="M13" s="79"/>
      <c r="N13" s="79"/>
      <c r="O13" s="79"/>
      <c r="P13" s="79"/>
      <c r="Q13" s="79"/>
      <c r="R13" s="79"/>
      <c r="S13" s="80">
        <f t="shared" si="4"/>
        <v>18169</v>
      </c>
      <c r="T13" s="278"/>
      <c r="V13" s="90">
        <f>$C$66</f>
        <v>202304</v>
      </c>
      <c r="W13" s="52">
        <f>T66</f>
        <v>83077</v>
      </c>
      <c r="X13" s="52">
        <f>T73</f>
        <v>9891</v>
      </c>
      <c r="Y13" s="52">
        <f>T78</f>
        <v>93830</v>
      </c>
      <c r="Z13" s="52">
        <f t="shared" si="6"/>
        <v>186798</v>
      </c>
      <c r="AA13" s="73">
        <f>W13/'2022'!W13-1</f>
        <v>0.1266663954324152</v>
      </c>
      <c r="AB13" s="73">
        <f>X13/'2022'!X13-1</f>
        <v>2.6837988826815642</v>
      </c>
      <c r="AC13" s="73">
        <f>Y13/'2022'!Y13-1</f>
        <v>0.74185044924630583</v>
      </c>
      <c r="AD13" s="200">
        <f t="shared" si="5"/>
        <v>202304</v>
      </c>
      <c r="AE13" s="116">
        <f t="shared" ref="AE13:AK13" si="10">SUMPRODUCT(($D$66:$D$82=$AE$6)*($E$66:$E$82=AE$9)*$S$66:$S$82)</f>
        <v>37200</v>
      </c>
      <c r="AF13" s="204">
        <f t="shared" si="10"/>
        <v>0</v>
      </c>
      <c r="AG13" s="117">
        <f t="shared" si="10"/>
        <v>11249</v>
      </c>
      <c r="AH13" s="205">
        <f t="shared" si="10"/>
        <v>660</v>
      </c>
      <c r="AI13" s="204">
        <f t="shared" si="10"/>
        <v>16000</v>
      </c>
      <c r="AJ13" s="205">
        <f t="shared" si="10"/>
        <v>14950</v>
      </c>
      <c r="AK13" s="117">
        <f t="shared" si="10"/>
        <v>3018</v>
      </c>
      <c r="AL13" s="213">
        <f>SUMPRODUCT(($D$66:$D$82=$AL$6)*($E$66:$E$82=AL$9)*$S$66:$S$82)</f>
        <v>762</v>
      </c>
      <c r="AM13" s="208">
        <f>SUMPRODUCT(($D$66:$D$82=$AL$6)*($E$66:$E$82=AM$9)*$S$66:$S$82)</f>
        <v>1850</v>
      </c>
      <c r="AN13" s="208">
        <f>SUMPRODUCT(($D$66:$D$82=$AL$6)*($E$66:$E$82=AN$9)*$S$66:$S$82)</f>
        <v>6889</v>
      </c>
      <c r="AO13" s="208">
        <f>SUMPRODUCT(($D$66:$D$82=$AL$6)*($E$66:$E$82=AO$9)*$S$66:$S$82)</f>
        <v>390</v>
      </c>
      <c r="AP13" s="214">
        <f>SUMPRODUCT(($D$66:$D$82=$AL$6)*($E$66:$E$82=AP$9)*$S$66:$S$82)</f>
        <v>0</v>
      </c>
      <c r="AQ13" s="213">
        <f>SUMPRODUCT(($D$66:$D$82=$AQ$6)*($E$66:$E$82=AQ$9)*$S$66:$S$82)</f>
        <v>36242</v>
      </c>
      <c r="AR13" s="208">
        <f>SUMPRODUCT(($D$66:$D$82=$AQ$6)*($E$66:$E$82=AR$9)*$S$66:$S$82)</f>
        <v>0</v>
      </c>
      <c r="AS13" s="208">
        <f>SUMPRODUCT(($D$66:$D$82=$AQ$6)*($E$66:$E$82=AS$9)*$S$66:$S$82)</f>
        <v>39008</v>
      </c>
      <c r="AT13" s="208">
        <f>SUMPRODUCT(($D$66:$D$82=$AQ$6)*($E$66:$E$82=AT$9)*$S$66:$S$82)</f>
        <v>6751</v>
      </c>
      <c r="AU13" s="214">
        <f>SUMPRODUCT(($D$66:$D$82=$AQ$6)*($E$66:$E$82=AU$9)*$S$66:$S$82)</f>
        <v>11829</v>
      </c>
      <c r="AV13" s="159">
        <f t="shared" si="8"/>
        <v>186798</v>
      </c>
    </row>
    <row r="14" spans="1:48" ht="15" customHeight="1" x14ac:dyDescent="0.25">
      <c r="A14" s="164" t="s">
        <v>242</v>
      </c>
      <c r="B14" s="157">
        <f>B13/($J$2*12)</f>
        <v>9.6531249999999999E-2</v>
      </c>
      <c r="C14" s="275"/>
      <c r="D14" s="95" t="s">
        <v>151</v>
      </c>
      <c r="E14" s="176" t="s">
        <v>257</v>
      </c>
      <c r="F14" s="79">
        <v>15050</v>
      </c>
      <c r="G14" s="78"/>
      <c r="H14" s="78">
        <v>170</v>
      </c>
      <c r="I14" s="79"/>
      <c r="J14" s="78"/>
      <c r="K14" s="79"/>
      <c r="L14" s="79"/>
      <c r="M14" s="79"/>
      <c r="N14" s="79"/>
      <c r="O14" s="79"/>
      <c r="P14" s="79"/>
      <c r="Q14" s="79"/>
      <c r="R14" s="79"/>
      <c r="S14" s="80">
        <f>SUM(F14:R14)</f>
        <v>15220</v>
      </c>
      <c r="T14" s="278"/>
      <c r="V14" s="90">
        <f>$C$85</f>
        <v>202305</v>
      </c>
      <c r="W14" s="52">
        <f>T85</f>
        <v>75189</v>
      </c>
      <c r="X14" s="52">
        <f>T92</f>
        <v>16920</v>
      </c>
      <c r="Y14" s="52">
        <f>T97</f>
        <v>108232</v>
      </c>
      <c r="Z14" s="52">
        <f t="shared" si="6"/>
        <v>200341</v>
      </c>
      <c r="AA14" s="73">
        <f>W14/'2022'!W14-1</f>
        <v>3.7647838147417234E-2</v>
      </c>
      <c r="AB14" s="73">
        <f>X14/'2022'!X14-1</f>
        <v>2.8480782351603366</v>
      </c>
      <c r="AC14" s="73">
        <f>Y14/'2022'!Y14-1</f>
        <v>0.5797755105019633</v>
      </c>
      <c r="AD14" s="200">
        <f t="shared" si="5"/>
        <v>202305</v>
      </c>
      <c r="AE14" s="116">
        <f t="shared" ref="AE14:AK14" si="11">SUMPRODUCT(($D$85:$D$101=$AE$6)*($E$85:$E$101=AE$9)*$S$85:$S$101)</f>
        <v>28770</v>
      </c>
      <c r="AF14" s="204">
        <f t="shared" si="11"/>
        <v>3630</v>
      </c>
      <c r="AG14" s="117">
        <f t="shared" si="11"/>
        <v>8913</v>
      </c>
      <c r="AH14" s="205">
        <f t="shared" si="11"/>
        <v>5010</v>
      </c>
      <c r="AI14" s="204">
        <f t="shared" si="11"/>
        <v>16450</v>
      </c>
      <c r="AJ14" s="205">
        <f t="shared" si="11"/>
        <v>8620</v>
      </c>
      <c r="AK14" s="117">
        <f t="shared" si="11"/>
        <v>3796</v>
      </c>
      <c r="AL14" s="213">
        <f>SUMPRODUCT(($D$85:$D$101=$AL$6)*($E$85:$E$101=AL$9)*$S$85:$S$101)</f>
        <v>12600</v>
      </c>
      <c r="AM14" s="208">
        <f>SUMPRODUCT(($D$85:$D$101=$AL$6)*($E$85:$E$101=AM$9)*$S$85:$S$101)</f>
        <v>1920</v>
      </c>
      <c r="AN14" s="208">
        <f>SUMPRODUCT(($D$85:$D$101=$AL$6)*($E$85:$E$101=AN$9)*$S$85:$S$101)</f>
        <v>200</v>
      </c>
      <c r="AO14" s="208">
        <f>SUMPRODUCT(($D$85:$D$101=$AL$6)*($E$85:$E$101=AO$9)*$S$85:$S$101)</f>
        <v>200</v>
      </c>
      <c r="AP14" s="214">
        <f>SUMPRODUCT(($D$85:$D$101=$AL$6)*($E$85:$E$101=AP$9)*$S$85:$S$101)</f>
        <v>2000</v>
      </c>
      <c r="AQ14" s="213">
        <f>SUMPRODUCT(($D$85:$D$101=$AQ$6)*($E$85:$E$101=AQ$9)*$S$85:$S$101)</f>
        <v>28837</v>
      </c>
      <c r="AR14" s="208">
        <f>SUMPRODUCT(($D$85:$D$101=$AQ$6)*($E$85:$E$101=AR$9)*$S$85:$S$101)</f>
        <v>4030</v>
      </c>
      <c r="AS14" s="208">
        <f>SUMPRODUCT(($D$85:$D$101=$AQ$6)*($E$85:$E$101=AS$9)*$S$85:$S$101)</f>
        <v>36782</v>
      </c>
      <c r="AT14" s="208">
        <f>SUMPRODUCT(($D$85:$D$101=$AQ$6)*($E$85:$E$101=AT$9)*$S$85:$S$101)</f>
        <v>6753</v>
      </c>
      <c r="AU14" s="214">
        <f>SUMPRODUCT(($D$85:$D$101=$AQ$6)*($E$85:$E$101=AU$9)*$S$85:$S$101)</f>
        <v>31830</v>
      </c>
      <c r="AV14" s="159">
        <f t="shared" si="8"/>
        <v>200341</v>
      </c>
    </row>
    <row r="15" spans="1:48" ht="15" customHeight="1" x14ac:dyDescent="0.25">
      <c r="A15" s="164" t="s">
        <v>241</v>
      </c>
      <c r="B15" s="126">
        <f>VALUE(RIGHT(B9,2))/12</f>
        <v>8.3333333333333329E-2</v>
      </c>
      <c r="C15" s="275"/>
      <c r="D15" s="95" t="s">
        <v>151</v>
      </c>
      <c r="E15" s="176" t="s">
        <v>263</v>
      </c>
      <c r="F15" s="78">
        <f>180+200</f>
        <v>380</v>
      </c>
      <c r="G15" s="78"/>
      <c r="H15" s="78">
        <f>200+500</f>
        <v>700</v>
      </c>
      <c r="I15" s="79"/>
      <c r="J15" s="78"/>
      <c r="K15" s="79"/>
      <c r="L15" s="79"/>
      <c r="M15" s="79"/>
      <c r="N15" s="79"/>
      <c r="O15" s="79"/>
      <c r="P15" s="79"/>
      <c r="Q15" s="79"/>
      <c r="R15" s="79"/>
      <c r="S15" s="80">
        <f>SUM(F15:R15)</f>
        <v>1080</v>
      </c>
      <c r="T15" s="278"/>
      <c r="V15" s="90">
        <f>$C$104</f>
        <v>202306</v>
      </c>
      <c r="W15" s="52">
        <f>T104</f>
        <v>77913</v>
      </c>
      <c r="X15" s="52">
        <f>T111</f>
        <v>9335</v>
      </c>
      <c r="Y15" s="52">
        <f>T116</f>
        <v>97964</v>
      </c>
      <c r="Z15" s="52">
        <f t="shared" si="6"/>
        <v>185212</v>
      </c>
      <c r="AA15" s="73">
        <f>W15/'2022'!W15-1</f>
        <v>-0.24926287795571489</v>
      </c>
      <c r="AB15" s="73">
        <f>X15/'2022'!X15-1</f>
        <v>-0.43352145154438981</v>
      </c>
      <c r="AC15" s="73">
        <f>Y15/'2022'!Y15-1</f>
        <v>0.29482672024108481</v>
      </c>
      <c r="AD15" s="200">
        <f t="shared" si="5"/>
        <v>202306</v>
      </c>
      <c r="AE15" s="116">
        <f t="shared" ref="AE15:AK15" si="12">SUMPRODUCT(($D$104:$D$120=$AE$6)*($E$104:$E$120=AE$9)*$S$104:$S$120)</f>
        <v>33677</v>
      </c>
      <c r="AF15" s="204">
        <f t="shared" si="12"/>
        <v>935</v>
      </c>
      <c r="AG15" s="117">
        <f t="shared" si="12"/>
        <v>6598</v>
      </c>
      <c r="AH15" s="205">
        <f t="shared" si="12"/>
        <v>180</v>
      </c>
      <c r="AI15" s="204">
        <f t="shared" si="12"/>
        <v>24000</v>
      </c>
      <c r="AJ15" s="205">
        <f t="shared" si="12"/>
        <v>6867</v>
      </c>
      <c r="AK15" s="117">
        <f t="shared" si="12"/>
        <v>5656</v>
      </c>
      <c r="AL15" s="213">
        <f>SUMPRODUCT(($D$104:$D$120=$AL$6)*($E$104:$E$120=AL$9)*$S$104:$S$120)</f>
        <v>6100</v>
      </c>
      <c r="AM15" s="208">
        <f>SUMPRODUCT(($D$104:$D$120=$AL$6)*($E$104:$E$120=AM$9)*$S$104:$S$120)</f>
        <v>0</v>
      </c>
      <c r="AN15" s="208">
        <f>SUMPRODUCT(($D$104:$D$120=$AL$6)*($E$104:$E$120=AN$9)*$S$104:$S$120)</f>
        <v>0</v>
      </c>
      <c r="AO15" s="208">
        <f>SUMPRODUCT(($D$104:$D$120=$AL$6)*($E$104:$E$120=AO$9)*$S$104:$S$120)</f>
        <v>0</v>
      </c>
      <c r="AP15" s="214">
        <f>SUMPRODUCT(($D$104:$D$120=$AL$6)*($E$104:$E$120=AP$9)*$S$104:$S$120)</f>
        <v>3235</v>
      </c>
      <c r="AQ15" s="213">
        <f>SUMPRODUCT(($D$104:$D$120=$AQ$6)*($E$104:$E$120=AQ$9)*$S$104:$S$120)</f>
        <v>26357</v>
      </c>
      <c r="AR15" s="208">
        <f>SUMPRODUCT(($D$104:$D$120=$AQ$6)*($E$104:$E$120=AR$9)*$S$104:$S$120)</f>
        <v>0</v>
      </c>
      <c r="AS15" s="208">
        <f>SUMPRODUCT(($D$104:$D$120=$AQ$6)*($E$104:$E$120=AS$9)*$S$104:$S$120)</f>
        <v>57778</v>
      </c>
      <c r="AT15" s="208">
        <f>SUMPRODUCT(($D$104:$D$120=$AQ$6)*($E$104:$E$120=AT$9)*$S$104:$S$120)</f>
        <v>0</v>
      </c>
      <c r="AU15" s="214">
        <f>SUMPRODUCT(($D$104:$D$120=$AQ$6)*($E$104:$E$120=AU$9)*$S$104:$S$120)</f>
        <v>13829</v>
      </c>
      <c r="AV15" s="159">
        <f t="shared" si="8"/>
        <v>185212</v>
      </c>
    </row>
    <row r="16" spans="1:48" ht="15" customHeight="1" x14ac:dyDescent="0.25">
      <c r="A16" s="164" t="s">
        <v>243</v>
      </c>
      <c r="B16" s="161">
        <f>B10*VALUE(RIGHT(B9,2))-B13</f>
        <v>-25340</v>
      </c>
      <c r="C16" s="275"/>
      <c r="D16" s="97" t="s">
        <v>152</v>
      </c>
      <c r="E16" s="97" t="s">
        <v>144</v>
      </c>
      <c r="F16" s="85"/>
      <c r="G16" s="85"/>
      <c r="H16" s="85"/>
      <c r="I16" s="46"/>
      <c r="J16" s="46"/>
      <c r="K16" s="46"/>
      <c r="L16" s="46"/>
      <c r="M16" s="89">
        <v>199</v>
      </c>
      <c r="N16" s="46"/>
      <c r="O16" s="89">
        <v>290</v>
      </c>
      <c r="P16" s="46"/>
      <c r="Q16" s="46"/>
      <c r="R16" s="46"/>
      <c r="S16" s="83">
        <f t="shared" si="4"/>
        <v>489</v>
      </c>
      <c r="T16" s="280">
        <f>SUM(S16:S20)</f>
        <v>47777</v>
      </c>
      <c r="V16" s="90">
        <f>$C$123</f>
        <v>202307</v>
      </c>
      <c r="W16" s="52">
        <f>T123</f>
        <v>80948</v>
      </c>
      <c r="X16" s="52">
        <f>T130</f>
        <v>13438</v>
      </c>
      <c r="Y16" s="52">
        <f>T135</f>
        <v>134425</v>
      </c>
      <c r="Z16" s="52">
        <f t="shared" si="6"/>
        <v>228811</v>
      </c>
      <c r="AA16" s="73">
        <f>W16/'2022'!W16-1</f>
        <v>-0.12490540745064971</v>
      </c>
      <c r="AB16" s="73">
        <f>X16/'2022'!X16-1</f>
        <v>-0.51969404532132391</v>
      </c>
      <c r="AC16" s="73">
        <f>Y16/'2022'!Y16-1</f>
        <v>2.6077563070316692</v>
      </c>
      <c r="AD16" s="200">
        <f t="shared" si="5"/>
        <v>202307</v>
      </c>
      <c r="AE16" s="116">
        <f t="shared" ref="AE16:AK16" si="13">SUMPRODUCT(($D$123:$D$139=$AE$6)*($E$123:$E$139=AE$9)*$S$123:$S$139)</f>
        <v>29831</v>
      </c>
      <c r="AF16" s="204">
        <f t="shared" si="13"/>
        <v>600</v>
      </c>
      <c r="AG16" s="117">
        <f t="shared" si="13"/>
        <v>10336</v>
      </c>
      <c r="AH16" s="205">
        <f t="shared" si="13"/>
        <v>900</v>
      </c>
      <c r="AI16" s="204">
        <f t="shared" si="13"/>
        <v>11500</v>
      </c>
      <c r="AJ16" s="205">
        <f t="shared" si="13"/>
        <v>20042</v>
      </c>
      <c r="AK16" s="117">
        <f t="shared" si="13"/>
        <v>7739</v>
      </c>
      <c r="AL16" s="213">
        <f>SUMPRODUCT(($D$123:$D$139=$AL$6)*($E$123:$E$139=AL$9)*$S$123:$S$139)</f>
        <v>3458</v>
      </c>
      <c r="AM16" s="208">
        <f>SUMPRODUCT(($D$123:$D$139=$AL$6)*($E$123:$E$139=AM$9)*$S$123:$S$139)</f>
        <v>2680</v>
      </c>
      <c r="AN16" s="208">
        <f>SUMPRODUCT(($D$123:$D$139=$AL$6)*($E$123:$E$139=AN$9)*$S$123:$S$139)</f>
        <v>380</v>
      </c>
      <c r="AO16" s="208">
        <f>SUMPRODUCT(($D$123:$D$139=$AL$6)*($E$123:$E$139=AO$9)*$S$123:$S$139)</f>
        <v>1570</v>
      </c>
      <c r="AP16" s="214">
        <f>SUMPRODUCT(($D$123:$D$139=$AL$6)*($E$123:$E$139=AP$9)*$S$123:$S$139)</f>
        <v>5350</v>
      </c>
      <c r="AQ16" s="213">
        <f>SUMPRODUCT(($D$123:$D$139=$AQ$6)*($E$123:$E$139=AQ$9)*$S$123:$S$139)</f>
        <v>53035</v>
      </c>
      <c r="AR16" s="208">
        <f>SUMPRODUCT(($D$123:$D$139=$AQ$6)*($E$123:$E$139=AR$9)*$S$123:$S$139)</f>
        <v>4414</v>
      </c>
      <c r="AS16" s="208">
        <f>SUMPRODUCT(($D$123:$D$139=$AQ$6)*($E$123:$E$139=AS$9)*$S$123:$S$139)</f>
        <v>63957</v>
      </c>
      <c r="AT16" s="208">
        <f>SUMPRODUCT(($D$123:$D$139=$AQ$6)*($E$123:$E$139=AT$9)*$S$123:$S$139)</f>
        <v>0</v>
      </c>
      <c r="AU16" s="214">
        <f>SUMPRODUCT(($D$123:$D$139=$AQ$6)*($E$123:$E$139=AU$9)*$S$123:$S$139)</f>
        <v>13019</v>
      </c>
      <c r="AV16" s="159">
        <f t="shared" si="8"/>
        <v>228811</v>
      </c>
    </row>
    <row r="17" spans="1:48" ht="15" customHeight="1" x14ac:dyDescent="0.25">
      <c r="A17" s="164" t="s">
        <v>265</v>
      </c>
      <c r="B17" s="184">
        <f>$J$2-(S26-F23)</f>
        <v>-25340</v>
      </c>
      <c r="C17" s="275"/>
      <c r="D17" s="97" t="s">
        <v>152</v>
      </c>
      <c r="E17" s="97" t="s">
        <v>145</v>
      </c>
      <c r="F17" s="85">
        <f>34800+2000</f>
        <v>36800</v>
      </c>
      <c r="G17" s="46"/>
      <c r="H17" s="85"/>
      <c r="I17" s="46"/>
      <c r="J17" s="46"/>
      <c r="K17" s="46"/>
      <c r="L17" s="46"/>
      <c r="M17" s="46"/>
      <c r="N17" s="46"/>
      <c r="O17" s="89">
        <f>9500+99*2</f>
        <v>9698</v>
      </c>
      <c r="P17" s="46"/>
      <c r="Q17" s="46"/>
      <c r="R17" s="46"/>
      <c r="S17" s="83">
        <f t="shared" si="4"/>
        <v>46498</v>
      </c>
      <c r="T17" s="281"/>
      <c r="V17" s="90">
        <f>$C$142</f>
        <v>202308</v>
      </c>
      <c r="W17" s="52">
        <f>T142</f>
        <v>115480</v>
      </c>
      <c r="X17" s="52">
        <f>T149</f>
        <v>16620</v>
      </c>
      <c r="Y17" s="52">
        <f>T154</f>
        <v>118038</v>
      </c>
      <c r="Z17" s="52">
        <f t="shared" si="6"/>
        <v>250138</v>
      </c>
      <c r="AA17" s="73">
        <f>W17/'2022'!W17-1</f>
        <v>7.3054693452768049E-2</v>
      </c>
      <c r="AB17" s="73">
        <f>X17/'2022'!X17-1</f>
        <v>2.034507942304181</v>
      </c>
      <c r="AC17" s="73">
        <f>Y17/'2022'!Y17-1</f>
        <v>2.0426085835803582</v>
      </c>
      <c r="AD17" s="200">
        <f t="shared" si="5"/>
        <v>202308</v>
      </c>
      <c r="AE17" s="116">
        <f t="shared" ref="AE17:AK17" si="14">SUMPRODUCT(($D$142:$D$158=$AE$6)*($E$142:$E$158=AE$9)*$S$142:$S$158)</f>
        <v>22419</v>
      </c>
      <c r="AF17" s="204">
        <f t="shared" si="14"/>
        <v>437</v>
      </c>
      <c r="AG17" s="117">
        <f t="shared" si="14"/>
        <v>13445</v>
      </c>
      <c r="AH17" s="205">
        <f t="shared" si="14"/>
        <v>200</v>
      </c>
      <c r="AI17" s="204">
        <f t="shared" si="14"/>
        <v>48495</v>
      </c>
      <c r="AJ17" s="205">
        <f t="shared" si="14"/>
        <v>24868</v>
      </c>
      <c r="AK17" s="117">
        <f t="shared" si="14"/>
        <v>5616</v>
      </c>
      <c r="AL17" s="213">
        <f>SUMPRODUCT(($D$142:$D$158=$AL$6)*($E$142:$E$158=AL$9)*$S$142:$S$158)</f>
        <v>4700</v>
      </c>
      <c r="AM17" s="208">
        <f>SUMPRODUCT(($D$142:$D$158=$AL$6)*($E$142:$E$158=AM$9)*$S$142:$S$158)</f>
        <v>3980</v>
      </c>
      <c r="AN17" s="208">
        <f>SUMPRODUCT(($D$142:$D$158=$AL$6)*($E$142:$E$158=AN$9)*$S$142:$S$158)</f>
        <v>2670</v>
      </c>
      <c r="AO17" s="208">
        <f>SUMPRODUCT(($D$142:$D$158=$AL$6)*($E$142:$E$158=AO$9)*$S$142:$S$158)</f>
        <v>60</v>
      </c>
      <c r="AP17" s="214">
        <f>SUMPRODUCT(($D$142:$D$158=$AL$6)*($E$142:$E$158=AP$9)*$S$142:$S$158)</f>
        <v>5210</v>
      </c>
      <c r="AQ17" s="213">
        <f>SUMPRODUCT(($D$142:$D$158=$AQ$6)*($E$142:$E$158=AQ$9)*$S$142:$S$158)</f>
        <v>53241</v>
      </c>
      <c r="AR17" s="208">
        <f>SUMPRODUCT(($D$142:$D$158=$AQ$6)*($E$142:$E$158=AR$9)*$S$142:$S$158)</f>
        <v>780</v>
      </c>
      <c r="AS17" s="208">
        <f>SUMPRODUCT(($D$142:$D$158=$AQ$6)*($E$142:$E$158=AS$9)*$S$142:$S$158)</f>
        <v>50588</v>
      </c>
      <c r="AT17" s="208">
        <f>SUMPRODUCT(($D$142:$D$158=$AQ$6)*($E$142:$E$158=AT$9)*$S$142:$S$158)</f>
        <v>0</v>
      </c>
      <c r="AU17" s="214">
        <f>SUMPRODUCT(($D$142:$D$158=$AQ$6)*($E$142:$E$158=AU$9)*$S$142:$S$158)</f>
        <v>13429</v>
      </c>
      <c r="AV17" s="159">
        <f t="shared" si="8"/>
        <v>250138</v>
      </c>
    </row>
    <row r="18" spans="1:48" ht="15" customHeight="1" x14ac:dyDescent="0.25">
      <c r="C18" s="275"/>
      <c r="D18" s="97" t="s">
        <v>152</v>
      </c>
      <c r="E18" s="97" t="s">
        <v>146</v>
      </c>
      <c r="F18" s="86">
        <v>150</v>
      </c>
      <c r="G18" s="46"/>
      <c r="H18" s="87"/>
      <c r="I18" s="87"/>
      <c r="J18" s="46"/>
      <c r="K18" s="46"/>
      <c r="L18" s="46"/>
      <c r="M18" s="46"/>
      <c r="N18" s="46"/>
      <c r="O18" s="46"/>
      <c r="P18" s="46"/>
      <c r="Q18" s="46"/>
      <c r="R18" s="46"/>
      <c r="S18" s="83">
        <f t="shared" si="4"/>
        <v>150</v>
      </c>
      <c r="T18" s="281"/>
      <c r="V18" s="90">
        <f>$C$161</f>
        <v>202309</v>
      </c>
      <c r="W18" s="52">
        <f>T161</f>
        <v>131306</v>
      </c>
      <c r="X18" s="52">
        <f>T168</f>
        <v>13494</v>
      </c>
      <c r="Y18" s="52">
        <f>T173</f>
        <v>45011</v>
      </c>
      <c r="Z18" s="52">
        <f t="shared" si="6"/>
        <v>189811</v>
      </c>
      <c r="AA18" s="73">
        <f>W18/'2022'!W18-1</f>
        <v>0.19905395039631801</v>
      </c>
      <c r="AB18" s="73">
        <f>X18/'2022'!X18-1</f>
        <v>1.2259980204552954</v>
      </c>
      <c r="AC18" s="73">
        <f>Y18/'2022'!Y18-1</f>
        <v>-0.47022821698857153</v>
      </c>
      <c r="AD18" s="200">
        <f t="shared" si="5"/>
        <v>202309</v>
      </c>
      <c r="AE18" s="110">
        <f t="shared" ref="AE18:AK18" si="15">SUMPRODUCT(($D$161:$D$177=$AE$6)*($E$161:$E$177=AE$9)*$S$161:$S$177)</f>
        <v>24451</v>
      </c>
      <c r="AF18" s="206">
        <f t="shared" si="15"/>
        <v>1000</v>
      </c>
      <c r="AG18" s="111">
        <f t="shared" si="15"/>
        <v>10397</v>
      </c>
      <c r="AH18" s="207">
        <f t="shared" si="15"/>
        <v>450</v>
      </c>
      <c r="AI18" s="206">
        <f t="shared" si="15"/>
        <v>15175</v>
      </c>
      <c r="AJ18" s="207">
        <f t="shared" si="15"/>
        <v>64650</v>
      </c>
      <c r="AK18" s="111">
        <f t="shared" si="15"/>
        <v>15183</v>
      </c>
      <c r="AL18" s="215">
        <f>SUMPRODUCT(($D$161:$D$177=$AL$6)*($E$161:$E$177=AL$9)*$S$161:$S$177)</f>
        <v>2104</v>
      </c>
      <c r="AM18" s="209">
        <f>SUMPRODUCT(($D$161:$D$177=$AL$6)*($E$161:$E$177=AM$9)*$S$161:$S$177)</f>
        <v>170</v>
      </c>
      <c r="AN18" s="209">
        <f>SUMPRODUCT(($D$161:$D$177=$AL$6)*($E$161:$E$177=AN$9)*$S$161:$S$177)</f>
        <v>610</v>
      </c>
      <c r="AO18" s="209">
        <f>SUMPRODUCT(($D$161:$D$177=$AL$6)*($E$161:$E$177=AO$9)*$S$161:$S$177)</f>
        <v>610</v>
      </c>
      <c r="AP18" s="216">
        <f>SUMPRODUCT(($D$161:$D$177=$AL$6)*($E$161:$E$177=AP$9)*$S$161:$S$177)</f>
        <v>10000</v>
      </c>
      <c r="AQ18" s="215">
        <f>SUMPRODUCT(($D$161:$D$177=$AQ$6)*($E$161:$E$177=AQ$9)*$S$161:$S$177)</f>
        <v>0</v>
      </c>
      <c r="AR18" s="209">
        <f>SUMPRODUCT(($D$161:$D$177=$AQ$6)*($E$161:$E$177=AR$9)*$S$161:$S$177)</f>
        <v>0</v>
      </c>
      <c r="AS18" s="209">
        <f>SUMPRODUCT(($D$161:$D$177=$AQ$6)*($E$161:$E$177=AS$9)*$S$161:$S$177)</f>
        <v>31162</v>
      </c>
      <c r="AT18" s="209">
        <f>SUMPRODUCT(($D$161:$D$177=$AQ$6)*($E$161:$E$177=AT$9)*$S$161:$S$177)</f>
        <v>2020</v>
      </c>
      <c r="AU18" s="216">
        <f>SUMPRODUCT(($D$161:$D$177=$AQ$6)*($E$161:$E$177=AU$9)*$S$161:$S$177)</f>
        <v>11829</v>
      </c>
      <c r="AV18" s="159">
        <f t="shared" si="8"/>
        <v>189811</v>
      </c>
    </row>
    <row r="19" spans="1:48" ht="15" customHeight="1" x14ac:dyDescent="0.25">
      <c r="C19" s="275"/>
      <c r="D19" s="97" t="s">
        <v>152</v>
      </c>
      <c r="E19" s="97" t="s">
        <v>147</v>
      </c>
      <c r="F19" s="86">
        <f>150+200</f>
        <v>350</v>
      </c>
      <c r="G19" s="46"/>
      <c r="H19" s="87"/>
      <c r="I19" s="87"/>
      <c r="J19" s="46"/>
      <c r="K19" s="46"/>
      <c r="L19" s="46"/>
      <c r="M19" s="46"/>
      <c r="N19" s="46"/>
      <c r="O19" s="46"/>
      <c r="P19" s="46"/>
      <c r="Q19" s="46"/>
      <c r="R19" s="46"/>
      <c r="S19" s="83">
        <f t="shared" si="4"/>
        <v>350</v>
      </c>
      <c r="T19" s="281"/>
      <c r="V19" s="90">
        <f>$C$180</f>
        <v>202310</v>
      </c>
      <c r="W19" s="52">
        <f>T180</f>
        <v>74439</v>
      </c>
      <c r="X19" s="52">
        <f>T187</f>
        <v>11500</v>
      </c>
      <c r="Y19" s="52">
        <f>T192</f>
        <v>167513.51</v>
      </c>
      <c r="Z19" s="52">
        <f t="shared" si="6"/>
        <v>253452.51</v>
      </c>
      <c r="AA19" s="73">
        <f>W19/'2022'!W19-1</f>
        <v>0.20291845770983485</v>
      </c>
      <c r="AB19" s="73">
        <f>X19/'2022'!X19-1</f>
        <v>-0.69214295275063575</v>
      </c>
      <c r="AC19" s="73">
        <f>Y19/'2022'!Y19-1</f>
        <v>2.9702671122487678</v>
      </c>
      <c r="AD19" s="200">
        <f t="shared" si="5"/>
        <v>202310</v>
      </c>
      <c r="AE19" s="110">
        <f t="shared" ref="AE19:AK19" si="16">SUMPRODUCT(($D$180:$D$196=$AE$6)*($E$180:$E$196=AE$9)*$S$180:$S$196)</f>
        <v>22339</v>
      </c>
      <c r="AF19" s="206">
        <f t="shared" si="16"/>
        <v>0</v>
      </c>
      <c r="AG19" s="111">
        <f t="shared" si="16"/>
        <v>18446</v>
      </c>
      <c r="AH19" s="207">
        <f t="shared" si="16"/>
        <v>250</v>
      </c>
      <c r="AI19" s="206">
        <f t="shared" si="16"/>
        <v>20565</v>
      </c>
      <c r="AJ19" s="207">
        <f t="shared" si="16"/>
        <v>0</v>
      </c>
      <c r="AK19" s="111">
        <f t="shared" si="16"/>
        <v>12839</v>
      </c>
      <c r="AL19" s="215">
        <f>SUMPRODUCT(($D$180:$D$196=$AL$6)*($E$180:$E$196=AL$9)*$S$180:$S$196)</f>
        <v>600</v>
      </c>
      <c r="AM19" s="209">
        <f>SUMPRODUCT(($D$180:$D$196=$AL$6)*($E$180:$E$196=AM$9)*$S$180:$S$196)</f>
        <v>2350</v>
      </c>
      <c r="AN19" s="209">
        <f>SUMPRODUCT(($D$180:$D$196=$AL$6)*($E$180:$E$196=AN$9)*$S$180:$S$196)</f>
        <v>1795</v>
      </c>
      <c r="AO19" s="209">
        <f>SUMPRODUCT(($D$180:$D$196=$AL$6)*($E$180:$E$196=AO$9)*$S$180:$S$196)</f>
        <v>1355</v>
      </c>
      <c r="AP19" s="216">
        <f>SUMPRODUCT(($D$180:$D$196=$AL$6)*($E$180:$E$196=AP$9)*$S$180:$S$196)</f>
        <v>5400</v>
      </c>
      <c r="AQ19" s="215">
        <f>SUMPRODUCT(($D$180:$D$196=$AQ$6)*($E$180:$E$196=AQ$9)*$S$180:$S$196)</f>
        <v>160974.51</v>
      </c>
      <c r="AR19" s="209">
        <f>SUMPRODUCT(($D$180:$D$196=$AQ$6)*($E$180:$E$196=AR$9)*$S$180:$S$196)</f>
        <v>3150</v>
      </c>
      <c r="AS19" s="209">
        <f>SUMPRODUCT(($D$180:$D$196=$AQ$6)*($E$180:$E$196=AS$9)*$S$180:$S$196)</f>
        <v>3389</v>
      </c>
      <c r="AT19" s="209">
        <f>SUMPRODUCT(($D$180:$D$196=$AQ$6)*($E$180:$E$196=AT$9)*$S$180:$S$196)</f>
        <v>0</v>
      </c>
      <c r="AU19" s="216">
        <f>SUMPRODUCT(($D$180:$D$196=$AQ$6)*($E$180:$E$196=AU$9)*$S$180:$S$196)</f>
        <v>0</v>
      </c>
      <c r="AV19" s="159">
        <f t="shared" si="8"/>
        <v>253452.51</v>
      </c>
    </row>
    <row r="20" spans="1:48" ht="15" customHeight="1" x14ac:dyDescent="0.25">
      <c r="B20" s="52"/>
      <c r="C20" s="275"/>
      <c r="D20" s="97" t="s">
        <v>152</v>
      </c>
      <c r="E20" s="97" t="s">
        <v>168</v>
      </c>
      <c r="F20" s="85">
        <v>290</v>
      </c>
      <c r="G20" s="85"/>
      <c r="H20" s="87"/>
      <c r="I20" s="87"/>
      <c r="J20" s="46"/>
      <c r="K20" s="46"/>
      <c r="L20" s="46"/>
      <c r="M20" s="46"/>
      <c r="N20" s="46"/>
      <c r="O20" s="46"/>
      <c r="P20" s="46"/>
      <c r="Q20" s="86"/>
      <c r="R20" s="46"/>
      <c r="S20" s="83">
        <f t="shared" si="4"/>
        <v>290</v>
      </c>
      <c r="T20" s="281"/>
      <c r="V20" s="90">
        <f>$C$199</f>
        <v>202311</v>
      </c>
      <c r="W20" s="52">
        <f>T199</f>
        <v>66255</v>
      </c>
      <c r="X20" s="52">
        <f>T206</f>
        <v>8180</v>
      </c>
      <c r="Y20" s="52">
        <f>T211</f>
        <v>49015</v>
      </c>
      <c r="Z20" s="52">
        <f t="shared" si="6"/>
        <v>123450</v>
      </c>
      <c r="AA20" s="73">
        <f>W20/'2022'!W20-1</f>
        <v>0.12617283111231981</v>
      </c>
      <c r="AB20" s="73">
        <f>X20/'2022'!X20-1</f>
        <v>-0.39888300999412107</v>
      </c>
      <c r="AC20" s="73">
        <f>Y20/'2022'!Y20-1</f>
        <v>-0.21345700210215512</v>
      </c>
      <c r="AD20" s="200">
        <f t="shared" si="5"/>
        <v>202311</v>
      </c>
      <c r="AE20" s="110">
        <f t="shared" ref="AE20:AK20" si="17">SUMPRODUCT(($D$199:$D$215=$AE$6)*($E$199:$E$215=AE$9)*$S$199:$S$215)</f>
        <v>25918</v>
      </c>
      <c r="AF20" s="206">
        <f t="shared" si="17"/>
        <v>0</v>
      </c>
      <c r="AG20" s="111">
        <f t="shared" si="17"/>
        <v>12350</v>
      </c>
      <c r="AH20" s="207">
        <f t="shared" si="17"/>
        <v>0</v>
      </c>
      <c r="AI20" s="206">
        <f t="shared" si="17"/>
        <v>15806</v>
      </c>
      <c r="AJ20" s="207">
        <f t="shared" si="17"/>
        <v>7180</v>
      </c>
      <c r="AK20" s="111">
        <f t="shared" si="17"/>
        <v>5001</v>
      </c>
      <c r="AL20" s="215">
        <f>SUMPRODUCT(($D$199:$D$215=$AL$6)*($E$199:$E$215=AL$9)*$S$199:$S$215)</f>
        <v>0</v>
      </c>
      <c r="AM20" s="209">
        <f>SUMPRODUCT(($D$199:$D$215=$AL$6)*($E$199:$E$215=AM$9)*$S$199:$S$215)</f>
        <v>800</v>
      </c>
      <c r="AN20" s="209">
        <f>SUMPRODUCT(($D$199:$D$215=$AL$6)*($E$199:$E$215=AN$9)*$S$199:$S$215)</f>
        <v>1110</v>
      </c>
      <c r="AO20" s="209">
        <f>SUMPRODUCT(($D$199:$D$215=$AL$6)*($E$199:$E$215=AO$9)*$S$199:$S$215)</f>
        <v>510</v>
      </c>
      <c r="AP20" s="216">
        <f>SUMPRODUCT(($D$199:$D$215=$AL$6)*($E$199:$E$215=AP$9)*$S$199:$S$215)</f>
        <v>5760</v>
      </c>
      <c r="AQ20" s="215">
        <f>SUMPRODUCT(($D$199:$D$215=$AQ$6)*($E$199:$E$215=AQ$9)*$S$199:$S$215)</f>
        <v>26326</v>
      </c>
      <c r="AR20" s="209">
        <f>SUMPRODUCT(($D$199:$D$215=$AQ$6)*($E$199:$E$215=AR$9)*$S$199:$S$215)</f>
        <v>3572</v>
      </c>
      <c r="AS20" s="209">
        <f>SUMPRODUCT(($D$199:$D$215=$AQ$6)*($E$199:$E$215=AS$9)*$S$199:$S$215)</f>
        <v>5338</v>
      </c>
      <c r="AT20" s="209">
        <f>SUMPRODUCT(($D$199:$D$215=$AQ$6)*($E$199:$E$215=AT$9)*$S$199:$S$215)</f>
        <v>11779</v>
      </c>
      <c r="AU20" s="216">
        <f>SUMPRODUCT(($D$199:$D$215=$AQ$6)*($E$199:$E$215=AU$9)*$S$199:$S$215)</f>
        <v>2000</v>
      </c>
      <c r="AV20" s="159">
        <f t="shared" si="8"/>
        <v>123450</v>
      </c>
    </row>
    <row r="21" spans="1:48" ht="15" customHeight="1" thickBot="1" x14ac:dyDescent="0.3">
      <c r="C21" s="275"/>
      <c r="D21" s="98" t="s">
        <v>153</v>
      </c>
      <c r="E21" s="178" t="s">
        <v>258</v>
      </c>
      <c r="F21" s="81">
        <f>180+200+80+95+215+135+374+30+24320+190+50+30+100+200+45+105+600+500+120+40</f>
        <v>27609</v>
      </c>
      <c r="G21" s="81"/>
      <c r="H21" s="81">
        <f>5665+260+1364+135+250</f>
        <v>7674</v>
      </c>
      <c r="I21" s="81">
        <f>125+1249+400+400</f>
        <v>2174</v>
      </c>
      <c r="J21" s="81">
        <v>2286</v>
      </c>
      <c r="K21" s="81"/>
      <c r="L21" s="81"/>
      <c r="M21" s="81"/>
      <c r="N21" s="81"/>
      <c r="O21" s="81">
        <v>238</v>
      </c>
      <c r="P21" s="81"/>
      <c r="Q21" s="81"/>
      <c r="R21" s="81"/>
      <c r="S21" s="82">
        <f t="shared" si="4"/>
        <v>39981</v>
      </c>
      <c r="T21" s="282">
        <f>SUM(S21:S25)</f>
        <v>86141</v>
      </c>
      <c r="V21" s="90">
        <f>$C$218</f>
        <v>202312</v>
      </c>
      <c r="W21" s="52">
        <f>T218</f>
        <v>66375</v>
      </c>
      <c r="X21" s="52">
        <f>T225</f>
        <v>10826</v>
      </c>
      <c r="Y21" s="52">
        <f>T230</f>
        <v>16020</v>
      </c>
      <c r="Z21" s="52">
        <f t="shared" si="6"/>
        <v>93221</v>
      </c>
      <c r="AA21" s="73">
        <f>W21/'2022'!W21-1</f>
        <v>-0.29284481472800494</v>
      </c>
      <c r="AB21" s="73">
        <f>X21/'2022'!X21-1</f>
        <v>-0.64298905157630926</v>
      </c>
      <c r="AC21" s="73">
        <f>Y21/'2022'!Y21-1</f>
        <v>-0.72498798324521041</v>
      </c>
      <c r="AD21" s="200">
        <f t="shared" si="5"/>
        <v>202312</v>
      </c>
      <c r="AE21" s="113">
        <f t="shared" ref="AE21:AK21" si="18">SUMPRODUCT(($D$218:$D$234=$AE$6)*($E$218:$E$234=AE$9)*$S$218:$S$234)</f>
        <v>23031</v>
      </c>
      <c r="AF21" s="222">
        <f t="shared" si="18"/>
        <v>0</v>
      </c>
      <c r="AG21" s="114">
        <f t="shared" si="18"/>
        <v>11302</v>
      </c>
      <c r="AH21" s="223">
        <f t="shared" si="18"/>
        <v>450</v>
      </c>
      <c r="AI21" s="222">
        <f t="shared" si="18"/>
        <v>20575</v>
      </c>
      <c r="AJ21" s="223">
        <f t="shared" si="18"/>
        <v>9017</v>
      </c>
      <c r="AK21" s="114">
        <f t="shared" si="18"/>
        <v>2000</v>
      </c>
      <c r="AL21" s="217">
        <f>SUMPRODUCT(($D$218:$D$234=$AL$6)*($E$218:$E$234=AL$9)*$S$218:$S$234)</f>
        <v>2997</v>
      </c>
      <c r="AM21" s="218">
        <f>SUMPRODUCT(($D$218:$D$234=$AL$6)*($E$218:$E$234=AM$9)*$S$218:$S$234)</f>
        <v>1290</v>
      </c>
      <c r="AN21" s="218">
        <f>SUMPRODUCT(($D$218:$D$234=$AL$6)*($E$218:$E$234=AN$9)*$S$218:$S$234)</f>
        <v>60</v>
      </c>
      <c r="AO21" s="218">
        <f>SUMPRODUCT(($D$218:$D$234=$AL$6)*($E$218:$E$234=AO$9)*$S$218:$S$234)</f>
        <v>759</v>
      </c>
      <c r="AP21" s="219">
        <f>SUMPRODUCT(($D$218:$D$234=$AL$6)*($E$218:$E$234=AP$9)*$S$218:$S$234)</f>
        <v>5720</v>
      </c>
      <c r="AQ21" s="217">
        <f>SUMPRODUCT(($D$218:$D$234=$AQ$6)*($E$218:$E$234=AQ$9)*$S$218:$S$234)</f>
        <v>0</v>
      </c>
      <c r="AR21" s="218">
        <f>SUMPRODUCT(($D$218:$D$234=$AQ$6)*($E$218:$E$234=AR$9)*$S$218:$S$234)</f>
        <v>1661</v>
      </c>
      <c r="AS21" s="218">
        <f>SUMPRODUCT(($D$218:$D$234=$AQ$6)*($E$218:$E$234=AS$9)*$S$218:$S$234)</f>
        <v>1747</v>
      </c>
      <c r="AT21" s="218">
        <f>SUMPRODUCT(($D$218:$D$234=$AQ$6)*($E$218:$E$234=AT$9)*$S$218:$S$234)</f>
        <v>12612</v>
      </c>
      <c r="AU21" s="219">
        <f>SUMPRODUCT(($D$218:$D$234=$AQ$6)*($E$218:$E$234=AU$9)*$S$218:$S$234)</f>
        <v>0</v>
      </c>
      <c r="AV21" s="159">
        <f t="shared" si="8"/>
        <v>93221</v>
      </c>
    </row>
    <row r="22" spans="1:48" ht="15" customHeight="1" x14ac:dyDescent="0.25">
      <c r="C22" s="275"/>
      <c r="D22" s="99" t="s">
        <v>153</v>
      </c>
      <c r="E22" s="137" t="s">
        <v>143</v>
      </c>
      <c r="F22" s="82"/>
      <c r="G22" s="82"/>
      <c r="H22" s="82"/>
      <c r="I22" s="82"/>
      <c r="J22" s="82"/>
      <c r="K22" s="82"/>
      <c r="L22" s="82"/>
      <c r="M22" s="82"/>
      <c r="N22" s="82"/>
      <c r="O22" s="82">
        <v>1800</v>
      </c>
      <c r="P22" s="82"/>
      <c r="Q22" s="82"/>
      <c r="R22" s="82"/>
      <c r="S22" s="82">
        <f t="shared" si="4"/>
        <v>1800</v>
      </c>
      <c r="T22" s="283"/>
      <c r="AD22" s="90"/>
      <c r="AF22" s="52"/>
    </row>
    <row r="23" spans="1:48" ht="15" customHeight="1" x14ac:dyDescent="0.25">
      <c r="C23" s="275"/>
      <c r="D23" s="99" t="s">
        <v>153</v>
      </c>
      <c r="E23" s="99" t="s">
        <v>172</v>
      </c>
      <c r="F23" s="82">
        <f>27778</f>
        <v>27778</v>
      </c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>
        <f t="shared" si="4"/>
        <v>27778</v>
      </c>
      <c r="T23" s="283"/>
      <c r="AF23" s="52"/>
    </row>
    <row r="24" spans="1:48" s="41" customFormat="1" ht="15" customHeight="1" x14ac:dyDescent="0.25">
      <c r="B24" s="45"/>
      <c r="C24" s="276"/>
      <c r="D24" s="99" t="s">
        <v>153</v>
      </c>
      <c r="E24" s="99" t="s">
        <v>173</v>
      </c>
      <c r="F24" s="82"/>
      <c r="G24" s="82"/>
      <c r="H24" s="82"/>
      <c r="I24" s="82"/>
      <c r="J24" s="82"/>
      <c r="K24" s="180"/>
      <c r="L24" s="82"/>
      <c r="M24" s="82"/>
      <c r="N24" s="82"/>
      <c r="O24" s="82"/>
      <c r="P24" s="82"/>
      <c r="Q24" s="82">
        <v>6753</v>
      </c>
      <c r="R24" s="82"/>
      <c r="S24" s="82">
        <f t="shared" si="4"/>
        <v>6753</v>
      </c>
      <c r="T24" s="283"/>
      <c r="AF24" s="52"/>
    </row>
    <row r="25" spans="1:48" ht="15.75" customHeight="1" thickBot="1" x14ac:dyDescent="0.3">
      <c r="C25" s="276"/>
      <c r="D25" s="100" t="s">
        <v>153</v>
      </c>
      <c r="E25" s="100" t="s">
        <v>168</v>
      </c>
      <c r="F25" s="48"/>
      <c r="G25" s="48"/>
      <c r="H25" s="48">
        <f>11829-5000-7000</f>
        <v>-171</v>
      </c>
      <c r="I25" s="48"/>
      <c r="J25" s="48"/>
      <c r="K25" s="48"/>
      <c r="L25" s="48"/>
      <c r="M25" s="48"/>
      <c r="N25" s="48"/>
      <c r="O25" s="48"/>
      <c r="P25" s="48"/>
      <c r="Q25" s="48">
        <f>12000-2000</f>
        <v>10000</v>
      </c>
      <c r="R25" s="48"/>
      <c r="S25" s="48">
        <f t="shared" si="4"/>
        <v>9829</v>
      </c>
      <c r="T25" s="283"/>
      <c r="AF25" s="52"/>
    </row>
    <row r="26" spans="1:48" ht="15" customHeight="1" x14ac:dyDescent="0.25">
      <c r="D26" s="101" t="s">
        <v>120</v>
      </c>
      <c r="E26" s="101" t="s">
        <v>120</v>
      </c>
      <c r="F26" s="64">
        <f t="shared" ref="F26:S26" si="19">SUM(F9:F25)</f>
        <v>135126</v>
      </c>
      <c r="G26" s="64">
        <f t="shared" si="19"/>
        <v>0</v>
      </c>
      <c r="H26" s="64">
        <f t="shared" si="19"/>
        <v>18223</v>
      </c>
      <c r="I26" s="64">
        <f t="shared" si="19"/>
        <v>8765</v>
      </c>
      <c r="J26" s="64">
        <f t="shared" si="19"/>
        <v>4176</v>
      </c>
      <c r="K26" s="64">
        <f t="shared" si="19"/>
        <v>0</v>
      </c>
      <c r="L26" s="64">
        <f t="shared" si="19"/>
        <v>0</v>
      </c>
      <c r="M26" s="64">
        <f t="shared" si="19"/>
        <v>436</v>
      </c>
      <c r="N26" s="64">
        <f t="shared" si="19"/>
        <v>431</v>
      </c>
      <c r="O26" s="64">
        <f t="shared" si="19"/>
        <v>12786</v>
      </c>
      <c r="P26" s="64">
        <f t="shared" si="19"/>
        <v>1048</v>
      </c>
      <c r="Q26" s="64">
        <f t="shared" si="19"/>
        <v>32127</v>
      </c>
      <c r="R26" s="64">
        <f t="shared" si="19"/>
        <v>0</v>
      </c>
      <c r="S26" s="54">
        <f t="shared" si="19"/>
        <v>213118</v>
      </c>
      <c r="AF26" s="52"/>
    </row>
    <row r="27" spans="1:48" ht="15.75" customHeight="1" thickBot="1" x14ac:dyDescent="0.3">
      <c r="D27" s="101"/>
      <c r="E27" s="101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50"/>
      <c r="AE27" s="52"/>
    </row>
    <row r="28" spans="1:48" ht="17.25" x14ac:dyDescent="0.25">
      <c r="A28" s="166" t="s">
        <v>188</v>
      </c>
      <c r="B28" s="167">
        <v>202302</v>
      </c>
      <c r="C28" s="275">
        <v>202302</v>
      </c>
      <c r="D28" s="94" t="s">
        <v>151</v>
      </c>
      <c r="E28" s="177" t="s">
        <v>252</v>
      </c>
      <c r="F28" s="60">
        <f>49+50+250+250+268+1089+130+70+918+150+309+195+69+150+80+800+305+465+28</f>
        <v>5625</v>
      </c>
      <c r="G28" s="59"/>
      <c r="H28" s="59">
        <f>185+80+65+110+55+20+30+118+2112+50+110+43+71+1176+520+100+27+100+270+417+58+20+70+156+0+110+100</f>
        <v>6173</v>
      </c>
      <c r="I28" s="60"/>
      <c r="J28" s="59"/>
      <c r="K28" s="60"/>
      <c r="L28" s="60"/>
      <c r="M28" s="60">
        <f>135+213+500+730+314</f>
        <v>1892</v>
      </c>
      <c r="N28" s="60"/>
      <c r="O28" s="60">
        <f>80+65+478+165+115+90</f>
        <v>993</v>
      </c>
      <c r="P28" s="60"/>
      <c r="Q28" s="60">
        <f>2000+2000+2000+2000</f>
        <v>8000</v>
      </c>
      <c r="R28" s="60"/>
      <c r="S28" s="44">
        <f t="shared" ref="S28:S44" si="20">SUM(F28:R28)</f>
        <v>22683</v>
      </c>
      <c r="T28" s="277">
        <f>SUM(S28:S34)</f>
        <v>89755</v>
      </c>
    </row>
    <row r="29" spans="1:48" ht="15" customHeight="1" thickBot="1" x14ac:dyDescent="0.3">
      <c r="A29" s="164" t="s">
        <v>247</v>
      </c>
      <c r="B29" s="162">
        <f>$J$2</f>
        <v>160000</v>
      </c>
      <c r="C29" s="275"/>
      <c r="D29" s="95" t="s">
        <v>151</v>
      </c>
      <c r="E29" s="176" t="s">
        <v>253</v>
      </c>
      <c r="F29" s="79"/>
      <c r="G29" s="78"/>
      <c r="H29" s="78"/>
      <c r="I29" s="79"/>
      <c r="J29" s="78"/>
      <c r="K29" s="79"/>
      <c r="L29" s="79"/>
      <c r="M29" s="79"/>
      <c r="N29" s="79"/>
      <c r="O29" s="79"/>
      <c r="P29" s="79"/>
      <c r="Q29" s="79"/>
      <c r="R29" s="79"/>
      <c r="S29" s="80">
        <f t="shared" si="20"/>
        <v>0</v>
      </c>
      <c r="T29" s="278"/>
    </row>
    <row r="30" spans="1:48" ht="15" customHeight="1" thickTop="1" x14ac:dyDescent="0.25">
      <c r="A30" s="165" t="s">
        <v>237</v>
      </c>
      <c r="B30" s="182">
        <f>SUMPRODUCT((($V$10:$V$21)&lt;=VALUE(B28))*($Z$10:$Z$21))</f>
        <v>406751</v>
      </c>
      <c r="C30" s="275"/>
      <c r="D30" s="95" t="s">
        <v>151</v>
      </c>
      <c r="E30" s="176" t="s">
        <v>254</v>
      </c>
      <c r="F30" s="79">
        <v>3028</v>
      </c>
      <c r="G30" s="78"/>
      <c r="H30" s="78">
        <v>174</v>
      </c>
      <c r="I30" s="79"/>
      <c r="J30" s="78"/>
      <c r="K30" s="79"/>
      <c r="L30" s="79"/>
      <c r="M30" s="79">
        <v>1069</v>
      </c>
      <c r="N30" s="79"/>
      <c r="O30" s="79"/>
      <c r="P30" s="79"/>
      <c r="Q30" s="79">
        <f>10500-7000+596</f>
        <v>4096</v>
      </c>
      <c r="R30" s="79"/>
      <c r="S30" s="80">
        <f t="shared" si="20"/>
        <v>8367</v>
      </c>
      <c r="T30" s="278"/>
    </row>
    <row r="31" spans="1:48" ht="15" customHeight="1" x14ac:dyDescent="0.25">
      <c r="A31" s="165" t="s">
        <v>264</v>
      </c>
      <c r="B31" s="181">
        <f>B30/SUMPRODUCT(('2023'!$V$10:$V$21&lt;='2023'!B28)*'2022'!$Z$10:$Z$21)</f>
        <v>1.2150017623829807</v>
      </c>
      <c r="C31" s="275"/>
      <c r="D31" s="95" t="s">
        <v>151</v>
      </c>
      <c r="E31" s="176" t="s">
        <v>255</v>
      </c>
      <c r="F31" s="79">
        <f>240+1600+80+240+240+250+80+240+120</f>
        <v>3090</v>
      </c>
      <c r="G31" s="78"/>
      <c r="H31" s="78">
        <f>557+605+70+60</f>
        <v>1292</v>
      </c>
      <c r="I31" s="79">
        <f>400+1347</f>
        <v>1747</v>
      </c>
      <c r="J31" s="78"/>
      <c r="K31" s="79"/>
      <c r="L31" s="79"/>
      <c r="M31" s="79">
        <f>30+20</f>
        <v>50</v>
      </c>
      <c r="N31" s="79"/>
      <c r="O31" s="79"/>
      <c r="P31" s="79"/>
      <c r="Q31" s="79"/>
      <c r="R31" s="79"/>
      <c r="S31" s="80">
        <f t="shared" si="20"/>
        <v>6179</v>
      </c>
      <c r="T31" s="278"/>
    </row>
    <row r="32" spans="1:48" ht="15" customHeight="1" x14ac:dyDescent="0.25">
      <c r="A32" s="165" t="s">
        <v>236</v>
      </c>
      <c r="B32" s="186">
        <f>B30-$K$2*VALUE(RIGHT(B28,2))/9</f>
        <v>351195</v>
      </c>
      <c r="C32" s="275"/>
      <c r="D32" s="96" t="s">
        <v>151</v>
      </c>
      <c r="E32" s="176" t="s">
        <v>256</v>
      </c>
      <c r="F32" s="79">
        <f>45465+66</f>
        <v>45531</v>
      </c>
      <c r="G32" s="78"/>
      <c r="H32" s="78"/>
      <c r="I32" s="78"/>
      <c r="J32" s="78"/>
      <c r="K32" s="79"/>
      <c r="L32" s="79"/>
      <c r="M32" s="79"/>
      <c r="N32" s="79"/>
      <c r="O32" s="79"/>
      <c r="P32" s="79"/>
      <c r="Q32" s="79"/>
      <c r="R32" s="79"/>
      <c r="S32" s="80">
        <f t="shared" si="20"/>
        <v>45531</v>
      </c>
      <c r="T32" s="278"/>
    </row>
    <row r="33" spans="1:31" ht="15" customHeight="1" x14ac:dyDescent="0.25">
      <c r="A33" s="164" t="s">
        <v>242</v>
      </c>
      <c r="B33" s="157">
        <f>B32/($J$2*12)</f>
        <v>0.1829140625</v>
      </c>
      <c r="C33" s="275"/>
      <c r="D33" s="95" t="s">
        <v>151</v>
      </c>
      <c r="E33" s="176" t="s">
        <v>257</v>
      </c>
      <c r="F33" s="79">
        <f>1500+900+300+2000</f>
        <v>4700</v>
      </c>
      <c r="G33" s="78"/>
      <c r="H33" s="78">
        <v>2215</v>
      </c>
      <c r="I33" s="79"/>
      <c r="J33" s="78"/>
      <c r="K33" s="79"/>
      <c r="L33" s="79"/>
      <c r="M33" s="79"/>
      <c r="N33" s="79"/>
      <c r="O33" s="79"/>
      <c r="P33" s="79"/>
      <c r="Q33" s="79"/>
      <c r="R33" s="79"/>
      <c r="S33" s="80">
        <f t="shared" si="20"/>
        <v>6915</v>
      </c>
      <c r="T33" s="278"/>
    </row>
    <row r="34" spans="1:31" ht="15" customHeight="1" x14ac:dyDescent="0.25">
      <c r="A34" s="164" t="s">
        <v>241</v>
      </c>
      <c r="B34" s="126">
        <f>VALUE(RIGHT(B28,2))/12</f>
        <v>0.16666666666666666</v>
      </c>
      <c r="C34" s="275"/>
      <c r="D34" s="95" t="s">
        <v>151</v>
      </c>
      <c r="E34" s="176" t="s">
        <v>263</v>
      </c>
      <c r="F34" s="78">
        <v>80</v>
      </c>
      <c r="G34" s="78"/>
      <c r="H34" s="78"/>
      <c r="I34" s="79"/>
      <c r="J34" s="78"/>
      <c r="K34" s="79"/>
      <c r="L34" s="79"/>
      <c r="M34" s="79"/>
      <c r="N34" s="79"/>
      <c r="O34" s="79"/>
      <c r="P34" s="79"/>
      <c r="Q34" s="79"/>
      <c r="R34" s="79"/>
      <c r="S34" s="80">
        <f t="shared" si="20"/>
        <v>80</v>
      </c>
      <c r="T34" s="276"/>
    </row>
    <row r="35" spans="1:31" ht="15" customHeight="1" x14ac:dyDescent="0.25">
      <c r="A35" s="164" t="s">
        <v>243</v>
      </c>
      <c r="B35" s="161">
        <f>B29*VALUE(RIGHT(B28,2))-B32</f>
        <v>-31195</v>
      </c>
      <c r="C35" s="275"/>
      <c r="D35" s="97" t="s">
        <v>152</v>
      </c>
      <c r="E35" s="97" t="s">
        <v>144</v>
      </c>
      <c r="F35" s="85"/>
      <c r="G35" s="46"/>
      <c r="H35" s="85"/>
      <c r="I35" s="146"/>
      <c r="J35" s="46"/>
      <c r="K35" s="46"/>
      <c r="L35" s="89"/>
      <c r="M35" s="89">
        <v>40</v>
      </c>
      <c r="N35" s="46"/>
      <c r="O35" s="46"/>
      <c r="P35" s="46"/>
      <c r="Q35" s="46"/>
      <c r="R35" s="46"/>
      <c r="S35" s="83">
        <f t="shared" si="20"/>
        <v>40</v>
      </c>
      <c r="T35" s="280">
        <f>SUM(S35:S39)</f>
        <v>2218</v>
      </c>
    </row>
    <row r="36" spans="1:31" ht="15" customHeight="1" x14ac:dyDescent="0.25">
      <c r="A36" s="164" t="s">
        <v>265</v>
      </c>
      <c r="B36" s="184">
        <f>$J$2-(S45-F42)</f>
        <v>-5855</v>
      </c>
      <c r="C36" s="275"/>
      <c r="D36" s="97" t="s">
        <v>152</v>
      </c>
      <c r="E36" s="97" t="s">
        <v>145</v>
      </c>
      <c r="F36" s="46"/>
      <c r="G36" s="46"/>
      <c r="H36" s="85"/>
      <c r="I36" s="85"/>
      <c r="J36" s="46"/>
      <c r="K36" s="46"/>
      <c r="L36" s="46"/>
      <c r="M36" s="89">
        <v>40</v>
      </c>
      <c r="N36" s="46"/>
      <c r="O36" s="46"/>
      <c r="P36" s="46"/>
      <c r="Q36" s="46"/>
      <c r="R36" s="46"/>
      <c r="S36" s="83">
        <f>SUM(G36:R36)</f>
        <v>40</v>
      </c>
      <c r="T36" s="281"/>
    </row>
    <row r="37" spans="1:31" ht="15" customHeight="1" x14ac:dyDescent="0.25">
      <c r="C37" s="275"/>
      <c r="D37" s="97" t="s">
        <v>152</v>
      </c>
      <c r="E37" s="97" t="s">
        <v>146</v>
      </c>
      <c r="F37" s="86">
        <v>799</v>
      </c>
      <c r="G37" s="46"/>
      <c r="H37" s="87">
        <f>125+45</f>
        <v>170</v>
      </c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83">
        <f t="shared" si="20"/>
        <v>969</v>
      </c>
      <c r="T37" s="281"/>
    </row>
    <row r="38" spans="1:31" ht="15" customHeight="1" x14ac:dyDescent="0.25">
      <c r="C38" s="275"/>
      <c r="D38" s="97" t="s">
        <v>152</v>
      </c>
      <c r="E38" s="97" t="s">
        <v>147</v>
      </c>
      <c r="F38" s="85">
        <v>899</v>
      </c>
      <c r="G38" s="46"/>
      <c r="H38" s="87">
        <f>125+45</f>
        <v>170</v>
      </c>
      <c r="I38" s="85"/>
      <c r="J38" s="46"/>
      <c r="K38" s="46"/>
      <c r="L38" s="46"/>
      <c r="M38" s="46"/>
      <c r="N38" s="46"/>
      <c r="O38" s="46"/>
      <c r="P38" s="46"/>
      <c r="Q38" s="46"/>
      <c r="R38" s="46"/>
      <c r="S38" s="83">
        <f t="shared" si="20"/>
        <v>1069</v>
      </c>
      <c r="T38" s="281"/>
    </row>
    <row r="39" spans="1:31" ht="15" customHeight="1" x14ac:dyDescent="0.25">
      <c r="C39" s="275"/>
      <c r="D39" s="97" t="s">
        <v>152</v>
      </c>
      <c r="E39" s="97" t="s">
        <v>168</v>
      </c>
      <c r="F39" s="85"/>
      <c r="G39" s="46"/>
      <c r="H39" s="46"/>
      <c r="I39" s="46"/>
      <c r="J39" s="46"/>
      <c r="K39" s="46"/>
      <c r="L39" s="46"/>
      <c r="M39" s="89">
        <v>100</v>
      </c>
      <c r="N39" s="46"/>
      <c r="O39" s="46"/>
      <c r="P39" s="46"/>
      <c r="Q39" s="46"/>
      <c r="R39" s="46"/>
      <c r="S39" s="83">
        <f t="shared" si="20"/>
        <v>100</v>
      </c>
      <c r="T39" s="281"/>
    </row>
    <row r="40" spans="1:31" ht="15" customHeight="1" x14ac:dyDescent="0.25">
      <c r="C40" s="275"/>
      <c r="D40" s="98" t="s">
        <v>153</v>
      </c>
      <c r="E40" s="98" t="s">
        <v>170</v>
      </c>
      <c r="F40" s="81">
        <f>70000+1400-50000</f>
        <v>21400</v>
      </c>
      <c r="G40" s="81"/>
      <c r="H40" s="81"/>
      <c r="I40" s="81"/>
      <c r="J40" s="82"/>
      <c r="K40" s="81"/>
      <c r="L40" s="81">
        <v>5620</v>
      </c>
      <c r="M40" s="81">
        <f>74878+1123-50000</f>
        <v>26001</v>
      </c>
      <c r="N40" s="81"/>
      <c r="O40" s="81">
        <v>8055</v>
      </c>
      <c r="P40" s="81"/>
      <c r="Q40" s="81"/>
      <c r="R40" s="81"/>
      <c r="S40" s="81">
        <f>SUM(F40:R40)</f>
        <v>61076</v>
      </c>
      <c r="T40" s="282">
        <f>SUM(S40:S44)</f>
        <v>101660</v>
      </c>
      <c r="AE40" s="52"/>
    </row>
    <row r="41" spans="1:31" ht="15" customHeight="1" x14ac:dyDescent="0.25">
      <c r="C41" s="275"/>
      <c r="D41" s="99" t="s">
        <v>153</v>
      </c>
      <c r="E41" s="99" t="s">
        <v>171</v>
      </c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>
        <f t="shared" si="20"/>
        <v>0</v>
      </c>
      <c r="T41" s="283"/>
      <c r="AE41" s="52"/>
    </row>
    <row r="42" spans="1:31" ht="15" customHeight="1" x14ac:dyDescent="0.25">
      <c r="C42" s="275"/>
      <c r="D42" s="99" t="s">
        <v>153</v>
      </c>
      <c r="E42" s="99" t="s">
        <v>172</v>
      </c>
      <c r="F42" s="82">
        <f>27778</f>
        <v>27778</v>
      </c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>
        <f t="shared" si="20"/>
        <v>27778</v>
      </c>
      <c r="T42" s="283"/>
      <c r="AE42" s="52"/>
    </row>
    <row r="43" spans="1:31" s="41" customFormat="1" ht="15" customHeight="1" x14ac:dyDescent="0.25">
      <c r="C43" s="276"/>
      <c r="D43" s="99" t="s">
        <v>153</v>
      </c>
      <c r="E43" s="99" t="s">
        <v>173</v>
      </c>
      <c r="F43" s="82"/>
      <c r="G43" s="82"/>
      <c r="H43" s="82"/>
      <c r="I43" s="82"/>
      <c r="J43" s="82"/>
      <c r="K43" s="82"/>
      <c r="L43" s="82"/>
      <c r="M43" s="82">
        <f>1182</f>
        <v>1182</v>
      </c>
      <c r="N43" s="82"/>
      <c r="O43" s="82">
        <v>1182</v>
      </c>
      <c r="P43" s="82"/>
      <c r="Q43" s="82">
        <v>6753</v>
      </c>
      <c r="R43" s="82"/>
      <c r="S43" s="82">
        <f t="shared" si="20"/>
        <v>9117</v>
      </c>
      <c r="T43" s="283"/>
      <c r="AE43" s="52"/>
    </row>
    <row r="44" spans="1:31" ht="15.75" customHeight="1" thickBot="1" x14ac:dyDescent="0.3">
      <c r="B44" s="74"/>
      <c r="C44" s="276"/>
      <c r="D44" s="100" t="s">
        <v>153</v>
      </c>
      <c r="E44" s="100" t="s">
        <v>168</v>
      </c>
      <c r="F44" s="48"/>
      <c r="G44" s="48"/>
      <c r="H44" s="48">
        <f>11829-17000-2300-1000</f>
        <v>-8471</v>
      </c>
      <c r="I44" s="48"/>
      <c r="J44" s="48"/>
      <c r="K44" s="48"/>
      <c r="L44" s="48"/>
      <c r="M44" s="48"/>
      <c r="N44" s="48"/>
      <c r="O44" s="48">
        <f>11000+1160</f>
        <v>12160</v>
      </c>
      <c r="P44" s="48"/>
      <c r="Q44" s="48"/>
      <c r="R44" s="48"/>
      <c r="S44" s="48">
        <f t="shared" si="20"/>
        <v>3689</v>
      </c>
      <c r="T44" s="283"/>
      <c r="AE44" s="52"/>
    </row>
    <row r="45" spans="1:31" ht="15" customHeight="1" x14ac:dyDescent="0.25">
      <c r="D45" s="101" t="s">
        <v>120</v>
      </c>
      <c r="E45" s="101" t="s">
        <v>120</v>
      </c>
      <c r="F45" s="64">
        <f t="shared" ref="F45:S45" si="21">SUM(F28:F44)</f>
        <v>112930</v>
      </c>
      <c r="G45" s="64">
        <f t="shared" si="21"/>
        <v>0</v>
      </c>
      <c r="H45" s="64">
        <f t="shared" si="21"/>
        <v>1723</v>
      </c>
      <c r="I45" s="64">
        <f t="shared" si="21"/>
        <v>1747</v>
      </c>
      <c r="J45" s="64">
        <f t="shared" si="21"/>
        <v>0</v>
      </c>
      <c r="K45" s="64">
        <f t="shared" si="21"/>
        <v>0</v>
      </c>
      <c r="L45" s="64">
        <f t="shared" si="21"/>
        <v>5620</v>
      </c>
      <c r="M45" s="64">
        <f t="shared" si="21"/>
        <v>30374</v>
      </c>
      <c r="N45" s="64">
        <f t="shared" si="21"/>
        <v>0</v>
      </c>
      <c r="O45" s="64">
        <f t="shared" si="21"/>
        <v>22390</v>
      </c>
      <c r="P45" s="64">
        <f t="shared" si="21"/>
        <v>0</v>
      </c>
      <c r="Q45" s="64">
        <f t="shared" si="21"/>
        <v>18849</v>
      </c>
      <c r="R45" s="64">
        <f t="shared" si="21"/>
        <v>0</v>
      </c>
      <c r="S45" s="54">
        <f t="shared" si="21"/>
        <v>193633</v>
      </c>
      <c r="AE45" s="52"/>
    </row>
    <row r="46" spans="1:31" ht="15.75" customHeight="1" thickBot="1" x14ac:dyDescent="0.3">
      <c r="AE46" s="52"/>
    </row>
    <row r="47" spans="1:31" ht="17.25" x14ac:dyDescent="0.25">
      <c r="A47" s="166" t="s">
        <v>188</v>
      </c>
      <c r="B47" s="167">
        <v>202303</v>
      </c>
      <c r="C47" s="275">
        <v>202303</v>
      </c>
      <c r="D47" s="94" t="s">
        <v>151</v>
      </c>
      <c r="E47" s="177" t="s">
        <v>252</v>
      </c>
      <c r="F47" s="60">
        <f>258+180+95+200+146+1224+538+100+530+84+50+539+148+1000+120+105+100+600+95</f>
        <v>6112</v>
      </c>
      <c r="G47" s="59"/>
      <c r="H47" s="59">
        <f>512+140+320+314+75+53+39+27+218+259+275+110+40+25+111+100+70+58+160+87+216+55+12+49+35+98+85+180+140+113+620+110+105+70+520+540+251+171+235+226+130+89+121+207+175+59+7+171+203+112+20+72+769+115+619</f>
        <v>9693</v>
      </c>
      <c r="I47" s="60">
        <f>50+91</f>
        <v>141</v>
      </c>
      <c r="J47" s="59"/>
      <c r="K47" s="60"/>
      <c r="L47" s="60"/>
      <c r="M47" s="60">
        <f>890+688+25+356</f>
        <v>1959</v>
      </c>
      <c r="N47" s="60">
        <f>50+50</f>
        <v>100</v>
      </c>
      <c r="O47" s="60">
        <f>460+1015+220+65+128+180+200</f>
        <v>2268</v>
      </c>
      <c r="P47" s="60"/>
      <c r="Q47" s="60">
        <f>2200+2000+2000+2000+2000</f>
        <v>10200</v>
      </c>
      <c r="R47" s="60"/>
      <c r="S47" s="44">
        <f t="shared" ref="S47:S63" si="22">SUM(F47:R47)</f>
        <v>30473</v>
      </c>
      <c r="T47" s="277">
        <f>SUM(S47:S53)</f>
        <v>106277</v>
      </c>
      <c r="AE47" s="52"/>
    </row>
    <row r="48" spans="1:31" ht="15" customHeight="1" thickBot="1" x14ac:dyDescent="0.3">
      <c r="A48" s="164" t="s">
        <v>247</v>
      </c>
      <c r="B48" s="162">
        <f>$J$2</f>
        <v>160000</v>
      </c>
      <c r="C48" s="275"/>
      <c r="D48" s="95" t="s">
        <v>151</v>
      </c>
      <c r="E48" s="176" t="s">
        <v>253</v>
      </c>
      <c r="F48" s="79">
        <v>400</v>
      </c>
      <c r="G48" s="78"/>
      <c r="H48" s="78"/>
      <c r="I48" s="79"/>
      <c r="J48" s="78"/>
      <c r="K48" s="79"/>
      <c r="L48" s="79"/>
      <c r="M48" s="79"/>
      <c r="N48" s="79"/>
      <c r="O48" s="79"/>
      <c r="P48" s="79"/>
      <c r="Q48" s="79"/>
      <c r="R48" s="79"/>
      <c r="S48" s="80">
        <f t="shared" si="22"/>
        <v>400</v>
      </c>
      <c r="T48" s="277"/>
      <c r="AE48" s="52"/>
    </row>
    <row r="49" spans="1:31" ht="15" customHeight="1" thickTop="1" x14ac:dyDescent="0.25">
      <c r="A49" s="165" t="s">
        <v>237</v>
      </c>
      <c r="B49" s="182">
        <f>SUMPRODUCT((($V$10:$V$21)&lt;=VALUE(B47))*($Z$10:$Z$21))</f>
        <v>594971</v>
      </c>
      <c r="C49" s="275"/>
      <c r="D49" s="95" t="s">
        <v>151</v>
      </c>
      <c r="E49" s="176" t="s">
        <v>254</v>
      </c>
      <c r="F49" s="79">
        <f>3028+596</f>
        <v>3624</v>
      </c>
      <c r="G49" s="78"/>
      <c r="H49" s="78">
        <f>445+1275+538+140</f>
        <v>2398</v>
      </c>
      <c r="I49" s="79"/>
      <c r="J49" s="78">
        <v>79</v>
      </c>
      <c r="K49" s="79"/>
      <c r="L49" s="79"/>
      <c r="M49" s="79"/>
      <c r="N49" s="79"/>
      <c r="O49" s="79"/>
      <c r="P49" s="79"/>
      <c r="Q49" s="79">
        <f>10500-7000+1157+596</f>
        <v>5253</v>
      </c>
      <c r="R49" s="79"/>
      <c r="S49" s="80">
        <f t="shared" si="22"/>
        <v>11354</v>
      </c>
      <c r="T49" s="277"/>
      <c r="AE49" s="52"/>
    </row>
    <row r="50" spans="1:31" ht="15" customHeight="1" x14ac:dyDescent="0.25">
      <c r="A50" s="165" t="s">
        <v>264</v>
      </c>
      <c r="B50" s="181">
        <f>B49/SUMPRODUCT(('2023'!$V$10:$V$21&lt;='2023'!B47)*'2022'!$Z$10:$Z$21)</f>
        <v>1.2438166754818196</v>
      </c>
      <c r="C50" s="275"/>
      <c r="D50" s="95" t="s">
        <v>151</v>
      </c>
      <c r="E50" s="176" t="s">
        <v>255</v>
      </c>
      <c r="F50" s="79">
        <f>240+200+80+10+70+80+130+80+220+25+20+15</f>
        <v>1170</v>
      </c>
      <c r="G50" s="78"/>
      <c r="H50" s="78">
        <f>120+655+40+1265+140</f>
        <v>2220</v>
      </c>
      <c r="I50" s="79"/>
      <c r="J50" s="78"/>
      <c r="K50" s="79"/>
      <c r="L50" s="79"/>
      <c r="M50" s="79">
        <v>872</v>
      </c>
      <c r="N50" s="79"/>
      <c r="O50" s="79"/>
      <c r="P50" s="79"/>
      <c r="Q50" s="79"/>
      <c r="R50" s="79"/>
      <c r="S50" s="80">
        <f t="shared" si="22"/>
        <v>4262</v>
      </c>
      <c r="T50" s="277"/>
      <c r="AE50" s="52"/>
    </row>
    <row r="51" spans="1:31" ht="15" customHeight="1" x14ac:dyDescent="0.25">
      <c r="A51" s="165" t="s">
        <v>236</v>
      </c>
      <c r="B51" s="186">
        <f>B49-$K$2*VALUE(RIGHT(B47,2))/9</f>
        <v>511637</v>
      </c>
      <c r="C51" s="275"/>
      <c r="D51" s="96" t="s">
        <v>151</v>
      </c>
      <c r="E51" s="176" t="s">
        <v>256</v>
      </c>
      <c r="F51" s="79">
        <f>11000+6000+100</f>
        <v>17100</v>
      </c>
      <c r="G51" s="78"/>
      <c r="H51" s="78">
        <f>3589+1446</f>
        <v>5035</v>
      </c>
      <c r="I51" s="78"/>
      <c r="J51" s="78"/>
      <c r="K51" s="79"/>
      <c r="L51" s="79"/>
      <c r="M51" s="79"/>
      <c r="N51" s="79"/>
      <c r="O51" s="79"/>
      <c r="P51" s="79"/>
      <c r="Q51" s="79"/>
      <c r="R51" s="79"/>
      <c r="S51" s="80">
        <f t="shared" si="22"/>
        <v>22135</v>
      </c>
      <c r="T51" s="277"/>
    </row>
    <row r="52" spans="1:31" ht="15" customHeight="1" x14ac:dyDescent="0.25">
      <c r="A52" s="164" t="s">
        <v>242</v>
      </c>
      <c r="B52" s="157">
        <f>B51/($J$2*12)</f>
        <v>0.26647760416666666</v>
      </c>
      <c r="C52" s="275"/>
      <c r="D52" s="95" t="s">
        <v>151</v>
      </c>
      <c r="E52" s="176" t="s">
        <v>257</v>
      </c>
      <c r="F52" s="79">
        <f>30650+7000-567</f>
        <v>37083</v>
      </c>
      <c r="G52" s="78"/>
      <c r="H52" s="78"/>
      <c r="I52" s="79"/>
      <c r="J52" s="78"/>
      <c r="K52" s="79"/>
      <c r="L52" s="79"/>
      <c r="M52" s="79"/>
      <c r="N52" s="79"/>
      <c r="O52" s="79"/>
      <c r="P52" s="79"/>
      <c r="Q52" s="79"/>
      <c r="R52" s="79"/>
      <c r="S52" s="80">
        <f t="shared" si="22"/>
        <v>37083</v>
      </c>
      <c r="T52" s="277"/>
    </row>
    <row r="53" spans="1:31" ht="15" customHeight="1" x14ac:dyDescent="0.25">
      <c r="A53" s="164" t="s">
        <v>241</v>
      </c>
      <c r="B53" s="126">
        <f>VALUE(RIGHT(B47,2))/12</f>
        <v>0.25</v>
      </c>
      <c r="C53" s="275"/>
      <c r="D53" s="95" t="s">
        <v>151</v>
      </c>
      <c r="E53" s="176" t="s">
        <v>263</v>
      </c>
      <c r="F53" s="78">
        <f>230+50+50+240</f>
        <v>570</v>
      </c>
      <c r="G53" s="78"/>
      <c r="H53" s="78"/>
      <c r="I53" s="79"/>
      <c r="J53" s="78"/>
      <c r="K53" s="79"/>
      <c r="L53" s="79"/>
      <c r="M53" s="79"/>
      <c r="N53" s="79"/>
      <c r="O53" s="79"/>
      <c r="P53" s="79"/>
      <c r="Q53" s="79"/>
      <c r="R53" s="79"/>
      <c r="S53" s="80">
        <f t="shared" si="22"/>
        <v>570</v>
      </c>
      <c r="T53" s="277"/>
    </row>
    <row r="54" spans="1:31" ht="15" customHeight="1" x14ac:dyDescent="0.25">
      <c r="A54" s="164" t="s">
        <v>243</v>
      </c>
      <c r="B54" s="161">
        <f>B48*VALUE(RIGHT(B47,2))-B51</f>
        <v>-31637</v>
      </c>
      <c r="C54" s="275"/>
      <c r="D54" s="97" t="s">
        <v>152</v>
      </c>
      <c r="E54" s="97" t="s">
        <v>144</v>
      </c>
      <c r="F54" s="85"/>
      <c r="G54" s="46"/>
      <c r="H54" s="85">
        <v>500</v>
      </c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83">
        <f t="shared" si="22"/>
        <v>500</v>
      </c>
      <c r="T54" s="280">
        <f>SUM(S54:S58)</f>
        <v>4371</v>
      </c>
    </row>
    <row r="55" spans="1:31" ht="15" customHeight="1" x14ac:dyDescent="0.25">
      <c r="A55" s="164" t="s">
        <v>265</v>
      </c>
      <c r="B55" s="184">
        <f>$J$2-(S64-F61)</f>
        <v>-442</v>
      </c>
      <c r="C55" s="275"/>
      <c r="D55" s="97" t="s">
        <v>152</v>
      </c>
      <c r="E55" s="97" t="s">
        <v>145</v>
      </c>
      <c r="F55" s="85"/>
      <c r="G55" s="46"/>
      <c r="H55" s="85"/>
      <c r="I55" s="46"/>
      <c r="J55" s="89"/>
      <c r="K55" s="46"/>
      <c r="L55" s="46"/>
      <c r="M55" s="86">
        <v>610</v>
      </c>
      <c r="N55" s="46"/>
      <c r="O55" s="46"/>
      <c r="P55" s="46"/>
      <c r="Q55" s="46"/>
      <c r="R55" s="46"/>
      <c r="S55" s="83">
        <f t="shared" si="22"/>
        <v>610</v>
      </c>
      <c r="T55" s="281"/>
    </row>
    <row r="56" spans="1:31" ht="15" customHeight="1" x14ac:dyDescent="0.25">
      <c r="C56" s="275"/>
      <c r="D56" s="97" t="s">
        <v>152</v>
      </c>
      <c r="E56" s="97" t="s">
        <v>146</v>
      </c>
      <c r="F56" s="86"/>
      <c r="G56" s="46"/>
      <c r="H56" s="86">
        <v>200</v>
      </c>
      <c r="I56" s="46"/>
      <c r="J56" s="46"/>
      <c r="K56" s="46"/>
      <c r="L56" s="46"/>
      <c r="M56" s="89">
        <f>218</f>
        <v>218</v>
      </c>
      <c r="N56" s="46"/>
      <c r="O56" s="89">
        <v>1200</v>
      </c>
      <c r="P56" s="46"/>
      <c r="Q56" s="46"/>
      <c r="R56" s="46"/>
      <c r="S56" s="83">
        <f t="shared" si="22"/>
        <v>1618</v>
      </c>
      <c r="T56" s="281"/>
    </row>
    <row r="57" spans="1:31" ht="15" customHeight="1" x14ac:dyDescent="0.25">
      <c r="C57" s="275"/>
      <c r="D57" s="97" t="s">
        <v>152</v>
      </c>
      <c r="E57" s="97" t="s">
        <v>147</v>
      </c>
      <c r="F57" s="86"/>
      <c r="G57" s="46"/>
      <c r="H57" s="87">
        <f>1245+200</f>
        <v>1445</v>
      </c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83">
        <f t="shared" si="22"/>
        <v>1445</v>
      </c>
      <c r="T57" s="281"/>
    </row>
    <row r="58" spans="1:31" ht="15" customHeight="1" x14ac:dyDescent="0.25">
      <c r="C58" s="275"/>
      <c r="D58" s="97" t="s">
        <v>152</v>
      </c>
      <c r="E58" s="97" t="s">
        <v>168</v>
      </c>
      <c r="F58" s="85"/>
      <c r="G58" s="46"/>
      <c r="H58" s="89"/>
      <c r="I58" s="46"/>
      <c r="J58" s="46"/>
      <c r="K58" s="46"/>
      <c r="L58" s="46"/>
      <c r="M58" s="89">
        <v>198</v>
      </c>
      <c r="N58" s="46"/>
      <c r="O58" s="46"/>
      <c r="P58" s="46"/>
      <c r="Q58" s="46"/>
      <c r="R58" s="46"/>
      <c r="S58" s="83">
        <f t="shared" si="22"/>
        <v>198</v>
      </c>
      <c r="T58" s="281"/>
    </row>
    <row r="59" spans="1:31" ht="15" customHeight="1" x14ac:dyDescent="0.25">
      <c r="C59" s="275"/>
      <c r="D59" s="98" t="s">
        <v>153</v>
      </c>
      <c r="E59" s="98" t="s">
        <v>170</v>
      </c>
      <c r="F59" s="81">
        <v>10000</v>
      </c>
      <c r="G59" s="81"/>
      <c r="H59" s="81">
        <v>900</v>
      </c>
      <c r="I59" s="82"/>
      <c r="J59" s="81"/>
      <c r="K59" s="81"/>
      <c r="L59" s="81"/>
      <c r="M59" s="81">
        <f>5532+10000</f>
        <v>15532</v>
      </c>
      <c r="N59" s="81"/>
      <c r="O59" s="81"/>
      <c r="P59" s="81"/>
      <c r="Q59" s="81"/>
      <c r="R59" s="81"/>
      <c r="S59" s="81">
        <f>SUM(F59:R59)</f>
        <v>26432</v>
      </c>
      <c r="T59" s="282">
        <f>SUM(S59:S63)</f>
        <v>77572</v>
      </c>
    </row>
    <row r="60" spans="1:31" ht="15" customHeight="1" x14ac:dyDescent="0.25">
      <c r="C60" s="275"/>
      <c r="D60" s="99" t="s">
        <v>153</v>
      </c>
      <c r="E60" s="99" t="s">
        <v>171</v>
      </c>
      <c r="F60" s="82"/>
      <c r="G60" s="82"/>
      <c r="H60" s="82"/>
      <c r="I60" s="82"/>
      <c r="J60" s="82"/>
      <c r="K60" s="82"/>
      <c r="L60" s="82"/>
      <c r="M60" s="82">
        <v>840</v>
      </c>
      <c r="N60" s="82"/>
      <c r="O60" s="82"/>
      <c r="P60" s="82"/>
      <c r="Q60" s="82"/>
      <c r="R60" s="82"/>
      <c r="S60" s="82">
        <f t="shared" si="22"/>
        <v>840</v>
      </c>
      <c r="T60" s="283"/>
    </row>
    <row r="61" spans="1:31" ht="15" customHeight="1" x14ac:dyDescent="0.25">
      <c r="C61" s="275"/>
      <c r="D61" s="99" t="s">
        <v>153</v>
      </c>
      <c r="E61" s="99" t="s">
        <v>172</v>
      </c>
      <c r="F61" s="82">
        <f>27778</f>
        <v>27778</v>
      </c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>
        <f t="shared" si="22"/>
        <v>27778</v>
      </c>
      <c r="T61" s="283"/>
    </row>
    <row r="62" spans="1:31" s="41" customFormat="1" ht="15" customHeight="1" x14ac:dyDescent="0.25">
      <c r="A62" s="45"/>
      <c r="B62" s="45"/>
      <c r="C62" s="275"/>
      <c r="D62" s="99" t="s">
        <v>153</v>
      </c>
      <c r="E62" s="99" t="s">
        <v>173</v>
      </c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>
        <v>6753</v>
      </c>
      <c r="R62" s="82"/>
      <c r="S62" s="82">
        <f t="shared" si="22"/>
        <v>6753</v>
      </c>
      <c r="T62" s="283"/>
    </row>
    <row r="63" spans="1:31" ht="15.75" customHeight="1" thickBot="1" x14ac:dyDescent="0.3">
      <c r="A63" s="41"/>
      <c r="B63" s="41"/>
      <c r="C63" s="275"/>
      <c r="D63" s="100" t="s">
        <v>153</v>
      </c>
      <c r="E63" s="100" t="s">
        <v>168</v>
      </c>
      <c r="F63" s="48"/>
      <c r="G63" s="48"/>
      <c r="H63" s="48">
        <v>11829</v>
      </c>
      <c r="I63" s="48"/>
      <c r="J63" s="48"/>
      <c r="K63" s="48"/>
      <c r="L63" s="48"/>
      <c r="M63" s="48">
        <f>1080+860</f>
        <v>1940</v>
      </c>
      <c r="N63" s="48"/>
      <c r="O63" s="48"/>
      <c r="P63" s="48"/>
      <c r="Q63" s="48">
        <v>2000</v>
      </c>
      <c r="R63" s="48"/>
      <c r="S63" s="48">
        <f t="shared" si="22"/>
        <v>15769</v>
      </c>
      <c r="T63" s="283"/>
    </row>
    <row r="64" spans="1:31" ht="15" customHeight="1" x14ac:dyDescent="0.25">
      <c r="D64" s="101" t="s">
        <v>120</v>
      </c>
      <c r="E64" s="101" t="s">
        <v>120</v>
      </c>
      <c r="F64" s="64">
        <f t="shared" ref="F64:S64" si="23">SUM(F47:F63)</f>
        <v>103837</v>
      </c>
      <c r="G64" s="64">
        <f t="shared" si="23"/>
        <v>0</v>
      </c>
      <c r="H64" s="64">
        <f t="shared" si="23"/>
        <v>34220</v>
      </c>
      <c r="I64" s="64">
        <f t="shared" si="23"/>
        <v>141</v>
      </c>
      <c r="J64" s="64">
        <f t="shared" si="23"/>
        <v>79</v>
      </c>
      <c r="K64" s="64">
        <f t="shared" si="23"/>
        <v>0</v>
      </c>
      <c r="L64" s="64">
        <f t="shared" si="23"/>
        <v>0</v>
      </c>
      <c r="M64" s="64">
        <f t="shared" si="23"/>
        <v>22169</v>
      </c>
      <c r="N64" s="64">
        <f t="shared" si="23"/>
        <v>100</v>
      </c>
      <c r="O64" s="64">
        <f t="shared" si="23"/>
        <v>3468</v>
      </c>
      <c r="P64" s="64">
        <f t="shared" si="23"/>
        <v>0</v>
      </c>
      <c r="Q64" s="64">
        <f t="shared" si="23"/>
        <v>24206</v>
      </c>
      <c r="R64" s="64">
        <f t="shared" si="23"/>
        <v>0</v>
      </c>
      <c r="S64" s="54">
        <f t="shared" si="23"/>
        <v>188220</v>
      </c>
    </row>
    <row r="65" spans="1:20" ht="15.75" customHeight="1" thickBot="1" x14ac:dyDescent="0.3">
      <c r="D65" s="101"/>
      <c r="E65" s="101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</row>
    <row r="66" spans="1:20" ht="17.25" x14ac:dyDescent="0.25">
      <c r="A66" s="166" t="s">
        <v>188</v>
      </c>
      <c r="B66" s="167">
        <v>202304</v>
      </c>
      <c r="C66" s="275">
        <v>202304</v>
      </c>
      <c r="D66" s="94" t="s">
        <v>151</v>
      </c>
      <c r="E66" s="177" t="s">
        <v>252</v>
      </c>
      <c r="F66" s="60">
        <f>10+140+295+60+210+55+60+275+393+140+59+170+60+135+80+1161+33+40+230+1224+130+360+85+5+200+400+170+479+590+103+750+85+30+180+270+85+400+235+420+599+130+120</f>
        <v>10656</v>
      </c>
      <c r="G66" s="59"/>
      <c r="H66" s="59">
        <f>150+180+190+350+1241+185+180+840+147+120+63+65+75+182+129+60+125+65+480+45+0+46+199+134+40+360+100+40+27+135+70+736+201+30+55+50+30+10+95+110+55+500</f>
        <v>7895</v>
      </c>
      <c r="I66" s="60">
        <f>460+55+70</f>
        <v>585</v>
      </c>
      <c r="J66" s="59">
        <v>855</v>
      </c>
      <c r="K66" s="60"/>
      <c r="L66" s="60"/>
      <c r="M66" s="60">
        <f>1496+283+300+1200+135</f>
        <v>3414</v>
      </c>
      <c r="N66" s="60">
        <f>50+50+10</f>
        <v>110</v>
      </c>
      <c r="O66" s="60">
        <f>4700+150+435+400</f>
        <v>5685</v>
      </c>
      <c r="P66" s="60"/>
      <c r="Q66" s="60">
        <f>2000+2000+2000+2000</f>
        <v>8000</v>
      </c>
      <c r="R66" s="60"/>
      <c r="S66" s="44">
        <f t="shared" ref="S66:S82" si="24">SUM(F66:R66)</f>
        <v>37200</v>
      </c>
      <c r="T66" s="277">
        <f>SUM(S66:S72)</f>
        <v>83077</v>
      </c>
    </row>
    <row r="67" spans="1:20" ht="15" customHeight="1" thickBot="1" x14ac:dyDescent="0.3">
      <c r="A67" s="164" t="s">
        <v>247</v>
      </c>
      <c r="B67" s="162">
        <f>$J$2</f>
        <v>160000</v>
      </c>
      <c r="C67" s="275"/>
      <c r="D67" s="95" t="s">
        <v>151</v>
      </c>
      <c r="E67" s="176" t="s">
        <v>253</v>
      </c>
      <c r="F67" s="79"/>
      <c r="G67" s="78"/>
      <c r="H67" s="78"/>
      <c r="I67" s="79"/>
      <c r="J67" s="78"/>
      <c r="K67" s="79"/>
      <c r="L67" s="79"/>
      <c r="M67" s="79"/>
      <c r="N67" s="79"/>
      <c r="O67" s="79"/>
      <c r="P67" s="79"/>
      <c r="Q67" s="79"/>
      <c r="R67" s="79"/>
      <c r="S67" s="80">
        <f t="shared" si="24"/>
        <v>0</v>
      </c>
      <c r="T67" s="278"/>
    </row>
    <row r="68" spans="1:20" ht="15" customHeight="1" thickTop="1" x14ac:dyDescent="0.25">
      <c r="A68" s="165" t="s">
        <v>237</v>
      </c>
      <c r="B68" s="182">
        <f>SUMPRODUCT((($V$10:$V$21)&lt;=VALUE(B66))*($Z$10:$Z$21))</f>
        <v>781769</v>
      </c>
      <c r="C68" s="275"/>
      <c r="D68" s="95" t="s">
        <v>151</v>
      </c>
      <c r="E68" s="176" t="s">
        <v>254</v>
      </c>
      <c r="F68" s="79">
        <v>3028</v>
      </c>
      <c r="G68" s="78"/>
      <c r="H68" s="78">
        <f>55+1728+866</f>
        <v>2649</v>
      </c>
      <c r="I68" s="79">
        <v>607</v>
      </c>
      <c r="J68" s="78"/>
      <c r="K68" s="79"/>
      <c r="L68" s="79"/>
      <c r="M68" s="79"/>
      <c r="N68" s="79"/>
      <c r="O68" s="79"/>
      <c r="P68" s="79"/>
      <c r="Q68" s="79">
        <f>10500-7000+1465</f>
        <v>4965</v>
      </c>
      <c r="R68" s="79"/>
      <c r="S68" s="80">
        <f t="shared" si="24"/>
        <v>11249</v>
      </c>
      <c r="T68" s="278"/>
    </row>
    <row r="69" spans="1:20" ht="15" customHeight="1" x14ac:dyDescent="0.25">
      <c r="A69" s="165" t="s">
        <v>264</v>
      </c>
      <c r="B69" s="181">
        <f>B68/SUMPRODUCT(('2023'!$V$10:$V$21&lt;='2023'!B66)*'2022'!$Z$10:$Z$21)</f>
        <v>1.2844669940670321</v>
      </c>
      <c r="C69" s="275"/>
      <c r="D69" s="95" t="s">
        <v>151</v>
      </c>
      <c r="E69" s="176" t="s">
        <v>255</v>
      </c>
      <c r="F69" s="79">
        <f>90+150+40+80+120+100+100+100+16+100+105</f>
        <v>1001</v>
      </c>
      <c r="G69" s="78"/>
      <c r="H69" s="78">
        <f>200+1167+75+392+183</f>
        <v>2017</v>
      </c>
      <c r="I69" s="79"/>
      <c r="J69" s="78"/>
      <c r="K69" s="79"/>
      <c r="L69" s="79"/>
      <c r="M69" s="79"/>
      <c r="N69" s="79"/>
      <c r="O69" s="79"/>
      <c r="P69" s="79"/>
      <c r="Q69" s="79"/>
      <c r="R69" s="79"/>
      <c r="S69" s="80">
        <f t="shared" si="24"/>
        <v>3018</v>
      </c>
      <c r="T69" s="278"/>
    </row>
    <row r="70" spans="1:20" ht="15" customHeight="1" x14ac:dyDescent="0.25">
      <c r="A70" s="165" t="s">
        <v>236</v>
      </c>
      <c r="B70" s="186">
        <f>B68-$K$2*VALUE(RIGHT(B66,2))/9</f>
        <v>670657</v>
      </c>
      <c r="C70" s="275"/>
      <c r="D70" s="96" t="s">
        <v>151</v>
      </c>
      <c r="E70" s="176" t="s">
        <v>256</v>
      </c>
      <c r="F70" s="79">
        <f>11500+4500</f>
        <v>16000</v>
      </c>
      <c r="G70" s="78"/>
      <c r="H70" s="78"/>
      <c r="I70" s="78"/>
      <c r="J70" s="78"/>
      <c r="K70" s="79"/>
      <c r="L70" s="79"/>
      <c r="M70" s="79"/>
      <c r="N70" s="79"/>
      <c r="O70" s="79"/>
      <c r="P70" s="79"/>
      <c r="Q70" s="79"/>
      <c r="R70" s="79"/>
      <c r="S70" s="80">
        <f t="shared" si="24"/>
        <v>16000</v>
      </c>
      <c r="T70" s="278"/>
    </row>
    <row r="71" spans="1:20" ht="15" customHeight="1" x14ac:dyDescent="0.25">
      <c r="A71" s="164" t="s">
        <v>242</v>
      </c>
      <c r="B71" s="157">
        <f>B70/($J$2*12)</f>
        <v>0.34930052083333335</v>
      </c>
      <c r="C71" s="275"/>
      <c r="D71" s="95" t="s">
        <v>151</v>
      </c>
      <c r="E71" s="176" t="s">
        <v>257</v>
      </c>
      <c r="F71" s="79">
        <f>7250+6200+750+750</f>
        <v>14950</v>
      </c>
      <c r="G71" s="78"/>
      <c r="H71" s="78"/>
      <c r="I71" s="79"/>
      <c r="J71" s="78"/>
      <c r="K71" s="79"/>
      <c r="L71" s="79"/>
      <c r="M71" s="79"/>
      <c r="N71" s="79"/>
      <c r="O71" s="79"/>
      <c r="P71" s="79"/>
      <c r="Q71" s="79"/>
      <c r="R71" s="79"/>
      <c r="S71" s="80">
        <f t="shared" si="24"/>
        <v>14950</v>
      </c>
      <c r="T71" s="278"/>
    </row>
    <row r="72" spans="1:20" ht="15" customHeight="1" x14ac:dyDescent="0.25">
      <c r="A72" s="164" t="s">
        <v>241</v>
      </c>
      <c r="B72" s="126">
        <f>VALUE(RIGHT(B66,2))/12</f>
        <v>0.33333333333333331</v>
      </c>
      <c r="C72" s="275"/>
      <c r="D72" s="95" t="s">
        <v>151</v>
      </c>
      <c r="E72" s="176" t="s">
        <v>263</v>
      </c>
      <c r="F72" s="78">
        <f>200+80+50+50+50+180+50</f>
        <v>660</v>
      </c>
      <c r="G72" s="78"/>
      <c r="H72" s="78"/>
      <c r="I72" s="79"/>
      <c r="J72" s="78"/>
      <c r="K72" s="79"/>
      <c r="L72" s="79"/>
      <c r="M72" s="79"/>
      <c r="N72" s="79"/>
      <c r="O72" s="78"/>
      <c r="P72" s="79"/>
      <c r="Q72" s="79"/>
      <c r="R72" s="79"/>
      <c r="S72" s="80">
        <f t="shared" si="24"/>
        <v>660</v>
      </c>
      <c r="T72" s="279"/>
    </row>
    <row r="73" spans="1:20" ht="15" customHeight="1" x14ac:dyDescent="0.25">
      <c r="A73" s="164" t="s">
        <v>243</v>
      </c>
      <c r="B73" s="161">
        <f>B67*VALUE(RIGHT(B66,2))-B70</f>
        <v>-30657</v>
      </c>
      <c r="C73" s="275"/>
      <c r="D73" s="97" t="s">
        <v>152</v>
      </c>
      <c r="E73" s="97" t="s">
        <v>144</v>
      </c>
      <c r="F73" s="85"/>
      <c r="G73" s="46"/>
      <c r="H73" s="85">
        <f>168+4</f>
        <v>172</v>
      </c>
      <c r="I73" s="46"/>
      <c r="J73" s="46"/>
      <c r="K73" s="46"/>
      <c r="L73" s="46"/>
      <c r="M73" s="46"/>
      <c r="N73" s="46"/>
      <c r="O73" s="89">
        <v>590</v>
      </c>
      <c r="P73" s="46"/>
      <c r="Q73" s="46"/>
      <c r="R73" s="46"/>
      <c r="S73" s="83">
        <f t="shared" si="24"/>
        <v>762</v>
      </c>
      <c r="T73" s="280">
        <f>SUM(S73:S77)</f>
        <v>9891</v>
      </c>
    </row>
    <row r="74" spans="1:20" ht="15" customHeight="1" x14ac:dyDescent="0.25">
      <c r="A74" s="164" t="s">
        <v>265</v>
      </c>
      <c r="B74" s="184">
        <f>$J$2-(S83-F80)</f>
        <v>980</v>
      </c>
      <c r="C74" s="275"/>
      <c r="D74" s="97" t="s">
        <v>152</v>
      </c>
      <c r="E74" s="97" t="s">
        <v>145</v>
      </c>
      <c r="F74" s="85"/>
      <c r="G74" s="46"/>
      <c r="H74" s="85">
        <f>130+590</f>
        <v>720</v>
      </c>
      <c r="I74" s="46"/>
      <c r="J74" s="46"/>
      <c r="K74" s="46"/>
      <c r="L74" s="46"/>
      <c r="M74" s="46"/>
      <c r="N74" s="46"/>
      <c r="O74" s="89">
        <v>1130</v>
      </c>
      <c r="P74" s="46"/>
      <c r="Q74" s="46"/>
      <c r="R74" s="46"/>
      <c r="S74" s="83">
        <f t="shared" si="24"/>
        <v>1850</v>
      </c>
      <c r="T74" s="281"/>
    </row>
    <row r="75" spans="1:20" ht="15" customHeight="1" x14ac:dyDescent="0.25">
      <c r="C75" s="275"/>
      <c r="D75" s="97" t="s">
        <v>152</v>
      </c>
      <c r="E75" s="97" t="s">
        <v>146</v>
      </c>
      <c r="F75" s="86"/>
      <c r="G75" s="46"/>
      <c r="H75" s="87"/>
      <c r="I75" s="46"/>
      <c r="J75" s="46"/>
      <c r="K75" s="46"/>
      <c r="L75" s="46"/>
      <c r="M75" s="89">
        <v>6499</v>
      </c>
      <c r="N75" s="46"/>
      <c r="O75" s="185">
        <v>390</v>
      </c>
      <c r="P75" s="46"/>
      <c r="Q75" s="46"/>
      <c r="R75" s="46"/>
      <c r="S75" s="83">
        <f t="shared" si="24"/>
        <v>6889</v>
      </c>
      <c r="T75" s="281"/>
    </row>
    <row r="76" spans="1:20" ht="15" customHeight="1" x14ac:dyDescent="0.25">
      <c r="C76" s="275"/>
      <c r="D76" s="97" t="s">
        <v>152</v>
      </c>
      <c r="E76" s="97" t="s">
        <v>147</v>
      </c>
      <c r="F76" s="85"/>
      <c r="G76" s="46"/>
      <c r="H76" s="87"/>
      <c r="I76" s="46"/>
      <c r="J76" s="46"/>
      <c r="K76" s="46"/>
      <c r="L76" s="46"/>
      <c r="M76" s="46"/>
      <c r="N76" s="46"/>
      <c r="O76" s="89">
        <v>390</v>
      </c>
      <c r="P76" s="46"/>
      <c r="Q76" s="46"/>
      <c r="R76" s="46"/>
      <c r="S76" s="83">
        <f t="shared" si="24"/>
        <v>390</v>
      </c>
      <c r="T76" s="281"/>
    </row>
    <row r="77" spans="1:20" ht="15" customHeight="1" x14ac:dyDescent="0.25">
      <c r="C77" s="275"/>
      <c r="D77" s="97" t="s">
        <v>152</v>
      </c>
      <c r="E77" s="97" t="s">
        <v>168</v>
      </c>
      <c r="F77" s="85"/>
      <c r="G77" s="46"/>
      <c r="H77" s="46"/>
      <c r="I77" s="46"/>
      <c r="J77" s="46"/>
      <c r="K77" s="46"/>
      <c r="L77" s="46"/>
      <c r="M77" s="46"/>
      <c r="N77" s="46"/>
      <c r="O77" s="183"/>
      <c r="P77" s="46"/>
      <c r="Q77" s="46"/>
      <c r="R77" s="46"/>
      <c r="S77" s="83">
        <f t="shared" si="24"/>
        <v>0</v>
      </c>
      <c r="T77" s="281"/>
    </row>
    <row r="78" spans="1:20" ht="15" customHeight="1" x14ac:dyDescent="0.25">
      <c r="C78" s="275"/>
      <c r="D78" s="98" t="s">
        <v>153</v>
      </c>
      <c r="E78" s="98" t="s">
        <v>170</v>
      </c>
      <c r="F78" s="81">
        <f>10000+2000+1000+1260+400</f>
        <v>14660</v>
      </c>
      <c r="G78" s="81"/>
      <c r="H78" s="81">
        <f>260+800+110+460</f>
        <v>1630</v>
      </c>
      <c r="I78" s="81"/>
      <c r="J78" s="81"/>
      <c r="K78" s="81"/>
      <c r="L78" s="81"/>
      <c r="M78" s="81">
        <f>5532+10000+3114</f>
        <v>18646</v>
      </c>
      <c r="N78" s="81"/>
      <c r="O78" s="81">
        <v>1306</v>
      </c>
      <c r="P78" s="81"/>
      <c r="Q78" s="81"/>
      <c r="R78" s="81"/>
      <c r="S78" s="81">
        <f t="shared" si="24"/>
        <v>36242</v>
      </c>
      <c r="T78" s="282">
        <f>SUM(S78:S82)</f>
        <v>93830</v>
      </c>
    </row>
    <row r="79" spans="1:20" ht="15" customHeight="1" x14ac:dyDescent="0.25">
      <c r="C79" s="275"/>
      <c r="D79" s="99" t="s">
        <v>153</v>
      </c>
      <c r="E79" s="99" t="s">
        <v>171</v>
      </c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>
        <f t="shared" si="24"/>
        <v>0</v>
      </c>
      <c r="T79" s="283"/>
    </row>
    <row r="80" spans="1:20" ht="15" customHeight="1" x14ac:dyDescent="0.25">
      <c r="C80" s="275"/>
      <c r="D80" s="99" t="s">
        <v>153</v>
      </c>
      <c r="E80" s="99" t="s">
        <v>172</v>
      </c>
      <c r="F80" s="82">
        <f>27778</f>
        <v>27778</v>
      </c>
      <c r="G80" s="82"/>
      <c r="H80" s="82">
        <v>11230</v>
      </c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>
        <f t="shared" si="24"/>
        <v>39008</v>
      </c>
      <c r="T80" s="283"/>
    </row>
    <row r="81" spans="1:20" s="41" customFormat="1" ht="15" customHeight="1" x14ac:dyDescent="0.25">
      <c r="A81" s="45"/>
      <c r="B81" s="45"/>
      <c r="C81" s="276"/>
      <c r="D81" s="99" t="s">
        <v>153</v>
      </c>
      <c r="E81" s="99" t="s">
        <v>173</v>
      </c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>
        <v>6751</v>
      </c>
      <c r="R81" s="82"/>
      <c r="S81" s="82">
        <f t="shared" si="24"/>
        <v>6751</v>
      </c>
      <c r="T81" s="283"/>
    </row>
    <row r="82" spans="1:20" ht="15.75" customHeight="1" thickBot="1" x14ac:dyDescent="0.3">
      <c r="A82" s="41"/>
      <c r="B82" s="41"/>
      <c r="C82" s="276"/>
      <c r="D82" s="100" t="s">
        <v>153</v>
      </c>
      <c r="E82" s="100" t="s">
        <v>168</v>
      </c>
      <c r="F82" s="48"/>
      <c r="G82" s="48"/>
      <c r="H82" s="48">
        <v>11829</v>
      </c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>
        <f t="shared" si="24"/>
        <v>11829</v>
      </c>
      <c r="T82" s="283"/>
    </row>
    <row r="83" spans="1:20" ht="15" customHeight="1" x14ac:dyDescent="0.25">
      <c r="D83" s="101" t="s">
        <v>120</v>
      </c>
      <c r="E83" s="101" t="s">
        <v>120</v>
      </c>
      <c r="F83" s="64">
        <f t="shared" ref="F83:S83" si="25">SUM(F66:F82)</f>
        <v>88733</v>
      </c>
      <c r="G83" s="64">
        <f t="shared" si="25"/>
        <v>0</v>
      </c>
      <c r="H83" s="64">
        <f t="shared" si="25"/>
        <v>38142</v>
      </c>
      <c r="I83" s="64">
        <f t="shared" si="25"/>
        <v>1192</v>
      </c>
      <c r="J83" s="64">
        <f t="shared" si="25"/>
        <v>855</v>
      </c>
      <c r="K83" s="64">
        <f t="shared" si="25"/>
        <v>0</v>
      </c>
      <c r="L83" s="64">
        <f t="shared" si="25"/>
        <v>0</v>
      </c>
      <c r="M83" s="64">
        <f t="shared" si="25"/>
        <v>28559</v>
      </c>
      <c r="N83" s="64">
        <f t="shared" si="25"/>
        <v>110</v>
      </c>
      <c r="O83" s="64">
        <f t="shared" si="25"/>
        <v>9491</v>
      </c>
      <c r="P83" s="64">
        <f t="shared" si="25"/>
        <v>0</v>
      </c>
      <c r="Q83" s="64">
        <f t="shared" si="25"/>
        <v>19716</v>
      </c>
      <c r="R83" s="64">
        <f t="shared" si="25"/>
        <v>0</v>
      </c>
      <c r="S83" s="54">
        <f t="shared" si="25"/>
        <v>186798</v>
      </c>
    </row>
    <row r="84" spans="1:20" ht="15.75" customHeight="1" thickBot="1" x14ac:dyDescent="0.3"/>
    <row r="85" spans="1:20" ht="17.25" x14ac:dyDescent="0.25">
      <c r="A85" s="166" t="s">
        <v>188</v>
      </c>
      <c r="B85" s="167">
        <v>202305</v>
      </c>
      <c r="C85" s="275">
        <v>202305</v>
      </c>
      <c r="D85" s="94" t="s">
        <v>151</v>
      </c>
      <c r="E85" s="177" t="s">
        <v>252</v>
      </c>
      <c r="F85" s="60">
        <f>285+500+918+20+400+120+100+310+70+200+90+245+450+105+295+590+35+700+164+335+200+305+13+150+250+40+420</f>
        <v>7310</v>
      </c>
      <c r="G85" s="59"/>
      <c r="H85" s="59">
        <f>607+35+2+58+70+150+55+400+35+95+56+250+460+225+150+49+995+395+129+109+100+199+90+35+180+86</f>
        <v>5015</v>
      </c>
      <c r="I85" s="60">
        <f>460+143+90+83+199+100+180+75+35+0+225+39+258+55+55+50+30+53+130+55+165+75+40+348</f>
        <v>2943</v>
      </c>
      <c r="J85" s="59"/>
      <c r="K85" s="60"/>
      <c r="L85" s="60"/>
      <c r="M85" s="60">
        <f>220+890+150+68+120+820+1460</f>
        <v>3728</v>
      </c>
      <c r="N85" s="60">
        <f>50+40+40</f>
        <v>130</v>
      </c>
      <c r="O85" s="60">
        <f>140+1144+250+110</f>
        <v>1644</v>
      </c>
      <c r="P85" s="60"/>
      <c r="Q85" s="60">
        <f>2000+2000+2000+2000</f>
        <v>8000</v>
      </c>
      <c r="R85" s="60"/>
      <c r="S85" s="44">
        <f t="shared" ref="S85:S101" si="26">SUM(F85:R85)</f>
        <v>28770</v>
      </c>
      <c r="T85" s="277">
        <f>SUM(S85:S91)</f>
        <v>75189</v>
      </c>
    </row>
    <row r="86" spans="1:20" ht="18" thickBot="1" x14ac:dyDescent="0.3">
      <c r="A86" s="164" t="s">
        <v>247</v>
      </c>
      <c r="B86" s="162">
        <f>$J$2</f>
        <v>160000</v>
      </c>
      <c r="C86" s="275"/>
      <c r="D86" s="95" t="s">
        <v>151</v>
      </c>
      <c r="E86" s="176" t="s">
        <v>253</v>
      </c>
      <c r="F86" s="79">
        <f>250*3+400</f>
        <v>1150</v>
      </c>
      <c r="G86" s="78"/>
      <c r="H86" s="78"/>
      <c r="I86" s="79"/>
      <c r="J86" s="78"/>
      <c r="K86" s="79"/>
      <c r="L86" s="79"/>
      <c r="M86" s="79">
        <v>2480</v>
      </c>
      <c r="N86" s="79"/>
      <c r="O86" s="79"/>
      <c r="P86" s="79"/>
      <c r="Q86" s="79"/>
      <c r="R86" s="79"/>
      <c r="S86" s="80">
        <f t="shared" si="26"/>
        <v>3630</v>
      </c>
      <c r="T86" s="278"/>
    </row>
    <row r="87" spans="1:20" ht="15" customHeight="1" thickTop="1" x14ac:dyDescent="0.25">
      <c r="A87" s="165" t="s">
        <v>237</v>
      </c>
      <c r="B87" s="182">
        <f>SUMPRODUCT((($V$10:$V$21)&lt;=VALUE(B85))*($Z$10:$Z$21))</f>
        <v>982110</v>
      </c>
      <c r="C87" s="275"/>
      <c r="D87" s="95" t="s">
        <v>151</v>
      </c>
      <c r="E87" s="176" t="s">
        <v>254</v>
      </c>
      <c r="F87" s="79">
        <f>3028+30</f>
        <v>3058</v>
      </c>
      <c r="G87" s="78"/>
      <c r="H87" s="78">
        <f>378+942+61</f>
        <v>1381</v>
      </c>
      <c r="I87" s="79"/>
      <c r="J87" s="78"/>
      <c r="K87" s="79"/>
      <c r="L87" s="79"/>
      <c r="M87" s="79">
        <v>250</v>
      </c>
      <c r="N87" s="79"/>
      <c r="O87" s="79"/>
      <c r="P87" s="79"/>
      <c r="Q87" s="79">
        <f>10500-7000+724</f>
        <v>4224</v>
      </c>
      <c r="R87" s="79"/>
      <c r="S87" s="80">
        <f t="shared" si="26"/>
        <v>8913</v>
      </c>
      <c r="T87" s="278"/>
    </row>
    <row r="88" spans="1:20" ht="15" customHeight="1" x14ac:dyDescent="0.25">
      <c r="A88" s="165" t="s">
        <v>264</v>
      </c>
      <c r="B88" s="181">
        <f>B87/SUMPRODUCT(('2023'!$V$10:$V$21&lt;='2023'!B85)*'2022'!$Z$10:$Z$21)</f>
        <v>1.3025297015127282</v>
      </c>
      <c r="C88" s="275"/>
      <c r="D88" s="95" t="s">
        <v>151</v>
      </c>
      <c r="E88" s="176" t="s">
        <v>255</v>
      </c>
      <c r="F88" s="79">
        <f>100+100+15+40+120+100+80+100+30+15</f>
        <v>700</v>
      </c>
      <c r="G88" s="78"/>
      <c r="H88" s="78">
        <f>599+1292</f>
        <v>1891</v>
      </c>
      <c r="I88" s="79"/>
      <c r="J88" s="78"/>
      <c r="K88" s="79"/>
      <c r="L88" s="79">
        <v>500</v>
      </c>
      <c r="M88" s="79">
        <v>108</v>
      </c>
      <c r="N88" s="79"/>
      <c r="O88" s="79"/>
      <c r="P88" s="79"/>
      <c r="Q88" s="79">
        <v>597</v>
      </c>
      <c r="R88" s="79"/>
      <c r="S88" s="80">
        <f t="shared" si="26"/>
        <v>3796</v>
      </c>
      <c r="T88" s="278"/>
    </row>
    <row r="89" spans="1:20" ht="15" customHeight="1" x14ac:dyDescent="0.25">
      <c r="A89" s="165" t="s">
        <v>236</v>
      </c>
      <c r="B89" s="186">
        <f>B87-$K$2*VALUE(RIGHT(B85,2))/9</f>
        <v>843220</v>
      </c>
      <c r="C89" s="275"/>
      <c r="D89" s="96" t="s">
        <v>151</v>
      </c>
      <c r="E89" s="176" t="s">
        <v>256</v>
      </c>
      <c r="F89" s="79">
        <f>11500+4500+450</f>
        <v>16450</v>
      </c>
      <c r="G89" s="78"/>
      <c r="H89" s="78"/>
      <c r="I89" s="78"/>
      <c r="J89" s="78"/>
      <c r="K89" s="79"/>
      <c r="L89" s="79"/>
      <c r="M89" s="79"/>
      <c r="N89" s="79"/>
      <c r="O89" s="79"/>
      <c r="P89" s="79"/>
      <c r="Q89" s="79"/>
      <c r="R89" s="79"/>
      <c r="S89" s="80">
        <f t="shared" si="26"/>
        <v>16450</v>
      </c>
      <c r="T89" s="278"/>
    </row>
    <row r="90" spans="1:20" ht="15" customHeight="1" x14ac:dyDescent="0.25">
      <c r="A90" s="164" t="s">
        <v>242</v>
      </c>
      <c r="B90" s="157">
        <f>B89/($J$2*12)</f>
        <v>0.43917708333333333</v>
      </c>
      <c r="C90" s="275"/>
      <c r="D90" s="95" t="s">
        <v>151</v>
      </c>
      <c r="E90" s="176" t="s">
        <v>257</v>
      </c>
      <c r="F90" s="78">
        <f>900+5000</f>
        <v>5900</v>
      </c>
      <c r="G90" s="78"/>
      <c r="H90" s="78"/>
      <c r="I90" s="79">
        <v>2720</v>
      </c>
      <c r="J90" s="78"/>
      <c r="K90" s="79"/>
      <c r="L90" s="79"/>
      <c r="M90" s="79"/>
      <c r="N90" s="79"/>
      <c r="O90" s="79"/>
      <c r="P90" s="79"/>
      <c r="Q90" s="79"/>
      <c r="R90" s="79"/>
      <c r="S90" s="80">
        <f t="shared" si="26"/>
        <v>8620</v>
      </c>
      <c r="T90" s="278"/>
    </row>
    <row r="91" spans="1:20" ht="15" customHeight="1" x14ac:dyDescent="0.25">
      <c r="A91" s="164" t="s">
        <v>241</v>
      </c>
      <c r="B91" s="126">
        <f>VALUE(RIGHT(B85,2))/12</f>
        <v>0.41666666666666669</v>
      </c>
      <c r="C91" s="275"/>
      <c r="D91" s="95" t="s">
        <v>151</v>
      </c>
      <c r="E91" s="176" t="s">
        <v>263</v>
      </c>
      <c r="F91" s="78">
        <f>50+50+200+4080+50+400</f>
        <v>4830</v>
      </c>
      <c r="G91" s="78"/>
      <c r="H91" s="78">
        <v>180</v>
      </c>
      <c r="I91" s="79"/>
      <c r="J91" s="78"/>
      <c r="K91" s="79"/>
      <c r="L91" s="79"/>
      <c r="M91" s="79"/>
      <c r="N91" s="79"/>
      <c r="O91" s="79"/>
      <c r="P91" s="79"/>
      <c r="Q91" s="79"/>
      <c r="R91" s="79"/>
      <c r="S91" s="80">
        <f t="shared" si="26"/>
        <v>5010</v>
      </c>
      <c r="T91" s="279"/>
    </row>
    <row r="92" spans="1:20" ht="15" customHeight="1" x14ac:dyDescent="0.25">
      <c r="A92" s="164" t="s">
        <v>243</v>
      </c>
      <c r="B92" s="161">
        <f>B86*VALUE(RIGHT(B85,2))-B89</f>
        <v>-43220</v>
      </c>
      <c r="C92" s="275"/>
      <c r="D92" s="97" t="s">
        <v>152</v>
      </c>
      <c r="E92" s="97" t="s">
        <v>144</v>
      </c>
      <c r="F92" s="85"/>
      <c r="G92" s="46"/>
      <c r="H92" s="85"/>
      <c r="I92" s="46"/>
      <c r="J92" s="46"/>
      <c r="K92" s="46"/>
      <c r="L92" s="46"/>
      <c r="M92" s="46"/>
      <c r="N92" s="46"/>
      <c r="O92" s="109">
        <v>12600</v>
      </c>
      <c r="P92" s="46"/>
      <c r="Q92" s="46"/>
      <c r="R92" s="46"/>
      <c r="S92" s="83">
        <f t="shared" si="26"/>
        <v>12600</v>
      </c>
      <c r="T92" s="280">
        <f>SUM(S92:S96)</f>
        <v>16920</v>
      </c>
    </row>
    <row r="93" spans="1:20" ht="15" customHeight="1" x14ac:dyDescent="0.25">
      <c r="A93" s="164" t="s">
        <v>265</v>
      </c>
      <c r="B93" s="184">
        <f>$J$2-(S102-F99)</f>
        <v>-12563</v>
      </c>
      <c r="C93" s="275"/>
      <c r="D93" s="97" t="s">
        <v>152</v>
      </c>
      <c r="E93" s="97" t="s">
        <v>145</v>
      </c>
      <c r="F93" s="85"/>
      <c r="G93" s="46"/>
      <c r="H93" s="85"/>
      <c r="I93" s="46"/>
      <c r="J93" s="46"/>
      <c r="K93" s="46"/>
      <c r="L93" s="46"/>
      <c r="M93" s="86">
        <v>1340</v>
      </c>
      <c r="N93" s="46"/>
      <c r="O93" s="89">
        <v>580</v>
      </c>
      <c r="P93" s="46"/>
      <c r="Q93" s="46"/>
      <c r="R93" s="46"/>
      <c r="S93" s="83">
        <f t="shared" si="26"/>
        <v>1920</v>
      </c>
      <c r="T93" s="281"/>
    </row>
    <row r="94" spans="1:20" ht="15" customHeight="1" x14ac:dyDescent="0.25">
      <c r="C94" s="275"/>
      <c r="D94" s="97" t="s">
        <v>152</v>
      </c>
      <c r="E94" s="97" t="s">
        <v>146</v>
      </c>
      <c r="F94" s="86"/>
      <c r="G94" s="46"/>
      <c r="H94" s="87"/>
      <c r="I94" s="46"/>
      <c r="J94" s="46"/>
      <c r="K94" s="46"/>
      <c r="L94" s="46"/>
      <c r="M94" s="46"/>
      <c r="N94" s="46"/>
      <c r="O94" s="89">
        <v>200</v>
      </c>
      <c r="P94" s="46"/>
      <c r="Q94" s="46"/>
      <c r="R94" s="46"/>
      <c r="S94" s="83">
        <f t="shared" si="26"/>
        <v>200</v>
      </c>
      <c r="T94" s="281"/>
    </row>
    <row r="95" spans="1:20" ht="15" customHeight="1" x14ac:dyDescent="0.25">
      <c r="C95" s="275"/>
      <c r="D95" s="97" t="s">
        <v>152</v>
      </c>
      <c r="E95" s="97" t="s">
        <v>147</v>
      </c>
      <c r="F95" s="85"/>
      <c r="G95" s="46"/>
      <c r="H95" s="87"/>
      <c r="I95" s="46"/>
      <c r="J95" s="46"/>
      <c r="K95" s="46"/>
      <c r="L95" s="46"/>
      <c r="M95" s="46"/>
      <c r="N95" s="46"/>
      <c r="O95" s="89">
        <v>200</v>
      </c>
      <c r="P95" s="46"/>
      <c r="Q95" s="46"/>
      <c r="R95" s="46"/>
      <c r="S95" s="83">
        <f t="shared" si="26"/>
        <v>200</v>
      </c>
      <c r="T95" s="281"/>
    </row>
    <row r="96" spans="1:20" ht="15" customHeight="1" x14ac:dyDescent="0.25">
      <c r="B96" s="52"/>
      <c r="C96" s="275"/>
      <c r="D96" s="97" t="s">
        <v>152</v>
      </c>
      <c r="E96" s="97" t="s">
        <v>168</v>
      </c>
      <c r="F96" s="85"/>
      <c r="G96" s="46"/>
      <c r="H96" s="46"/>
      <c r="I96" s="46"/>
      <c r="J96" s="46"/>
      <c r="K96" s="46"/>
      <c r="L96" s="46"/>
      <c r="M96" s="46"/>
      <c r="N96" s="46"/>
      <c r="O96" s="89"/>
      <c r="P96" s="46"/>
      <c r="Q96" s="86">
        <v>2000</v>
      </c>
      <c r="R96" s="46"/>
      <c r="S96" s="83">
        <f t="shared" si="26"/>
        <v>2000</v>
      </c>
      <c r="T96" s="281"/>
    </row>
    <row r="97" spans="1:20" ht="15" customHeight="1" x14ac:dyDescent="0.25">
      <c r="C97" s="275"/>
      <c r="D97" s="98" t="s">
        <v>153</v>
      </c>
      <c r="E97" s="98" t="s">
        <v>170</v>
      </c>
      <c r="F97" s="81">
        <f>10000+1250+360+1695</f>
        <v>13305</v>
      </c>
      <c r="G97" s="81"/>
      <c r="H97" s="81"/>
      <c r="I97" s="81"/>
      <c r="J97" s="81"/>
      <c r="K97" s="81"/>
      <c r="L97" s="81"/>
      <c r="M97" s="81">
        <f>5532+10000</f>
        <v>15532</v>
      </c>
      <c r="N97" s="81"/>
      <c r="O97" s="81"/>
      <c r="P97" s="81"/>
      <c r="Q97" s="81"/>
      <c r="R97" s="81"/>
      <c r="S97" s="81">
        <f t="shared" si="26"/>
        <v>28837</v>
      </c>
      <c r="T97" s="282">
        <f>SUM(S97:S101)</f>
        <v>108232</v>
      </c>
    </row>
    <row r="98" spans="1:20" ht="15" customHeight="1" x14ac:dyDescent="0.25">
      <c r="C98" s="275"/>
      <c r="D98" s="99" t="s">
        <v>153</v>
      </c>
      <c r="E98" s="99" t="s">
        <v>171</v>
      </c>
      <c r="F98" s="81">
        <f>200+483</f>
        <v>683</v>
      </c>
      <c r="G98" s="82"/>
      <c r="H98" s="82"/>
      <c r="I98" s="82">
        <v>870</v>
      </c>
      <c r="J98" s="82"/>
      <c r="K98" s="82"/>
      <c r="L98" s="82"/>
      <c r="M98" s="82">
        <v>2477</v>
      </c>
      <c r="N98" s="82"/>
      <c r="O98" s="82"/>
      <c r="P98" s="82"/>
      <c r="Q98" s="82"/>
      <c r="R98" s="82"/>
      <c r="S98" s="82">
        <f t="shared" si="26"/>
        <v>4030</v>
      </c>
      <c r="T98" s="283"/>
    </row>
    <row r="99" spans="1:20" ht="15" customHeight="1" x14ac:dyDescent="0.25">
      <c r="C99" s="275"/>
      <c r="D99" s="99" t="s">
        <v>153</v>
      </c>
      <c r="E99" s="99" t="s">
        <v>172</v>
      </c>
      <c r="F99" s="82">
        <f>27778</f>
        <v>27778</v>
      </c>
      <c r="G99" s="82"/>
      <c r="H99" s="82">
        <f>7102+302+398+399+400+403</f>
        <v>9004</v>
      </c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>
        <f t="shared" si="26"/>
        <v>36782</v>
      </c>
      <c r="T99" s="283"/>
    </row>
    <row r="100" spans="1:20" s="41" customFormat="1" ht="15" customHeight="1" x14ac:dyDescent="0.25">
      <c r="A100" s="45"/>
      <c r="B100" s="45"/>
      <c r="C100" s="276"/>
      <c r="D100" s="99" t="s">
        <v>153</v>
      </c>
      <c r="E100" s="99" t="s">
        <v>173</v>
      </c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>
        <v>6753</v>
      </c>
      <c r="R100" s="82"/>
      <c r="S100" s="82">
        <f t="shared" si="26"/>
        <v>6753</v>
      </c>
      <c r="T100" s="283"/>
    </row>
    <row r="101" spans="1:20" ht="15.75" customHeight="1" thickBot="1" x14ac:dyDescent="0.3">
      <c r="A101" s="41"/>
      <c r="B101" s="41"/>
      <c r="C101" s="276"/>
      <c r="D101" s="100" t="s">
        <v>153</v>
      </c>
      <c r="E101" s="100" t="s">
        <v>168</v>
      </c>
      <c r="F101" s="48">
        <f>20001</f>
        <v>20001</v>
      </c>
      <c r="G101" s="48"/>
      <c r="H101" s="48">
        <f>11829</f>
        <v>11829</v>
      </c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>
        <f t="shared" si="26"/>
        <v>31830</v>
      </c>
      <c r="T101" s="283"/>
    </row>
    <row r="102" spans="1:20" ht="14.25" customHeight="1" x14ac:dyDescent="0.25">
      <c r="D102" s="101" t="s">
        <v>120</v>
      </c>
      <c r="E102" s="101" t="s">
        <v>120</v>
      </c>
      <c r="F102" s="64">
        <f t="shared" ref="F102:O102" si="27">SUM(F85:F101)</f>
        <v>101165</v>
      </c>
      <c r="G102" s="64">
        <f t="shared" si="27"/>
        <v>0</v>
      </c>
      <c r="H102" s="64">
        <f t="shared" si="27"/>
        <v>29300</v>
      </c>
      <c r="I102" s="64">
        <f t="shared" si="27"/>
        <v>6533</v>
      </c>
      <c r="J102" s="64">
        <f t="shared" si="27"/>
        <v>0</v>
      </c>
      <c r="K102" s="64">
        <f t="shared" si="27"/>
        <v>0</v>
      </c>
      <c r="L102" s="64">
        <f t="shared" si="27"/>
        <v>500</v>
      </c>
      <c r="M102" s="64">
        <f t="shared" si="27"/>
        <v>25915</v>
      </c>
      <c r="N102" s="64">
        <f t="shared" si="27"/>
        <v>130</v>
      </c>
      <c r="O102" s="64">
        <f t="shared" si="27"/>
        <v>15224</v>
      </c>
      <c r="P102" s="64">
        <f>SUM(P85:P101)</f>
        <v>0</v>
      </c>
      <c r="Q102" s="64">
        <f>SUM(Q85:Q101)</f>
        <v>21574</v>
      </c>
      <c r="R102" s="64">
        <f>SUM(R85:R101)</f>
        <v>0</v>
      </c>
      <c r="S102" s="54">
        <f>SUM(S85:S101)</f>
        <v>200341</v>
      </c>
    </row>
    <row r="103" spans="1:20" ht="15.75" customHeight="1" thickBot="1" x14ac:dyDescent="0.3"/>
    <row r="104" spans="1:20" ht="17.25" x14ac:dyDescent="0.25">
      <c r="A104" s="166" t="s">
        <v>188</v>
      </c>
      <c r="B104" s="167">
        <v>202306</v>
      </c>
      <c r="C104" s="275">
        <v>202306</v>
      </c>
      <c r="D104" s="94" t="s">
        <v>151</v>
      </c>
      <c r="E104" s="177" t="s">
        <v>252</v>
      </c>
      <c r="F104" s="60">
        <f>330+1351+160+95+87+298+70+30+300+115+190+115+100+13+315+80+135+165+132+100+50+40+150+160+100+55+245+60+461+15+117+55+80+368+115+268</f>
        <v>6520</v>
      </c>
      <c r="G104" s="59"/>
      <c r="H104" s="59">
        <f>18+79+447+351+200+59+0+39+120+75+79+69+224+164+195+90+30+38+68+48+70+109+50+13+65+179</f>
        <v>2879</v>
      </c>
      <c r="I104" s="60">
        <f>480+55+70+75+100+95+770+164+760+101+196+55</f>
        <v>2921</v>
      </c>
      <c r="J104" s="59"/>
      <c r="K104" s="60"/>
      <c r="L104" s="60"/>
      <c r="M104" s="148">
        <f>233+3790+684+2530+1161+238+65</f>
        <v>8701</v>
      </c>
      <c r="N104" s="60">
        <f>890+261+40+730+40</f>
        <v>1961</v>
      </c>
      <c r="O104" s="60">
        <f>230+55+410</f>
        <v>695</v>
      </c>
      <c r="P104" s="60"/>
      <c r="Q104" s="60">
        <f>2000+2000+2000+2000+2000</f>
        <v>10000</v>
      </c>
      <c r="R104" s="60"/>
      <c r="S104" s="44">
        <f t="shared" ref="S104:S120" si="28">SUM(F104:R104)</f>
        <v>33677</v>
      </c>
      <c r="T104" s="277">
        <f>SUM(S104:S110)</f>
        <v>77913</v>
      </c>
    </row>
    <row r="105" spans="1:20" ht="15" customHeight="1" thickBot="1" x14ac:dyDescent="0.3">
      <c r="A105" s="164" t="s">
        <v>247</v>
      </c>
      <c r="B105" s="162">
        <f>$J$2</f>
        <v>160000</v>
      </c>
      <c r="C105" s="275"/>
      <c r="D105" s="95" t="s">
        <v>151</v>
      </c>
      <c r="E105" s="176" t="s">
        <v>253</v>
      </c>
      <c r="F105" s="79"/>
      <c r="G105" s="78"/>
      <c r="H105" s="78"/>
      <c r="I105" s="79">
        <v>235</v>
      </c>
      <c r="J105" s="78"/>
      <c r="K105" s="79"/>
      <c r="L105" s="79"/>
      <c r="M105" s="149"/>
      <c r="N105" s="79"/>
      <c r="O105" s="79">
        <v>700</v>
      </c>
      <c r="P105" s="79"/>
      <c r="Q105" s="79"/>
      <c r="R105" s="79"/>
      <c r="S105" s="80">
        <f t="shared" si="28"/>
        <v>935</v>
      </c>
      <c r="T105" s="278"/>
    </row>
    <row r="106" spans="1:20" ht="15" customHeight="1" thickTop="1" x14ac:dyDescent="0.25">
      <c r="A106" s="165" t="s">
        <v>237</v>
      </c>
      <c r="B106" s="182">
        <f>SUMPRODUCT((($V$10:$V$21)&lt;=VALUE(B104))*($Z$10:$Z$21))</f>
        <v>1167322</v>
      </c>
      <c r="C106" s="275"/>
      <c r="D106" s="95" t="s">
        <v>151</v>
      </c>
      <c r="E106" s="176" t="s">
        <v>254</v>
      </c>
      <c r="F106" s="79">
        <v>3028</v>
      </c>
      <c r="G106" s="78"/>
      <c r="H106" s="78">
        <v>70</v>
      </c>
      <c r="I106" s="79"/>
      <c r="J106" s="78"/>
      <c r="K106" s="79"/>
      <c r="L106" s="79"/>
      <c r="M106" s="149"/>
      <c r="N106" s="79"/>
      <c r="O106" s="79"/>
      <c r="P106" s="79"/>
      <c r="Q106" s="79">
        <f>10500-7000</f>
        <v>3500</v>
      </c>
      <c r="R106" s="79"/>
      <c r="S106" s="80">
        <f t="shared" si="28"/>
        <v>6598</v>
      </c>
      <c r="T106" s="278"/>
    </row>
    <row r="107" spans="1:20" ht="15" customHeight="1" x14ac:dyDescent="0.25">
      <c r="A107" s="165" t="s">
        <v>264</v>
      </c>
      <c r="B107" s="181">
        <f>B106/SUMPRODUCT(('2023'!$V$10:$V$21&lt;='2023'!B104)*'2022'!$Z$10:$Z$21)</f>
        <v>1.2288621895926082</v>
      </c>
      <c r="C107" s="275"/>
      <c r="D107" s="95" t="s">
        <v>151</v>
      </c>
      <c r="E107" s="176" t="s">
        <v>255</v>
      </c>
      <c r="F107" s="79">
        <f>80+100+100+100+60+100</f>
        <v>540</v>
      </c>
      <c r="G107" s="78"/>
      <c r="H107" s="78">
        <f>1508+30+599+599+0+120+65+599</f>
        <v>3520</v>
      </c>
      <c r="I107" s="79">
        <v>400</v>
      </c>
      <c r="J107" s="78"/>
      <c r="K107" s="79"/>
      <c r="L107" s="79"/>
      <c r="M107" s="149"/>
      <c r="N107" s="79"/>
      <c r="O107" s="79"/>
      <c r="P107" s="79"/>
      <c r="Q107" s="79">
        <f>599+597</f>
        <v>1196</v>
      </c>
      <c r="R107" s="79"/>
      <c r="S107" s="80">
        <f t="shared" si="28"/>
        <v>5656</v>
      </c>
      <c r="T107" s="278"/>
    </row>
    <row r="108" spans="1:20" ht="15" customHeight="1" x14ac:dyDescent="0.25">
      <c r="A108" s="165" t="s">
        <v>236</v>
      </c>
      <c r="B108" s="186">
        <f>B106-$K$2*VALUE(RIGHT(B104,2))/9</f>
        <v>1000654</v>
      </c>
      <c r="C108" s="275"/>
      <c r="D108" s="96" t="s">
        <v>151</v>
      </c>
      <c r="E108" s="176" t="s">
        <v>256</v>
      </c>
      <c r="F108" s="79">
        <f>11500+4500+3000+5000</f>
        <v>24000</v>
      </c>
      <c r="G108" s="78"/>
      <c r="H108" s="78"/>
      <c r="I108" s="78"/>
      <c r="J108" s="78"/>
      <c r="K108" s="79"/>
      <c r="L108" s="79"/>
      <c r="M108" s="149"/>
      <c r="N108" s="79"/>
      <c r="O108" s="79"/>
      <c r="P108" s="79"/>
      <c r="Q108" s="79"/>
      <c r="R108" s="79"/>
      <c r="S108" s="80">
        <f t="shared" si="28"/>
        <v>24000</v>
      </c>
      <c r="T108" s="278"/>
    </row>
    <row r="109" spans="1:20" ht="15" customHeight="1" x14ac:dyDescent="0.25">
      <c r="A109" s="164" t="s">
        <v>242</v>
      </c>
      <c r="B109" s="157">
        <f>B108/($J$2*12)</f>
        <v>0.52117395833333335</v>
      </c>
      <c r="C109" s="275"/>
      <c r="D109" s="95" t="s">
        <v>151</v>
      </c>
      <c r="E109" s="176" t="s">
        <v>257</v>
      </c>
      <c r="F109" s="79">
        <f>5867+1000</f>
        <v>6867</v>
      </c>
      <c r="G109" s="78"/>
      <c r="H109" s="78"/>
      <c r="I109" s="79"/>
      <c r="J109" s="78"/>
      <c r="K109" s="79"/>
      <c r="L109" s="79"/>
      <c r="M109" s="149"/>
      <c r="N109" s="79"/>
      <c r="O109" s="79"/>
      <c r="P109" s="79"/>
      <c r="Q109" s="79"/>
      <c r="R109" s="79"/>
      <c r="S109" s="80">
        <f t="shared" si="28"/>
        <v>6867</v>
      </c>
      <c r="T109" s="278"/>
    </row>
    <row r="110" spans="1:20" ht="15" customHeight="1" x14ac:dyDescent="0.25">
      <c r="A110" s="164" t="s">
        <v>241</v>
      </c>
      <c r="B110" s="126">
        <f>VALUE(RIGHT(B104,2))/12</f>
        <v>0.5</v>
      </c>
      <c r="C110" s="275"/>
      <c r="D110" s="95" t="s">
        <v>151</v>
      </c>
      <c r="E110" s="176" t="s">
        <v>263</v>
      </c>
      <c r="F110" s="78">
        <v>180</v>
      </c>
      <c r="G110" s="78"/>
      <c r="H110" s="78"/>
      <c r="I110" s="79"/>
      <c r="J110" s="78"/>
      <c r="K110" s="79"/>
      <c r="L110" s="79"/>
      <c r="M110" s="149"/>
      <c r="N110" s="79"/>
      <c r="O110" s="79"/>
      <c r="P110" s="79"/>
      <c r="Q110" s="79"/>
      <c r="R110" s="79"/>
      <c r="S110" s="80">
        <f>SUM(F110:R110)</f>
        <v>180</v>
      </c>
      <c r="T110" s="279"/>
    </row>
    <row r="111" spans="1:20" ht="15" customHeight="1" x14ac:dyDescent="0.25">
      <c r="A111" s="164" t="s">
        <v>243</v>
      </c>
      <c r="B111" s="161">
        <f>B105*VALUE(RIGHT(B104,2))-B108</f>
        <v>-40654</v>
      </c>
      <c r="C111" s="275"/>
      <c r="D111" s="97" t="s">
        <v>152</v>
      </c>
      <c r="E111" s="97" t="s">
        <v>144</v>
      </c>
      <c r="F111" s="85"/>
      <c r="G111" s="46" t="s">
        <v>277</v>
      </c>
      <c r="H111" s="85"/>
      <c r="I111" s="46"/>
      <c r="J111" s="46"/>
      <c r="K111" s="46"/>
      <c r="L111" s="46"/>
      <c r="M111" s="152"/>
      <c r="N111" s="46"/>
      <c r="O111" s="86">
        <v>6100</v>
      </c>
      <c r="P111" s="46"/>
      <c r="Q111" s="46"/>
      <c r="R111" s="46"/>
      <c r="S111" s="83">
        <f t="shared" si="28"/>
        <v>6100</v>
      </c>
      <c r="T111" s="280">
        <f>SUM(S111:S115)</f>
        <v>9335</v>
      </c>
    </row>
    <row r="112" spans="1:20" ht="15" customHeight="1" x14ac:dyDescent="0.25">
      <c r="A112" s="164" t="s">
        <v>265</v>
      </c>
      <c r="B112" s="184">
        <f>$J$2-(S121-F118)</f>
        <v>2566</v>
      </c>
      <c r="C112" s="275"/>
      <c r="D112" s="97" t="s">
        <v>152</v>
      </c>
      <c r="E112" s="97" t="s">
        <v>145</v>
      </c>
      <c r="F112" s="85"/>
      <c r="G112" s="46"/>
      <c r="H112" s="85"/>
      <c r="I112" s="46"/>
      <c r="J112" s="46"/>
      <c r="K112" s="46"/>
      <c r="L112" s="46"/>
      <c r="M112" s="152"/>
      <c r="N112" s="46"/>
      <c r="O112" s="89"/>
      <c r="P112" s="46"/>
      <c r="Q112" s="46"/>
      <c r="R112" s="46"/>
      <c r="S112" s="83">
        <f t="shared" si="28"/>
        <v>0</v>
      </c>
      <c r="T112" s="281"/>
    </row>
    <row r="113" spans="1:23" ht="15" customHeight="1" x14ac:dyDescent="0.25">
      <c r="C113" s="275"/>
      <c r="D113" s="97" t="s">
        <v>152</v>
      </c>
      <c r="E113" s="97" t="s">
        <v>146</v>
      </c>
      <c r="F113" s="86"/>
      <c r="G113" s="46"/>
      <c r="H113" s="87"/>
      <c r="I113" s="89"/>
      <c r="J113" s="46"/>
      <c r="K113" s="46"/>
      <c r="L113" s="46"/>
      <c r="M113" s="152"/>
      <c r="N113" s="46"/>
      <c r="O113" s="46"/>
      <c r="P113" s="46"/>
      <c r="Q113" s="46"/>
      <c r="R113" s="46"/>
      <c r="S113" s="83">
        <f t="shared" si="28"/>
        <v>0</v>
      </c>
      <c r="T113" s="281"/>
    </row>
    <row r="114" spans="1:23" ht="15" customHeight="1" x14ac:dyDescent="0.25">
      <c r="C114" s="275"/>
      <c r="D114" s="97" t="s">
        <v>152</v>
      </c>
      <c r="E114" s="97" t="s">
        <v>147</v>
      </c>
      <c r="F114" s="85"/>
      <c r="G114" s="46"/>
      <c r="H114" s="87"/>
      <c r="I114" s="46"/>
      <c r="J114" s="46"/>
      <c r="K114" s="46"/>
      <c r="L114" s="46"/>
      <c r="M114" s="152"/>
      <c r="N114" s="46"/>
      <c r="O114" s="46"/>
      <c r="P114" s="46"/>
      <c r="Q114" s="46"/>
      <c r="R114" s="46"/>
      <c r="S114" s="83">
        <f t="shared" si="28"/>
        <v>0</v>
      </c>
      <c r="T114" s="281"/>
    </row>
    <row r="115" spans="1:23" ht="15" customHeight="1" x14ac:dyDescent="0.25">
      <c r="C115" s="275"/>
      <c r="D115" s="97" t="s">
        <v>152</v>
      </c>
      <c r="E115" s="97" t="s">
        <v>168</v>
      </c>
      <c r="F115" s="85">
        <f>900+200+135+196+50+300</f>
        <v>1781</v>
      </c>
      <c r="G115" s="46"/>
      <c r="H115" s="85">
        <v>1454</v>
      </c>
      <c r="I115" s="46"/>
      <c r="J115" s="46"/>
      <c r="K115" s="46"/>
      <c r="L115" s="46"/>
      <c r="M115" s="152"/>
      <c r="N115" s="46"/>
      <c r="O115" s="46"/>
      <c r="P115" s="46"/>
      <c r="Q115" s="46"/>
      <c r="R115" s="46"/>
      <c r="S115" s="83">
        <f t="shared" si="28"/>
        <v>3235</v>
      </c>
      <c r="T115" s="281"/>
    </row>
    <row r="116" spans="1:23" ht="15" customHeight="1" x14ac:dyDescent="0.25">
      <c r="C116" s="275"/>
      <c r="D116" s="98" t="s">
        <v>153</v>
      </c>
      <c r="E116" s="98" t="s">
        <v>170</v>
      </c>
      <c r="F116" s="81">
        <v>10000</v>
      </c>
      <c r="G116" s="81"/>
      <c r="H116" s="81"/>
      <c r="I116" s="81">
        <v>225</v>
      </c>
      <c r="J116" s="81"/>
      <c r="K116" s="81"/>
      <c r="L116" s="81"/>
      <c r="M116" s="81">
        <f>5532+10000+600</f>
        <v>16132</v>
      </c>
      <c r="N116" s="81"/>
      <c r="O116" s="81"/>
      <c r="P116" s="81"/>
      <c r="Q116" s="81"/>
      <c r="R116" s="81"/>
      <c r="S116" s="81">
        <f t="shared" si="28"/>
        <v>26357</v>
      </c>
      <c r="T116" s="282">
        <f>SUM(S116:S120)</f>
        <v>97964</v>
      </c>
    </row>
    <row r="117" spans="1:23" ht="15" customHeight="1" x14ac:dyDescent="0.25">
      <c r="C117" s="275"/>
      <c r="D117" s="99" t="s">
        <v>153</v>
      </c>
      <c r="E117" s="99" t="s">
        <v>171</v>
      </c>
      <c r="F117" s="82"/>
      <c r="G117" s="82"/>
      <c r="H117" s="82"/>
      <c r="I117" s="82"/>
      <c r="J117" s="82"/>
      <c r="K117" s="82"/>
      <c r="L117" s="82"/>
      <c r="M117" s="140"/>
      <c r="N117" s="82"/>
      <c r="O117" s="82"/>
      <c r="P117" s="82"/>
      <c r="Q117" s="82"/>
      <c r="R117" s="82"/>
      <c r="S117" s="82">
        <f t="shared" si="28"/>
        <v>0</v>
      </c>
      <c r="T117" s="283"/>
    </row>
    <row r="118" spans="1:23" ht="15" customHeight="1" x14ac:dyDescent="0.25">
      <c r="C118" s="275"/>
      <c r="D118" s="99" t="s">
        <v>153</v>
      </c>
      <c r="E118" s="99" t="s">
        <v>172</v>
      </c>
      <c r="F118" s="82">
        <f>27778</f>
        <v>27778</v>
      </c>
      <c r="G118" s="82"/>
      <c r="H118" s="81">
        <f>30000</f>
        <v>30000</v>
      </c>
      <c r="I118" s="82"/>
      <c r="J118" s="82"/>
      <c r="K118" s="82"/>
      <c r="L118" s="82"/>
      <c r="M118" s="140"/>
      <c r="N118" s="82"/>
      <c r="O118" s="82"/>
      <c r="P118" s="82"/>
      <c r="Q118" s="82"/>
      <c r="R118" s="82"/>
      <c r="S118" s="82">
        <f t="shared" si="28"/>
        <v>57778</v>
      </c>
      <c r="T118" s="283"/>
    </row>
    <row r="119" spans="1:23" s="41" customFormat="1" ht="15" customHeight="1" x14ac:dyDescent="0.25">
      <c r="A119" s="45"/>
      <c r="B119" s="45"/>
      <c r="C119" s="276"/>
      <c r="D119" s="99" t="s">
        <v>153</v>
      </c>
      <c r="E119" s="99" t="s">
        <v>173</v>
      </c>
      <c r="F119" s="82"/>
      <c r="G119" s="82"/>
      <c r="H119" s="82"/>
      <c r="I119" s="82"/>
      <c r="J119" s="82"/>
      <c r="K119" s="82"/>
      <c r="L119" s="82"/>
      <c r="M119" s="140"/>
      <c r="N119" s="82"/>
      <c r="O119" s="82"/>
      <c r="P119" s="82"/>
      <c r="Q119" s="82"/>
      <c r="R119" s="82"/>
      <c r="S119" s="82">
        <f t="shared" si="28"/>
        <v>0</v>
      </c>
      <c r="T119" s="283"/>
    </row>
    <row r="120" spans="1:23" ht="15.75" customHeight="1" thickBot="1" x14ac:dyDescent="0.3">
      <c r="A120" s="41"/>
      <c r="B120" s="41"/>
      <c r="C120" s="276"/>
      <c r="D120" s="100" t="s">
        <v>153</v>
      </c>
      <c r="E120" s="100" t="s">
        <v>168</v>
      </c>
      <c r="F120" s="48"/>
      <c r="G120" s="48"/>
      <c r="H120" s="48">
        <f>11829</f>
        <v>11829</v>
      </c>
      <c r="I120" s="48"/>
      <c r="J120" s="48"/>
      <c r="K120" s="48"/>
      <c r="L120" s="48"/>
      <c r="M120" s="141"/>
      <c r="N120" s="48"/>
      <c r="O120" s="48"/>
      <c r="P120" s="48"/>
      <c r="Q120" s="48">
        <v>2000</v>
      </c>
      <c r="R120" s="48"/>
      <c r="S120" s="48">
        <f t="shared" si="28"/>
        <v>13829</v>
      </c>
      <c r="T120" s="283"/>
    </row>
    <row r="121" spans="1:23" ht="15" customHeight="1" x14ac:dyDescent="0.25">
      <c r="D121" s="101" t="s">
        <v>120</v>
      </c>
      <c r="E121" s="101" t="s">
        <v>120</v>
      </c>
      <c r="F121" s="64">
        <f>SUM(F104:F120)</f>
        <v>80694</v>
      </c>
      <c r="G121" s="64">
        <f>SUM(G104:G120)</f>
        <v>0</v>
      </c>
      <c r="H121" s="64">
        <f>SUM(H104:H120)</f>
        <v>49752</v>
      </c>
      <c r="I121" s="64">
        <f t="shared" ref="I121:P121" si="29">SUM(I104:I120)</f>
        <v>3781</v>
      </c>
      <c r="J121" s="64">
        <f t="shared" si="29"/>
        <v>0</v>
      </c>
      <c r="K121" s="64">
        <f t="shared" si="29"/>
        <v>0</v>
      </c>
      <c r="L121" s="64">
        <f t="shared" si="29"/>
        <v>0</v>
      </c>
      <c r="M121" s="150">
        <f t="shared" si="29"/>
        <v>24833</v>
      </c>
      <c r="N121" s="64">
        <f t="shared" si="29"/>
        <v>1961</v>
      </c>
      <c r="O121" s="64">
        <f t="shared" si="29"/>
        <v>7495</v>
      </c>
      <c r="P121" s="64">
        <f t="shared" si="29"/>
        <v>0</v>
      </c>
      <c r="Q121" s="64">
        <f>SUM(Q104:Q120)</f>
        <v>16696</v>
      </c>
      <c r="R121" s="64">
        <f>SUM(R104:R120)</f>
        <v>0</v>
      </c>
      <c r="S121" s="54">
        <f>SUM(S104:S120)</f>
        <v>185212</v>
      </c>
      <c r="T121" s="52"/>
      <c r="U121" s="52"/>
    </row>
    <row r="122" spans="1:23" ht="15.75" customHeight="1" thickBot="1" x14ac:dyDescent="0.3">
      <c r="M122" s="151"/>
    </row>
    <row r="123" spans="1:23" ht="17.25" x14ac:dyDescent="0.25">
      <c r="A123" s="166" t="s">
        <v>188</v>
      </c>
      <c r="B123" s="167">
        <f>C123</f>
        <v>202307</v>
      </c>
      <c r="C123" s="275">
        <v>202307</v>
      </c>
      <c r="D123" s="94" t="s">
        <v>151</v>
      </c>
      <c r="E123" s="177" t="s">
        <v>252</v>
      </c>
      <c r="F123" s="60">
        <f>176+180+130+100+120+70+1224+26+310+1075+140+550+55+100+225+100+142+225+100+165+93+150+330+40+30+120+150+355+190+40+70</f>
        <v>6781</v>
      </c>
      <c r="G123" s="59"/>
      <c r="H123" s="59">
        <f>114+288+100+27+81+55+144+194+29+80+81+40+39+85+1020+370+215+700+199+129+40+80+700+32+38+80+18+28+398+311+40+72+860+0+110</f>
        <v>6797</v>
      </c>
      <c r="I123" s="60">
        <f>1548+418+50+100+0</f>
        <v>2116</v>
      </c>
      <c r="J123" s="59"/>
      <c r="K123" s="60"/>
      <c r="L123" s="60"/>
      <c r="M123" s="148">
        <f>558+2726+1617+60</f>
        <v>4961</v>
      </c>
      <c r="N123" s="60"/>
      <c r="O123" s="60">
        <f>170+260+59+39+26+380+12+230</f>
        <v>1176</v>
      </c>
      <c r="P123" s="60"/>
      <c r="Q123" s="60">
        <f>2000+2000+0+2000+2000</f>
        <v>8000</v>
      </c>
      <c r="R123" s="60"/>
      <c r="S123" s="44">
        <f t="shared" ref="S123:S139" si="30">SUM(F123:R123)</f>
        <v>29831</v>
      </c>
      <c r="T123" s="277">
        <f>SUM(S123:S129)</f>
        <v>80948</v>
      </c>
      <c r="V123" s="52">
        <f>S123-S104</f>
        <v>-3846</v>
      </c>
    </row>
    <row r="124" spans="1:23" ht="15" customHeight="1" thickBot="1" x14ac:dyDescent="0.3">
      <c r="A124" s="164" t="s">
        <v>247</v>
      </c>
      <c r="B124" s="162">
        <f>$J$2</f>
        <v>160000</v>
      </c>
      <c r="C124" s="275"/>
      <c r="D124" s="95" t="s">
        <v>151</v>
      </c>
      <c r="E124" s="176" t="s">
        <v>253</v>
      </c>
      <c r="F124" s="79">
        <v>600</v>
      </c>
      <c r="G124" s="78"/>
      <c r="H124" s="78"/>
      <c r="I124" s="79"/>
      <c r="J124" s="78"/>
      <c r="K124" s="79"/>
      <c r="L124" s="79"/>
      <c r="M124" s="149"/>
      <c r="N124" s="79"/>
      <c r="O124" s="79"/>
      <c r="P124" s="79"/>
      <c r="Q124" s="79"/>
      <c r="R124" s="79"/>
      <c r="S124" s="80">
        <f t="shared" si="30"/>
        <v>600</v>
      </c>
      <c r="T124" s="278"/>
      <c r="V124" s="52">
        <f t="shared" ref="V124:V129" si="31">S124-S105</f>
        <v>-335</v>
      </c>
    </row>
    <row r="125" spans="1:23" ht="15" customHeight="1" thickTop="1" x14ac:dyDescent="0.25">
      <c r="A125" s="165" t="s">
        <v>237</v>
      </c>
      <c r="B125" s="182">
        <f>SUMPRODUCT((($V$10:$V$21)&lt;=VALUE(B123))*($Z$10:$Z$21))</f>
        <v>1396133</v>
      </c>
      <c r="C125" s="275"/>
      <c r="D125" s="95" t="s">
        <v>151</v>
      </c>
      <c r="E125" s="176" t="s">
        <v>254</v>
      </c>
      <c r="F125" s="79">
        <v>3028</v>
      </c>
      <c r="G125" s="78"/>
      <c r="H125" s="78">
        <f>1767+1046+378+117</f>
        <v>3308</v>
      </c>
      <c r="I125" s="79"/>
      <c r="J125" s="78"/>
      <c r="K125" s="79"/>
      <c r="L125" s="79"/>
      <c r="M125" s="149"/>
      <c r="N125" s="79"/>
      <c r="O125" s="79"/>
      <c r="P125" s="79"/>
      <c r="Q125" s="79">
        <f>10500-8000+1500</f>
        <v>4000</v>
      </c>
      <c r="R125" s="79"/>
      <c r="S125" s="80">
        <f t="shared" si="30"/>
        <v>10336</v>
      </c>
      <c r="T125" s="278"/>
      <c r="V125" s="52">
        <f t="shared" si="31"/>
        <v>3738</v>
      </c>
      <c r="W125" s="55" t="s">
        <v>280</v>
      </c>
    </row>
    <row r="126" spans="1:23" ht="15" customHeight="1" x14ac:dyDescent="0.25">
      <c r="A126" s="165" t="s">
        <v>264</v>
      </c>
      <c r="B126" s="181">
        <f>B125/SUMPRODUCT(('2023'!$V$10:$V$21&lt;='2023'!B123)*'2022'!$Z$10:$Z$21)</f>
        <v>1.2604334719738259</v>
      </c>
      <c r="C126" s="275"/>
      <c r="D126" s="95" t="s">
        <v>151</v>
      </c>
      <c r="E126" s="176" t="s">
        <v>255</v>
      </c>
      <c r="F126" s="79">
        <f>200+80+200+40+20+100+100+220+100+100+750+447</f>
        <v>2357</v>
      </c>
      <c r="G126" s="78"/>
      <c r="H126" s="78">
        <f>1373+1364+500+1398+49</f>
        <v>4684</v>
      </c>
      <c r="I126" s="79"/>
      <c r="J126" s="78"/>
      <c r="K126" s="79"/>
      <c r="L126" s="79"/>
      <c r="M126" s="149"/>
      <c r="N126" s="79"/>
      <c r="O126" s="79">
        <f>399+299</f>
        <v>698</v>
      </c>
      <c r="P126" s="79"/>
      <c r="Q126" s="79"/>
      <c r="R126" s="79"/>
      <c r="S126" s="80">
        <f t="shared" si="30"/>
        <v>7739</v>
      </c>
      <c r="T126" s="278"/>
      <c r="V126" s="52">
        <f t="shared" si="31"/>
        <v>2083</v>
      </c>
    </row>
    <row r="127" spans="1:23" ht="15" customHeight="1" x14ac:dyDescent="0.25">
      <c r="A127" s="165" t="s">
        <v>236</v>
      </c>
      <c r="B127" s="186">
        <f>B125-$K$2*VALUE(RIGHT(B123,2))/9</f>
        <v>1201687</v>
      </c>
      <c r="C127" s="275"/>
      <c r="D127" s="96" t="s">
        <v>151</v>
      </c>
      <c r="E127" s="176" t="s">
        <v>256</v>
      </c>
      <c r="F127" s="79">
        <f>11500</f>
        <v>11500</v>
      </c>
      <c r="G127" s="78"/>
      <c r="H127" s="78"/>
      <c r="I127" s="78"/>
      <c r="J127" s="78"/>
      <c r="K127" s="79"/>
      <c r="L127" s="79"/>
      <c r="M127" s="149"/>
      <c r="N127" s="79"/>
      <c r="O127" s="79"/>
      <c r="P127" s="79"/>
      <c r="Q127" s="79"/>
      <c r="R127" s="79"/>
      <c r="S127" s="80">
        <f t="shared" si="30"/>
        <v>11500</v>
      </c>
      <c r="T127" s="278"/>
      <c r="V127" s="52">
        <f t="shared" si="31"/>
        <v>-12500</v>
      </c>
    </row>
    <row r="128" spans="1:23" ht="15" customHeight="1" x14ac:dyDescent="0.25">
      <c r="A128" s="164" t="s">
        <v>242</v>
      </c>
      <c r="B128" s="157">
        <f>B127/($J$2*12)</f>
        <v>0.6258786458333333</v>
      </c>
      <c r="C128" s="275"/>
      <c r="D128" s="95" t="s">
        <v>151</v>
      </c>
      <c r="E128" s="176" t="s">
        <v>257</v>
      </c>
      <c r="F128" s="79">
        <f>5500+8685+3210</f>
        <v>17395</v>
      </c>
      <c r="G128" s="78"/>
      <c r="H128" s="78"/>
      <c r="I128" s="79"/>
      <c r="J128" s="78"/>
      <c r="K128" s="79"/>
      <c r="L128" s="79"/>
      <c r="M128" s="149">
        <v>700</v>
      </c>
      <c r="N128" s="79"/>
      <c r="O128" s="79">
        <v>1947</v>
      </c>
      <c r="P128" s="79"/>
      <c r="Q128" s="79"/>
      <c r="R128" s="79"/>
      <c r="S128" s="80">
        <f t="shared" si="30"/>
        <v>20042</v>
      </c>
      <c r="T128" s="278"/>
      <c r="V128" s="52">
        <f t="shared" si="31"/>
        <v>13175</v>
      </c>
    </row>
    <row r="129" spans="1:23" ht="15" customHeight="1" x14ac:dyDescent="0.25">
      <c r="A129" s="164" t="s">
        <v>282</v>
      </c>
      <c r="B129" s="126">
        <f>VALUE(RIGHT(B123,2))/12</f>
        <v>0.58333333333333337</v>
      </c>
      <c r="C129" s="275"/>
      <c r="D129" s="95" t="s">
        <v>151</v>
      </c>
      <c r="E129" s="176" t="s">
        <v>263</v>
      </c>
      <c r="F129" s="78"/>
      <c r="G129" s="78"/>
      <c r="H129" s="78">
        <v>900</v>
      </c>
      <c r="I129" s="79"/>
      <c r="J129" s="78"/>
      <c r="K129" s="79"/>
      <c r="L129" s="79"/>
      <c r="M129" s="149"/>
      <c r="N129" s="79"/>
      <c r="O129" s="79"/>
      <c r="P129" s="79"/>
      <c r="Q129" s="79"/>
      <c r="R129" s="79"/>
      <c r="S129" s="80">
        <f t="shared" si="30"/>
        <v>900</v>
      </c>
      <c r="T129" s="279"/>
      <c r="V129" s="52">
        <f t="shared" si="31"/>
        <v>720</v>
      </c>
    </row>
    <row r="130" spans="1:23" ht="15" customHeight="1" x14ac:dyDescent="0.25">
      <c r="A130" s="164" t="s">
        <v>243</v>
      </c>
      <c r="B130" s="161">
        <f>B124*VALUE(RIGHT(B123,2))-B127</f>
        <v>-81687</v>
      </c>
      <c r="C130" s="275"/>
      <c r="D130" s="97" t="s">
        <v>152</v>
      </c>
      <c r="E130" s="97" t="s">
        <v>144</v>
      </c>
      <c r="F130" s="85">
        <v>250</v>
      </c>
      <c r="G130" s="46"/>
      <c r="H130" s="85">
        <v>690</v>
      </c>
      <c r="I130" s="89"/>
      <c r="J130" s="46"/>
      <c r="K130" s="46"/>
      <c r="L130" s="46"/>
      <c r="M130" s="152">
        <v>439</v>
      </c>
      <c r="N130" s="46"/>
      <c r="O130" s="86">
        <v>2079</v>
      </c>
      <c r="P130" s="46"/>
      <c r="Q130" s="46"/>
      <c r="R130" s="46"/>
      <c r="S130" s="83">
        <f t="shared" si="30"/>
        <v>3458</v>
      </c>
      <c r="T130" s="280">
        <f>SUM(S130:S134)</f>
        <v>13438</v>
      </c>
    </row>
    <row r="131" spans="1:23" ht="15" customHeight="1" x14ac:dyDescent="0.25">
      <c r="A131" s="164" t="s">
        <v>265</v>
      </c>
      <c r="B131" s="184">
        <f>$J$2-(S140-F137)</f>
        <v>-41033</v>
      </c>
      <c r="C131" s="275"/>
      <c r="D131" s="97" t="s">
        <v>152</v>
      </c>
      <c r="E131" s="97" t="s">
        <v>145</v>
      </c>
      <c r="F131" s="85">
        <v>1300</v>
      </c>
      <c r="G131" s="46"/>
      <c r="H131" s="85">
        <f>290+500</f>
        <v>790</v>
      </c>
      <c r="I131" s="46"/>
      <c r="J131" s="46"/>
      <c r="K131" s="46"/>
      <c r="L131" s="46"/>
      <c r="M131" s="152"/>
      <c r="N131" s="46"/>
      <c r="O131" s="85">
        <v>590</v>
      </c>
      <c r="P131" s="46"/>
      <c r="Q131" s="46"/>
      <c r="R131" s="46"/>
      <c r="S131" s="83">
        <f t="shared" si="30"/>
        <v>2680</v>
      </c>
      <c r="T131" s="281"/>
    </row>
    <row r="132" spans="1:23" ht="15" customHeight="1" x14ac:dyDescent="0.25">
      <c r="C132" s="275"/>
      <c r="D132" s="97" t="s">
        <v>152</v>
      </c>
      <c r="E132" s="97" t="s">
        <v>146</v>
      </c>
      <c r="F132" s="86"/>
      <c r="G132" s="46"/>
      <c r="H132" s="87"/>
      <c r="I132" s="46"/>
      <c r="J132" s="46"/>
      <c r="K132" s="46"/>
      <c r="L132" s="46"/>
      <c r="M132" s="152"/>
      <c r="N132" s="46"/>
      <c r="O132" s="85">
        <v>380</v>
      </c>
      <c r="P132" s="46"/>
      <c r="Q132" s="46"/>
      <c r="R132" s="46"/>
      <c r="S132" s="83">
        <f t="shared" si="30"/>
        <v>380</v>
      </c>
      <c r="T132" s="281"/>
    </row>
    <row r="133" spans="1:23" ht="15" customHeight="1" x14ac:dyDescent="0.25">
      <c r="C133" s="275"/>
      <c r="D133" s="97" t="s">
        <v>152</v>
      </c>
      <c r="E133" s="97" t="s">
        <v>147</v>
      </c>
      <c r="F133" s="85"/>
      <c r="G133" s="46"/>
      <c r="H133" s="87"/>
      <c r="I133" s="46"/>
      <c r="J133" s="46"/>
      <c r="K133" s="46"/>
      <c r="L133" s="46"/>
      <c r="M133" s="152"/>
      <c r="N133" s="46"/>
      <c r="O133" s="85">
        <f>380+1190</f>
        <v>1570</v>
      </c>
      <c r="P133" s="46"/>
      <c r="Q133" s="46"/>
      <c r="R133" s="46"/>
      <c r="S133" s="83">
        <f t="shared" si="30"/>
        <v>1570</v>
      </c>
      <c r="T133" s="281"/>
    </row>
    <row r="134" spans="1:23" ht="15" customHeight="1" x14ac:dyDescent="0.25">
      <c r="C134" s="275"/>
      <c r="D134" s="97" t="s">
        <v>152</v>
      </c>
      <c r="E134" s="97" t="s">
        <v>168</v>
      </c>
      <c r="F134" s="85">
        <f>150+200</f>
        <v>350</v>
      </c>
      <c r="G134" s="46"/>
      <c r="H134" s="46"/>
      <c r="I134" s="46"/>
      <c r="J134" s="46"/>
      <c r="K134" s="46"/>
      <c r="L134" s="46"/>
      <c r="M134" s="152"/>
      <c r="N134" s="46"/>
      <c r="O134" s="86">
        <v>5000</v>
      </c>
      <c r="P134" s="46"/>
      <c r="Q134" s="46"/>
      <c r="R134" s="46"/>
      <c r="S134" s="83">
        <f t="shared" si="30"/>
        <v>5350</v>
      </c>
      <c r="T134" s="281"/>
    </row>
    <row r="135" spans="1:23" ht="15" customHeight="1" x14ac:dyDescent="0.25">
      <c r="C135" s="275"/>
      <c r="D135" s="98" t="s">
        <v>153</v>
      </c>
      <c r="E135" s="178" t="s">
        <v>258</v>
      </c>
      <c r="F135" s="81">
        <f>10000+2000+2400+760+1000+385+175+1056+30+1000+125+1250+705</f>
        <v>20886</v>
      </c>
      <c r="G135" s="81"/>
      <c r="H135" s="81">
        <f>1168+68+30+49+554+150+77+38+530+64+304+0+496+1200+9700</f>
        <v>14428</v>
      </c>
      <c r="I135" s="81">
        <v>691</v>
      </c>
      <c r="J135" s="81"/>
      <c r="K135" s="81"/>
      <c r="L135" s="81"/>
      <c r="M135" s="81">
        <f>5532+10000</f>
        <v>15532</v>
      </c>
      <c r="N135" s="81"/>
      <c r="O135" s="81">
        <f>1048+450</f>
        <v>1498</v>
      </c>
      <c r="P135" s="81"/>
      <c r="Q135" s="81"/>
      <c r="R135" s="81"/>
      <c r="S135" s="81">
        <f t="shared" si="30"/>
        <v>53035</v>
      </c>
      <c r="T135" s="282">
        <f>SUM(S135:S139)</f>
        <v>134425</v>
      </c>
      <c r="V135" s="52">
        <f>S135-S116</f>
        <v>26678</v>
      </c>
    </row>
    <row r="136" spans="1:23" ht="15" customHeight="1" x14ac:dyDescent="0.25">
      <c r="C136" s="275"/>
      <c r="D136" s="99" t="s">
        <v>153</v>
      </c>
      <c r="E136" s="99" t="s">
        <v>171</v>
      </c>
      <c r="F136" s="82">
        <v>15</v>
      </c>
      <c r="G136" s="82"/>
      <c r="H136" s="82"/>
      <c r="I136" s="82">
        <v>3182</v>
      </c>
      <c r="J136" s="82"/>
      <c r="K136" s="82"/>
      <c r="L136" s="82"/>
      <c r="M136" s="140">
        <v>1217</v>
      </c>
      <c r="N136" s="82"/>
      <c r="O136" s="82"/>
      <c r="P136" s="82"/>
      <c r="Q136" s="82"/>
      <c r="R136" s="82"/>
      <c r="S136" s="82">
        <f t="shared" si="30"/>
        <v>4414</v>
      </c>
      <c r="T136" s="283"/>
      <c r="V136" s="52">
        <f>S136-S117</f>
        <v>4414</v>
      </c>
    </row>
    <row r="137" spans="1:23" ht="15" customHeight="1" x14ac:dyDescent="0.25">
      <c r="C137" s="275"/>
      <c r="D137" s="99" t="s">
        <v>153</v>
      </c>
      <c r="E137" s="99" t="s">
        <v>172</v>
      </c>
      <c r="F137" s="82">
        <f>27778</f>
        <v>27778</v>
      </c>
      <c r="G137" s="82"/>
      <c r="H137" s="82">
        <f>29999+6180</f>
        <v>36179</v>
      </c>
      <c r="I137" s="82"/>
      <c r="J137" s="82"/>
      <c r="K137" s="82"/>
      <c r="L137" s="82"/>
      <c r="M137" s="140"/>
      <c r="N137" s="82"/>
      <c r="O137" s="82"/>
      <c r="P137" s="82"/>
      <c r="Q137" s="82"/>
      <c r="R137" s="82"/>
      <c r="S137" s="82">
        <f t="shared" si="30"/>
        <v>63957</v>
      </c>
      <c r="T137" s="283"/>
      <c r="U137" s="52"/>
      <c r="V137" s="52">
        <f>S137-S118</f>
        <v>6179</v>
      </c>
      <c r="W137" s="55" t="s">
        <v>281</v>
      </c>
    </row>
    <row r="138" spans="1:23" s="41" customFormat="1" ht="15" customHeight="1" x14ac:dyDescent="0.25">
      <c r="A138" s="45"/>
      <c r="B138" s="45"/>
      <c r="C138" s="276"/>
      <c r="D138" s="99" t="s">
        <v>153</v>
      </c>
      <c r="E138" s="99" t="s">
        <v>173</v>
      </c>
      <c r="F138" s="82"/>
      <c r="G138" s="82"/>
      <c r="H138" s="82"/>
      <c r="I138" s="82"/>
      <c r="J138" s="82"/>
      <c r="K138" s="82"/>
      <c r="L138" s="82"/>
      <c r="M138" s="140"/>
      <c r="N138" s="82"/>
      <c r="O138" s="82"/>
      <c r="P138" s="82"/>
      <c r="Q138" s="82"/>
      <c r="R138" s="82"/>
      <c r="S138" s="82">
        <f t="shared" si="30"/>
        <v>0</v>
      </c>
      <c r="T138" s="283"/>
      <c r="V138" s="52">
        <f>S138-S119</f>
        <v>0</v>
      </c>
    </row>
    <row r="139" spans="1:23" ht="15.75" customHeight="1" thickBot="1" x14ac:dyDescent="0.3">
      <c r="A139" s="41"/>
      <c r="B139" s="41"/>
      <c r="C139" s="276"/>
      <c r="D139" s="100" t="s">
        <v>153</v>
      </c>
      <c r="E139" s="100" t="s">
        <v>168</v>
      </c>
      <c r="F139" s="48">
        <v>600</v>
      </c>
      <c r="G139" s="48"/>
      <c r="H139" s="48">
        <v>11829</v>
      </c>
      <c r="I139" s="48"/>
      <c r="J139" s="48"/>
      <c r="K139" s="48"/>
      <c r="L139" s="48"/>
      <c r="M139" s="141"/>
      <c r="N139" s="48"/>
      <c r="O139" s="48"/>
      <c r="P139" s="48"/>
      <c r="Q139" s="48">
        <v>590</v>
      </c>
      <c r="R139" s="48"/>
      <c r="S139" s="48">
        <f t="shared" si="30"/>
        <v>13019</v>
      </c>
      <c r="T139" s="283"/>
      <c r="V139" s="52">
        <f>S139-S120</f>
        <v>-810</v>
      </c>
    </row>
    <row r="140" spans="1:23" ht="15" customHeight="1" x14ac:dyDescent="0.25">
      <c r="D140" s="101" t="s">
        <v>120</v>
      </c>
      <c r="E140" s="101" t="s">
        <v>120</v>
      </c>
      <c r="F140" s="64">
        <f>SUM(F123:F139)</f>
        <v>92840</v>
      </c>
      <c r="G140" s="64">
        <f>SUM(G123:G139)</f>
        <v>0</v>
      </c>
      <c r="H140" s="64">
        <f>SUM(H123:H139)</f>
        <v>79605</v>
      </c>
      <c r="I140" s="64">
        <f t="shared" ref="I140:P140" si="32">SUM(I123:I139)</f>
        <v>5989</v>
      </c>
      <c r="J140" s="64">
        <f t="shared" si="32"/>
        <v>0</v>
      </c>
      <c r="K140" s="64">
        <f t="shared" si="32"/>
        <v>0</v>
      </c>
      <c r="L140" s="64">
        <f t="shared" si="32"/>
        <v>0</v>
      </c>
      <c r="M140" s="150">
        <f t="shared" si="32"/>
        <v>22849</v>
      </c>
      <c r="N140" s="64">
        <f t="shared" si="32"/>
        <v>0</v>
      </c>
      <c r="O140" s="64">
        <f t="shared" si="32"/>
        <v>14938</v>
      </c>
      <c r="P140" s="64">
        <f t="shared" si="32"/>
        <v>0</v>
      </c>
      <c r="Q140" s="64">
        <f>SUM(Q123:Q139)</f>
        <v>12590</v>
      </c>
      <c r="R140" s="64">
        <f>SUM(R123:R139)</f>
        <v>0</v>
      </c>
      <c r="S140" s="54">
        <f>SUM(S123:S139)</f>
        <v>228811</v>
      </c>
    </row>
    <row r="141" spans="1:23" ht="15.75" customHeight="1" thickBot="1" x14ac:dyDescent="0.3">
      <c r="M141" s="151"/>
    </row>
    <row r="142" spans="1:23" ht="17.25" x14ac:dyDescent="0.25">
      <c r="A142" s="166" t="s">
        <v>188</v>
      </c>
      <c r="B142" s="167">
        <f>C142</f>
        <v>202308</v>
      </c>
      <c r="C142" s="275">
        <v>202308</v>
      </c>
      <c r="D142" s="94" t="s">
        <v>151</v>
      </c>
      <c r="E142" s="177" t="s">
        <v>252</v>
      </c>
      <c r="F142" s="60">
        <f>1000+500+1224+45+466+65+170+115+204+159+130+150+460+300+50+275+130+170+110+124</f>
        <v>5847</v>
      </c>
      <c r="G142" s="59"/>
      <c r="H142" s="59">
        <f>90+730+36+20+49+45+214+105+55+180+310+150+28+268+78+89+59+0+30+40+110+50</f>
        <v>2736</v>
      </c>
      <c r="I142" s="60">
        <f>34+150+110</f>
        <v>294</v>
      </c>
      <c r="J142" s="59"/>
      <c r="K142" s="60"/>
      <c r="L142" s="60"/>
      <c r="M142" s="148">
        <f>204+622+479+320+50+90+91+180+72</f>
        <v>2108</v>
      </c>
      <c r="N142" s="60">
        <f>45+50</f>
        <v>95</v>
      </c>
      <c r="O142" s="60">
        <f>66+35+110+369+45+415+299</f>
        <v>1339</v>
      </c>
      <c r="P142" s="60"/>
      <c r="Q142" s="60">
        <f>2000+2000+2000+2000+2000</f>
        <v>10000</v>
      </c>
      <c r="R142" s="60"/>
      <c r="S142" s="44">
        <f t="shared" ref="S142:S158" si="33">SUM(F142:R142)</f>
        <v>22419</v>
      </c>
      <c r="T142" s="277">
        <f>SUM(S142:S148)</f>
        <v>115480</v>
      </c>
    </row>
    <row r="143" spans="1:23" ht="15" customHeight="1" thickBot="1" x14ac:dyDescent="0.3">
      <c r="A143" s="164" t="s">
        <v>247</v>
      </c>
      <c r="B143" s="162">
        <f>$J$2</f>
        <v>160000</v>
      </c>
      <c r="C143" s="275"/>
      <c r="D143" s="95" t="s">
        <v>151</v>
      </c>
      <c r="E143" s="176" t="s">
        <v>253</v>
      </c>
      <c r="F143" s="79"/>
      <c r="G143" s="78"/>
      <c r="H143" s="78"/>
      <c r="I143" s="79"/>
      <c r="J143" s="78"/>
      <c r="K143" s="79"/>
      <c r="L143" s="79"/>
      <c r="M143" s="149">
        <v>437</v>
      </c>
      <c r="N143" s="79"/>
      <c r="O143" s="79"/>
      <c r="P143" s="79"/>
      <c r="Q143" s="79"/>
      <c r="R143" s="79"/>
      <c r="S143" s="80">
        <f t="shared" si="33"/>
        <v>437</v>
      </c>
      <c r="T143" s="278"/>
    </row>
    <row r="144" spans="1:23" ht="15" customHeight="1" thickTop="1" x14ac:dyDescent="0.25">
      <c r="A144" s="165" t="s">
        <v>237</v>
      </c>
      <c r="B144" s="182">
        <f>SUMPRODUCT((($V$10:$V$21)&lt;=VALUE(B142))*($Z$10:$Z$21))</f>
        <v>1646271</v>
      </c>
      <c r="C144" s="275"/>
      <c r="D144" s="95" t="s">
        <v>151</v>
      </c>
      <c r="E144" s="176" t="s">
        <v>254</v>
      </c>
      <c r="F144" s="79">
        <v>3028</v>
      </c>
      <c r="G144" s="78"/>
      <c r="H144" s="78">
        <f>60+1948+69+599+0+459+272</f>
        <v>3407</v>
      </c>
      <c r="I144" s="79"/>
      <c r="J144" s="78"/>
      <c r="K144" s="79"/>
      <c r="L144" s="79"/>
      <c r="M144" s="149">
        <v>240</v>
      </c>
      <c r="N144" s="79"/>
      <c r="O144" s="79">
        <v>245</v>
      </c>
      <c r="P144" s="79"/>
      <c r="Q144" s="79">
        <f>10500-7000+1025+2000</f>
        <v>6525</v>
      </c>
      <c r="R144" s="79"/>
      <c r="S144" s="80">
        <f t="shared" si="33"/>
        <v>13445</v>
      </c>
      <c r="T144" s="278"/>
    </row>
    <row r="145" spans="1:20" ht="15" customHeight="1" x14ac:dyDescent="0.25">
      <c r="A145" s="165" t="s">
        <v>264</v>
      </c>
      <c r="B145" s="181">
        <f>B144/SUMPRODUCT(('2023'!$V$10:$V$21&lt;='2023'!B142)*'2022'!$Z$10:$Z$21)</f>
        <v>1.3070300448334367</v>
      </c>
      <c r="C145" s="275"/>
      <c r="D145" s="95" t="s">
        <v>151</v>
      </c>
      <c r="E145" s="176" t="s">
        <v>255</v>
      </c>
      <c r="F145" s="79">
        <f>100+100+100</f>
        <v>300</v>
      </c>
      <c r="G145" s="78"/>
      <c r="H145" s="78">
        <f>117+616+1554</f>
        <v>2287</v>
      </c>
      <c r="I145" s="79"/>
      <c r="J145" s="78"/>
      <c r="K145" s="79"/>
      <c r="L145" s="79">
        <v>500</v>
      </c>
      <c r="M145" s="149">
        <f>389+176+130+1059+179</f>
        <v>1933</v>
      </c>
      <c r="N145" s="79"/>
      <c r="O145" s="79"/>
      <c r="P145" s="79"/>
      <c r="Q145" s="79">
        <v>596</v>
      </c>
      <c r="R145" s="79"/>
      <c r="S145" s="80">
        <f t="shared" si="33"/>
        <v>5616</v>
      </c>
      <c r="T145" s="278"/>
    </row>
    <row r="146" spans="1:20" ht="15" customHeight="1" x14ac:dyDescent="0.25">
      <c r="A146" s="165" t="s">
        <v>236</v>
      </c>
      <c r="B146" s="186">
        <f>B144-$K$2*VALUE(RIGHT(B142,2))/9</f>
        <v>1424047</v>
      </c>
      <c r="C146" s="275"/>
      <c r="D146" s="96" t="s">
        <v>151</v>
      </c>
      <c r="E146" s="176" t="s">
        <v>256</v>
      </c>
      <c r="F146" s="79">
        <f>36000+11000+6295+2000-5000-1800</f>
        <v>48495</v>
      </c>
      <c r="G146" s="78"/>
      <c r="H146" s="78"/>
      <c r="I146" s="78"/>
      <c r="J146" s="78"/>
      <c r="K146" s="79"/>
      <c r="L146" s="79"/>
      <c r="M146" s="149"/>
      <c r="N146" s="79"/>
      <c r="O146" s="79"/>
      <c r="P146" s="79"/>
      <c r="Q146" s="79"/>
      <c r="R146" s="79"/>
      <c r="S146" s="80">
        <f t="shared" si="33"/>
        <v>48495</v>
      </c>
      <c r="T146" s="278"/>
    </row>
    <row r="147" spans="1:20" ht="15" customHeight="1" x14ac:dyDescent="0.25">
      <c r="A147" s="164" t="s">
        <v>242</v>
      </c>
      <c r="B147" s="157">
        <f>B146/($J$2*12)</f>
        <v>0.74169114583333329</v>
      </c>
      <c r="C147" s="275"/>
      <c r="D147" s="95" t="s">
        <v>151</v>
      </c>
      <c r="E147" s="176" t="s">
        <v>257</v>
      </c>
      <c r="F147" s="79">
        <f>7860+18000+580-1572</f>
        <v>24868</v>
      </c>
      <c r="G147" s="78"/>
      <c r="H147" s="78"/>
      <c r="I147" s="79"/>
      <c r="J147" s="78"/>
      <c r="K147" s="79"/>
      <c r="L147" s="79"/>
      <c r="M147" s="149"/>
      <c r="N147" s="79"/>
      <c r="O147" s="79"/>
      <c r="P147" s="79"/>
      <c r="Q147" s="79"/>
      <c r="R147" s="79"/>
      <c r="S147" s="80">
        <f t="shared" si="33"/>
        <v>24868</v>
      </c>
      <c r="T147" s="278"/>
    </row>
    <row r="148" spans="1:20" ht="15" customHeight="1" x14ac:dyDescent="0.25">
      <c r="A148" s="164" t="s">
        <v>282</v>
      </c>
      <c r="B148" s="126">
        <f>VALUE(RIGHT(B142,2))/12</f>
        <v>0.66666666666666663</v>
      </c>
      <c r="C148" s="275"/>
      <c r="D148" s="95" t="s">
        <v>151</v>
      </c>
      <c r="E148" s="176" t="s">
        <v>263</v>
      </c>
      <c r="F148" s="78">
        <v>200</v>
      </c>
      <c r="G148" s="78"/>
      <c r="H148" s="78"/>
      <c r="I148" s="79"/>
      <c r="J148" s="78"/>
      <c r="K148" s="79"/>
      <c r="L148" s="79"/>
      <c r="M148" s="149"/>
      <c r="N148" s="79"/>
      <c r="O148" s="79"/>
      <c r="P148" s="79"/>
      <c r="Q148" s="79"/>
      <c r="R148" s="79"/>
      <c r="S148" s="80">
        <f t="shared" si="33"/>
        <v>200</v>
      </c>
      <c r="T148" s="279"/>
    </row>
    <row r="149" spans="1:20" ht="15" customHeight="1" x14ac:dyDescent="0.25">
      <c r="A149" s="164" t="s">
        <v>243</v>
      </c>
      <c r="B149" s="161">
        <f>B143*VALUE(RIGHT(B142,2))-B146</f>
        <v>-144047</v>
      </c>
      <c r="C149" s="275"/>
      <c r="D149" s="97" t="s">
        <v>152</v>
      </c>
      <c r="E149" s="97" t="s">
        <v>144</v>
      </c>
      <c r="F149" s="85"/>
      <c r="G149" s="46"/>
      <c r="H149" s="85"/>
      <c r="I149" s="46"/>
      <c r="J149" s="46"/>
      <c r="K149" s="46"/>
      <c r="L149" s="46"/>
      <c r="M149" s="152">
        <v>2400</v>
      </c>
      <c r="N149" s="46"/>
      <c r="O149" s="86">
        <v>2300</v>
      </c>
      <c r="P149" s="46"/>
      <c r="Q149" s="46"/>
      <c r="R149" s="46"/>
      <c r="S149" s="83">
        <f t="shared" si="33"/>
        <v>4700</v>
      </c>
      <c r="T149" s="280">
        <f>SUM(S149:S153)</f>
        <v>16620</v>
      </c>
    </row>
    <row r="150" spans="1:20" ht="15" customHeight="1" x14ac:dyDescent="0.25">
      <c r="A150" s="164" t="s">
        <v>265</v>
      </c>
      <c r="B150" s="184">
        <f>$J$2-(S159-F156)</f>
        <v>-62360</v>
      </c>
      <c r="C150" s="275"/>
      <c r="D150" s="97" t="s">
        <v>152</v>
      </c>
      <c r="E150" s="97" t="s">
        <v>145</v>
      </c>
      <c r="F150" s="85"/>
      <c r="G150" s="46"/>
      <c r="H150" s="85"/>
      <c r="I150" s="46"/>
      <c r="J150" s="46"/>
      <c r="K150" s="46"/>
      <c r="L150" s="46"/>
      <c r="M150" s="152">
        <v>780</v>
      </c>
      <c r="N150" s="46"/>
      <c r="O150" s="86">
        <v>3200</v>
      </c>
      <c r="P150" s="46"/>
      <c r="Q150" s="46"/>
      <c r="R150" s="46"/>
      <c r="S150" s="83">
        <f t="shared" si="33"/>
        <v>3980</v>
      </c>
      <c r="T150" s="281"/>
    </row>
    <row r="151" spans="1:20" ht="15" customHeight="1" x14ac:dyDescent="0.25">
      <c r="C151" s="275"/>
      <c r="D151" s="97" t="s">
        <v>152</v>
      </c>
      <c r="E151" s="97" t="s">
        <v>146</v>
      </c>
      <c r="F151" s="86">
        <v>60</v>
      </c>
      <c r="G151" s="46"/>
      <c r="H151" s="87"/>
      <c r="I151" s="46"/>
      <c r="J151" s="46"/>
      <c r="K151" s="46"/>
      <c r="L151" s="46"/>
      <c r="M151" s="152">
        <v>1210</v>
      </c>
      <c r="N151" s="46"/>
      <c r="O151" s="86">
        <v>1400</v>
      </c>
      <c r="P151" s="46"/>
      <c r="Q151" s="46"/>
      <c r="R151" s="46"/>
      <c r="S151" s="83">
        <f t="shared" si="33"/>
        <v>2670</v>
      </c>
      <c r="T151" s="281"/>
    </row>
    <row r="152" spans="1:20" ht="15" customHeight="1" x14ac:dyDescent="0.25">
      <c r="C152" s="275"/>
      <c r="D152" s="97" t="s">
        <v>152</v>
      </c>
      <c r="E152" s="97" t="s">
        <v>147</v>
      </c>
      <c r="F152" s="85">
        <v>60</v>
      </c>
      <c r="G152" s="46"/>
      <c r="H152" s="87"/>
      <c r="I152" s="46"/>
      <c r="J152" s="46"/>
      <c r="K152" s="46"/>
      <c r="L152" s="46"/>
      <c r="M152" s="152"/>
      <c r="N152" s="46"/>
      <c r="O152" s="86"/>
      <c r="P152" s="46"/>
      <c r="Q152" s="86"/>
      <c r="R152" s="46"/>
      <c r="S152" s="83">
        <f t="shared" si="33"/>
        <v>60</v>
      </c>
      <c r="T152" s="281"/>
    </row>
    <row r="153" spans="1:20" ht="15" customHeight="1" x14ac:dyDescent="0.25">
      <c r="C153" s="275"/>
      <c r="D153" s="97" t="s">
        <v>152</v>
      </c>
      <c r="E153" s="97" t="s">
        <v>168</v>
      </c>
      <c r="F153" s="85">
        <v>10</v>
      </c>
      <c r="G153" s="46"/>
      <c r="H153" s="46"/>
      <c r="I153" s="46"/>
      <c r="J153" s="46"/>
      <c r="K153" s="46"/>
      <c r="L153" s="46"/>
      <c r="M153" s="152">
        <v>200</v>
      </c>
      <c r="N153" s="46"/>
      <c r="O153" s="86">
        <v>5000</v>
      </c>
      <c r="P153" s="46"/>
      <c r="Q153" s="46"/>
      <c r="R153" s="46"/>
      <c r="S153" s="83">
        <f t="shared" si="33"/>
        <v>5210</v>
      </c>
      <c r="T153" s="281"/>
    </row>
    <row r="154" spans="1:20" ht="15" customHeight="1" x14ac:dyDescent="0.25">
      <c r="C154" s="275"/>
      <c r="D154" s="98" t="s">
        <v>153</v>
      </c>
      <c r="E154" s="98" t="s">
        <v>170</v>
      </c>
      <c r="F154" s="81">
        <f>2400+3730+17952</f>
        <v>24082</v>
      </c>
      <c r="G154" s="81"/>
      <c r="H154" s="81">
        <f>120+348+1837+2108+1869+424+1127+2596+2508+141+119+447+198+283</f>
        <v>14125</v>
      </c>
      <c r="I154" s="81"/>
      <c r="J154" s="81"/>
      <c r="K154" s="81"/>
      <c r="L154" s="81"/>
      <c r="M154" s="81">
        <f>5532+6875+1100</f>
        <v>13507</v>
      </c>
      <c r="N154" s="81"/>
      <c r="O154" s="81">
        <v>1527</v>
      </c>
      <c r="P154" s="81"/>
      <c r="Q154" s="81"/>
      <c r="R154" s="81"/>
      <c r="S154" s="81">
        <f t="shared" si="33"/>
        <v>53241</v>
      </c>
      <c r="T154" s="282">
        <f>SUM(S154:S158)</f>
        <v>118038</v>
      </c>
    </row>
    <row r="155" spans="1:20" ht="15" customHeight="1" x14ac:dyDescent="0.25">
      <c r="C155" s="275"/>
      <c r="D155" s="99" t="s">
        <v>153</v>
      </c>
      <c r="E155" s="99" t="s">
        <v>171</v>
      </c>
      <c r="F155" s="82">
        <v>780</v>
      </c>
      <c r="G155" s="82"/>
      <c r="H155" s="82"/>
      <c r="I155" s="82"/>
      <c r="J155" s="82"/>
      <c r="K155" s="82"/>
      <c r="L155" s="82"/>
      <c r="M155" s="140"/>
      <c r="N155" s="82"/>
      <c r="O155" s="82"/>
      <c r="P155" s="82"/>
      <c r="Q155" s="82"/>
      <c r="R155" s="82"/>
      <c r="S155" s="82">
        <f t="shared" si="33"/>
        <v>780</v>
      </c>
      <c r="T155" s="283"/>
    </row>
    <row r="156" spans="1:20" ht="15" customHeight="1" x14ac:dyDescent="0.25">
      <c r="C156" s="275"/>
      <c r="D156" s="99" t="s">
        <v>153</v>
      </c>
      <c r="E156" s="99" t="s">
        <v>172</v>
      </c>
      <c r="F156" s="82">
        <f>27778</f>
        <v>27778</v>
      </c>
      <c r="G156" s="82"/>
      <c r="H156" s="82">
        <f>2000+3001+12400+5409</f>
        <v>22810</v>
      </c>
      <c r="I156" s="82"/>
      <c r="J156" s="82"/>
      <c r="K156" s="82"/>
      <c r="L156" s="82"/>
      <c r="M156" s="140"/>
      <c r="N156" s="82"/>
      <c r="O156" s="82"/>
      <c r="P156" s="82"/>
      <c r="Q156" s="82"/>
      <c r="R156" s="82"/>
      <c r="S156" s="82">
        <f t="shared" si="33"/>
        <v>50588</v>
      </c>
      <c r="T156" s="283"/>
    </row>
    <row r="157" spans="1:20" s="41" customFormat="1" ht="15" customHeight="1" x14ac:dyDescent="0.25">
      <c r="A157" s="45"/>
      <c r="B157" s="52"/>
      <c r="C157" s="276"/>
      <c r="D157" s="99" t="s">
        <v>153</v>
      </c>
      <c r="E157" s="99" t="s">
        <v>173</v>
      </c>
      <c r="F157" s="82"/>
      <c r="G157" s="82"/>
      <c r="H157" s="82"/>
      <c r="I157" s="82"/>
      <c r="J157" s="82"/>
      <c r="K157" s="82"/>
      <c r="L157" s="82"/>
      <c r="M157" s="140"/>
      <c r="N157" s="82"/>
      <c r="O157" s="82"/>
      <c r="P157" s="82"/>
      <c r="Q157" s="82"/>
      <c r="R157" s="82"/>
      <c r="S157" s="82">
        <f t="shared" si="33"/>
        <v>0</v>
      </c>
      <c r="T157" s="283"/>
    </row>
    <row r="158" spans="1:20" ht="15.75" customHeight="1" thickBot="1" x14ac:dyDescent="0.3">
      <c r="A158" s="41"/>
      <c r="B158" s="163"/>
      <c r="C158" s="276"/>
      <c r="D158" s="100" t="s">
        <v>153</v>
      </c>
      <c r="E158" s="100" t="s">
        <v>168</v>
      </c>
      <c r="F158" s="48"/>
      <c r="G158" s="48"/>
      <c r="H158" s="48">
        <v>11829</v>
      </c>
      <c r="I158" s="48"/>
      <c r="J158" s="48"/>
      <c r="K158" s="48"/>
      <c r="L158" s="48"/>
      <c r="M158" s="141"/>
      <c r="N158" s="48"/>
      <c r="O158" s="48"/>
      <c r="P158" s="48"/>
      <c r="Q158" s="48">
        <f>1600</f>
        <v>1600</v>
      </c>
      <c r="R158" s="48"/>
      <c r="S158" s="48">
        <f t="shared" si="33"/>
        <v>13429</v>
      </c>
      <c r="T158" s="283"/>
    </row>
    <row r="159" spans="1:20" ht="15" customHeight="1" x14ac:dyDescent="0.25">
      <c r="D159" s="101" t="s">
        <v>120</v>
      </c>
      <c r="E159" s="101" t="s">
        <v>120</v>
      </c>
      <c r="F159" s="64">
        <f>SUM(F142:F158)</f>
        <v>135508</v>
      </c>
      <c r="G159" s="64">
        <f>SUM(G142:G158)</f>
        <v>0</v>
      </c>
      <c r="H159" s="64">
        <f>SUM(H142:H158)</f>
        <v>57194</v>
      </c>
      <c r="I159" s="64">
        <f t="shared" ref="I159:P159" si="34">SUM(I142:I158)</f>
        <v>294</v>
      </c>
      <c r="J159" s="64">
        <f t="shared" si="34"/>
        <v>0</v>
      </c>
      <c r="K159" s="64">
        <f t="shared" si="34"/>
        <v>0</v>
      </c>
      <c r="L159" s="64">
        <f t="shared" si="34"/>
        <v>500</v>
      </c>
      <c r="M159" s="150">
        <f t="shared" si="34"/>
        <v>22815</v>
      </c>
      <c r="N159" s="64">
        <f t="shared" si="34"/>
        <v>95</v>
      </c>
      <c r="O159" s="64">
        <f t="shared" si="34"/>
        <v>15011</v>
      </c>
      <c r="P159" s="64">
        <f t="shared" si="34"/>
        <v>0</v>
      </c>
      <c r="Q159" s="64">
        <f>SUM(Q142:Q158)</f>
        <v>18721</v>
      </c>
      <c r="R159" s="64">
        <f>SUM(R142:R158)</f>
        <v>0</v>
      </c>
      <c r="S159" s="54">
        <f>SUM(S142:S158)</f>
        <v>250138</v>
      </c>
    </row>
    <row r="160" spans="1:20" ht="15.75" customHeight="1" thickBot="1" x14ac:dyDescent="0.3">
      <c r="M160" s="151"/>
    </row>
    <row r="161" spans="1:20" ht="17.25" x14ac:dyDescent="0.25">
      <c r="A161" s="166" t="s">
        <v>188</v>
      </c>
      <c r="B161" s="167">
        <f>C161</f>
        <v>202309</v>
      </c>
      <c r="C161" s="275">
        <v>202309</v>
      </c>
      <c r="D161" s="94" t="s">
        <v>151</v>
      </c>
      <c r="E161" s="177" t="s">
        <v>252</v>
      </c>
      <c r="F161" s="60">
        <f>124+219+159+159+122+260+248+1000+215+130+115+100+90+184+118+620+920+400+10+481</f>
        <v>5674</v>
      </c>
      <c r="G161" s="59"/>
      <c r="H161" s="59">
        <f>39+250+188+60+190+215+35+480+244+200+96+967+125+80+8+39+89</f>
        <v>3305</v>
      </c>
      <c r="I161" s="60">
        <f>65+494+207+231</f>
        <v>997</v>
      </c>
      <c r="J161" s="59"/>
      <c r="K161" s="60"/>
      <c r="L161" s="60"/>
      <c r="M161" s="148">
        <f>742+832+200+1318+59+28+305+845+780+100+390</f>
        <v>5599</v>
      </c>
      <c r="N161" s="60">
        <f>40+40+40+40</f>
        <v>160</v>
      </c>
      <c r="O161" s="60">
        <f>40+20+78+63</f>
        <v>201</v>
      </c>
      <c r="P161" s="60"/>
      <c r="Q161" s="60">
        <f>2000+2000+2000+2000+500+15</f>
        <v>8515</v>
      </c>
      <c r="R161" s="60"/>
      <c r="S161" s="44">
        <f t="shared" ref="S161:S177" si="35">SUM(F161:R161)</f>
        <v>24451</v>
      </c>
      <c r="T161" s="277">
        <f>SUM(S161:S167)</f>
        <v>131306</v>
      </c>
    </row>
    <row r="162" spans="1:20" ht="15" customHeight="1" thickBot="1" x14ac:dyDescent="0.3">
      <c r="A162" s="164" t="s">
        <v>247</v>
      </c>
      <c r="B162" s="162">
        <f>$J$2</f>
        <v>160000</v>
      </c>
      <c r="C162" s="275"/>
      <c r="D162" s="95" t="s">
        <v>151</v>
      </c>
      <c r="E162" s="176" t="s">
        <v>253</v>
      </c>
      <c r="F162" s="79">
        <v>1000</v>
      </c>
      <c r="G162" s="78"/>
      <c r="H162" s="78"/>
      <c r="I162" s="79"/>
      <c r="J162" s="78"/>
      <c r="K162" s="79"/>
      <c r="L162" s="79"/>
      <c r="M162" s="149"/>
      <c r="N162" s="79"/>
      <c r="O162" s="79"/>
      <c r="P162" s="79"/>
      <c r="Q162" s="79"/>
      <c r="R162" s="79"/>
      <c r="S162" s="80">
        <f t="shared" si="35"/>
        <v>1000</v>
      </c>
      <c r="T162" s="278"/>
    </row>
    <row r="163" spans="1:20" ht="15" customHeight="1" thickTop="1" x14ac:dyDescent="0.25">
      <c r="A163" s="165" t="s">
        <v>237</v>
      </c>
      <c r="B163" s="182">
        <f>SUMPRODUCT((($V$10:$V$21)&lt;=VALUE(B161))*($Z$10:$Z$21))</f>
        <v>1836082</v>
      </c>
      <c r="C163" s="275"/>
      <c r="D163" s="95" t="s">
        <v>151</v>
      </c>
      <c r="E163" s="176" t="s">
        <v>254</v>
      </c>
      <c r="F163" s="79">
        <f>3028+1200+759+329</f>
        <v>5316</v>
      </c>
      <c r="G163" s="78"/>
      <c r="H163" s="78">
        <f>600+385</f>
        <v>985</v>
      </c>
      <c r="I163" s="79"/>
      <c r="J163" s="78"/>
      <c r="K163" s="79"/>
      <c r="L163" s="79"/>
      <c r="M163" s="149"/>
      <c r="N163" s="79"/>
      <c r="O163" s="79"/>
      <c r="P163" s="79"/>
      <c r="Q163" s="79">
        <f>10500-7000+596</f>
        <v>4096</v>
      </c>
      <c r="R163" s="79"/>
      <c r="S163" s="80">
        <f t="shared" si="35"/>
        <v>10397</v>
      </c>
      <c r="T163" s="278"/>
    </row>
    <row r="164" spans="1:20" ht="15" customHeight="1" x14ac:dyDescent="0.25">
      <c r="A164" s="165" t="s">
        <v>264</v>
      </c>
      <c r="B164" s="181">
        <f>B163/SUMPRODUCT(('2023'!$V$10:$V$21&lt;='2023'!B161)*'2022'!$Z$10:$Z$21)</f>
        <v>1.2575180606047323</v>
      </c>
      <c r="C164" s="275"/>
      <c r="D164" s="95" t="s">
        <v>151</v>
      </c>
      <c r="E164" s="176" t="s">
        <v>255</v>
      </c>
      <c r="F164" s="79">
        <f>100+100+135+60+100+100</f>
        <v>595</v>
      </c>
      <c r="G164" s="78"/>
      <c r="H164" s="78">
        <f>455+490+120</f>
        <v>1065</v>
      </c>
      <c r="I164" s="79">
        <v>19</v>
      </c>
      <c r="J164" s="78"/>
      <c r="K164" s="79"/>
      <c r="L164" s="79"/>
      <c r="M164" s="149">
        <f>830+1554+120</f>
        <v>2504</v>
      </c>
      <c r="N164" s="79"/>
      <c r="O164" s="79">
        <v>11000</v>
      </c>
      <c r="P164" s="79"/>
      <c r="Q164" s="79"/>
      <c r="R164" s="79"/>
      <c r="S164" s="80">
        <f t="shared" si="35"/>
        <v>15183</v>
      </c>
      <c r="T164" s="278"/>
    </row>
    <row r="165" spans="1:20" ht="15" customHeight="1" x14ac:dyDescent="0.25">
      <c r="A165" s="165" t="s">
        <v>236</v>
      </c>
      <c r="B165" s="186">
        <f>B163-$K$2*VALUE(RIGHT(B161,2))/9</f>
        <v>1586080</v>
      </c>
      <c r="C165" s="275"/>
      <c r="D165" s="96" t="s">
        <v>151</v>
      </c>
      <c r="E165" s="176" t="s">
        <v>256</v>
      </c>
      <c r="F165" s="79">
        <f>11000+3500+175+500</f>
        <v>15175</v>
      </c>
      <c r="G165" s="78"/>
      <c r="H165" s="78"/>
      <c r="I165" s="78"/>
      <c r="J165" s="78"/>
      <c r="K165" s="79"/>
      <c r="L165" s="79"/>
      <c r="M165" s="149"/>
      <c r="N165" s="79"/>
      <c r="O165" s="79"/>
      <c r="P165" s="79"/>
      <c r="Q165" s="79"/>
      <c r="R165" s="79"/>
      <c r="S165" s="80">
        <f t="shared" si="35"/>
        <v>15175</v>
      </c>
      <c r="T165" s="278"/>
    </row>
    <row r="166" spans="1:20" ht="15" customHeight="1" x14ac:dyDescent="0.25">
      <c r="A166" s="164" t="s">
        <v>242</v>
      </c>
      <c r="B166" s="157">
        <f>B165/($J$2*12)</f>
        <v>0.82608333333333328</v>
      </c>
      <c r="C166" s="275"/>
      <c r="D166" s="95" t="s">
        <v>151</v>
      </c>
      <c r="E166" s="176" t="s">
        <v>257</v>
      </c>
      <c r="F166" s="79">
        <f>3840+29650+22250+5867+2243+800</f>
        <v>64650</v>
      </c>
      <c r="G166" s="78"/>
      <c r="H166" s="78"/>
      <c r="I166" s="79"/>
      <c r="J166" s="78"/>
      <c r="K166" s="79"/>
      <c r="L166" s="79"/>
      <c r="M166" s="149"/>
      <c r="N166" s="79"/>
      <c r="O166" s="79"/>
      <c r="P166" s="79"/>
      <c r="Q166" s="79"/>
      <c r="R166" s="79"/>
      <c r="S166" s="80">
        <f t="shared" si="35"/>
        <v>64650</v>
      </c>
      <c r="T166" s="278"/>
    </row>
    <row r="167" spans="1:20" ht="15" customHeight="1" x14ac:dyDescent="0.25">
      <c r="A167" s="164" t="s">
        <v>282</v>
      </c>
      <c r="B167" s="126">
        <f>VALUE(RIGHT(B161,2))/12</f>
        <v>0.75</v>
      </c>
      <c r="C167" s="275"/>
      <c r="D167" s="95" t="s">
        <v>151</v>
      </c>
      <c r="E167" s="176" t="s">
        <v>263</v>
      </c>
      <c r="F167" s="78">
        <f>200+250</f>
        <v>450</v>
      </c>
      <c r="G167" s="78"/>
      <c r="H167" s="78"/>
      <c r="I167" s="79"/>
      <c r="J167" s="78"/>
      <c r="K167" s="79"/>
      <c r="L167" s="79"/>
      <c r="M167" s="149"/>
      <c r="N167" s="79"/>
      <c r="O167" s="79"/>
      <c r="P167" s="79"/>
      <c r="Q167" s="79"/>
      <c r="R167" s="79"/>
      <c r="S167" s="80">
        <f t="shared" si="35"/>
        <v>450</v>
      </c>
      <c r="T167" s="279"/>
    </row>
    <row r="168" spans="1:20" ht="15" customHeight="1" x14ac:dyDescent="0.25">
      <c r="A168" s="164" t="s">
        <v>243</v>
      </c>
      <c r="B168" s="161">
        <f>B162*VALUE(RIGHT(B161,2))-B165</f>
        <v>-146080</v>
      </c>
      <c r="C168" s="275"/>
      <c r="D168" s="97" t="s">
        <v>152</v>
      </c>
      <c r="E168" s="97" t="s">
        <v>144</v>
      </c>
      <c r="F168" s="85">
        <f>2000+50</f>
        <v>2050</v>
      </c>
      <c r="G168" s="46"/>
      <c r="H168" s="85">
        <v>54</v>
      </c>
      <c r="I168" s="46"/>
      <c r="J168" s="46"/>
      <c r="K168" s="46"/>
      <c r="L168" s="46"/>
      <c r="M168" s="152"/>
      <c r="N168" s="46"/>
      <c r="O168" s="89"/>
      <c r="P168" s="46"/>
      <c r="Q168" s="46"/>
      <c r="R168" s="46"/>
      <c r="S168" s="83">
        <f t="shared" si="35"/>
        <v>2104</v>
      </c>
      <c r="T168" s="280">
        <f>SUM(S168:S172)</f>
        <v>13494</v>
      </c>
    </row>
    <row r="169" spans="1:20" ht="15" customHeight="1" x14ac:dyDescent="0.25">
      <c r="A169" s="164" t="s">
        <v>265</v>
      </c>
      <c r="B169" s="184">
        <f>$J$2-(S178-F175)</f>
        <v>-2033</v>
      </c>
      <c r="C169" s="275"/>
      <c r="D169" s="97" t="s">
        <v>152</v>
      </c>
      <c r="E169" s="97" t="s">
        <v>145</v>
      </c>
      <c r="F169" s="85">
        <f>50+60+60</f>
        <v>170</v>
      </c>
      <c r="G169" s="46"/>
      <c r="H169" s="85"/>
      <c r="I169" s="46"/>
      <c r="J169" s="46"/>
      <c r="K169" s="46"/>
      <c r="L169" s="46"/>
      <c r="M169" s="152"/>
      <c r="N169" s="46"/>
      <c r="O169" s="46"/>
      <c r="P169" s="46"/>
      <c r="Q169" s="46"/>
      <c r="R169" s="46"/>
      <c r="S169" s="83">
        <f t="shared" si="35"/>
        <v>170</v>
      </c>
      <c r="T169" s="281"/>
    </row>
    <row r="170" spans="1:20" ht="15" customHeight="1" x14ac:dyDescent="0.25">
      <c r="C170" s="275"/>
      <c r="D170" s="97" t="s">
        <v>152</v>
      </c>
      <c r="E170" s="97" t="s">
        <v>146</v>
      </c>
      <c r="F170" s="85">
        <f>400+90+60+60</f>
        <v>610</v>
      </c>
      <c r="G170" s="46"/>
      <c r="H170" s="87"/>
      <c r="I170" s="46"/>
      <c r="J170" s="46"/>
      <c r="K170" s="46"/>
      <c r="L170" s="46"/>
      <c r="M170" s="152"/>
      <c r="N170" s="46"/>
      <c r="O170" s="46"/>
      <c r="P170" s="46"/>
      <c r="Q170" s="46"/>
      <c r="R170" s="46"/>
      <c r="S170" s="83">
        <f t="shared" si="35"/>
        <v>610</v>
      </c>
      <c r="T170" s="281"/>
    </row>
    <row r="171" spans="1:20" ht="15" customHeight="1" x14ac:dyDescent="0.25">
      <c r="C171" s="275"/>
      <c r="D171" s="97" t="s">
        <v>152</v>
      </c>
      <c r="E171" s="97" t="s">
        <v>147</v>
      </c>
      <c r="F171" s="85">
        <f>400+90+60+60</f>
        <v>610</v>
      </c>
      <c r="G171" s="46"/>
      <c r="H171" s="87"/>
      <c r="I171" s="46"/>
      <c r="J171" s="46"/>
      <c r="K171" s="46"/>
      <c r="L171" s="46"/>
      <c r="M171" s="152"/>
      <c r="N171" s="46"/>
      <c r="O171" s="46"/>
      <c r="P171" s="46"/>
      <c r="Q171" s="46"/>
      <c r="R171" s="46"/>
      <c r="S171" s="83">
        <f t="shared" si="35"/>
        <v>610</v>
      </c>
      <c r="T171" s="281"/>
    </row>
    <row r="172" spans="1:20" ht="15" customHeight="1" x14ac:dyDescent="0.25">
      <c r="C172" s="275"/>
      <c r="D172" s="97" t="s">
        <v>152</v>
      </c>
      <c r="E172" s="97" t="s">
        <v>168</v>
      </c>
      <c r="F172" s="85"/>
      <c r="G172" s="46"/>
      <c r="H172" s="46"/>
      <c r="I172" s="46"/>
      <c r="J172" s="46"/>
      <c r="K172" s="46"/>
      <c r="L172" s="46"/>
      <c r="M172" s="152"/>
      <c r="N172" s="46"/>
      <c r="O172" s="86">
        <f>5000+5000</f>
        <v>10000</v>
      </c>
      <c r="P172" s="46"/>
      <c r="Q172" s="46"/>
      <c r="R172" s="46"/>
      <c r="S172" s="83">
        <f t="shared" si="35"/>
        <v>10000</v>
      </c>
      <c r="T172" s="281"/>
    </row>
    <row r="173" spans="1:20" ht="15" customHeight="1" x14ac:dyDescent="0.25">
      <c r="C173" s="275"/>
      <c r="D173" s="98" t="s">
        <v>153</v>
      </c>
      <c r="E173" s="98" t="s">
        <v>170</v>
      </c>
      <c r="F173" s="81"/>
      <c r="G173" s="81"/>
      <c r="H173" s="81"/>
      <c r="I173" s="81"/>
      <c r="J173" s="81"/>
      <c r="K173" s="81"/>
      <c r="L173" s="81"/>
      <c r="M173" s="91"/>
      <c r="N173" s="81"/>
      <c r="O173" s="81"/>
      <c r="P173" s="81"/>
      <c r="Q173" s="81"/>
      <c r="R173" s="81"/>
      <c r="S173" s="81">
        <f t="shared" si="35"/>
        <v>0</v>
      </c>
      <c r="T173" s="282">
        <f>SUM(S173:S177)</f>
        <v>45011</v>
      </c>
    </row>
    <row r="174" spans="1:20" ht="15" customHeight="1" x14ac:dyDescent="0.25">
      <c r="B174" s="52"/>
      <c r="C174" s="275"/>
      <c r="D174" s="99" t="s">
        <v>153</v>
      </c>
      <c r="E174" s="99" t="s">
        <v>171</v>
      </c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>
        <f t="shared" si="35"/>
        <v>0</v>
      </c>
      <c r="T174" s="283"/>
    </row>
    <row r="175" spans="1:20" ht="15" customHeight="1" x14ac:dyDescent="0.25">
      <c r="B175" s="52"/>
      <c r="C175" s="275"/>
      <c r="D175" s="99" t="s">
        <v>153</v>
      </c>
      <c r="E175" s="99" t="s">
        <v>172</v>
      </c>
      <c r="F175" s="82">
        <f>27778</f>
        <v>27778</v>
      </c>
      <c r="G175" s="82"/>
      <c r="H175" s="82">
        <v>3384</v>
      </c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>
        <f t="shared" si="35"/>
        <v>31162</v>
      </c>
      <c r="T175" s="283"/>
    </row>
    <row r="176" spans="1:20" s="41" customFormat="1" ht="15" customHeight="1" x14ac:dyDescent="0.25">
      <c r="A176" s="45"/>
      <c r="B176" s="45"/>
      <c r="C176" s="276"/>
      <c r="D176" s="99" t="s">
        <v>153</v>
      </c>
      <c r="E176" s="99" t="s">
        <v>173</v>
      </c>
      <c r="F176" s="82"/>
      <c r="G176" s="82"/>
      <c r="H176" s="82">
        <v>2020</v>
      </c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>
        <f t="shared" si="35"/>
        <v>2020</v>
      </c>
      <c r="T176" s="283"/>
    </row>
    <row r="177" spans="1:20" ht="15.75" customHeight="1" thickBot="1" x14ac:dyDescent="0.3">
      <c r="A177" s="41"/>
      <c r="B177" s="41"/>
      <c r="C177" s="276"/>
      <c r="D177" s="100" t="s">
        <v>153</v>
      </c>
      <c r="E177" s="100" t="s">
        <v>168</v>
      </c>
      <c r="F177" s="48"/>
      <c r="G177" s="48"/>
      <c r="H177" s="48">
        <v>11829</v>
      </c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>
        <f t="shared" si="35"/>
        <v>11829</v>
      </c>
      <c r="T177" s="283"/>
    </row>
    <row r="178" spans="1:20" ht="15" customHeight="1" x14ac:dyDescent="0.25">
      <c r="D178" s="101" t="s">
        <v>120</v>
      </c>
      <c r="E178" s="101" t="s">
        <v>120</v>
      </c>
      <c r="F178" s="64">
        <f>SUM(F161:F177)</f>
        <v>124078</v>
      </c>
      <c r="G178" s="64">
        <f>SUM(G161:G177)</f>
        <v>0</v>
      </c>
      <c r="H178" s="64">
        <f>SUM(H161:H177)</f>
        <v>22642</v>
      </c>
      <c r="I178" s="64">
        <f t="shared" ref="I178:P178" si="36">SUM(I161:I177)</f>
        <v>1016</v>
      </c>
      <c r="J178" s="64">
        <f t="shared" si="36"/>
        <v>0</v>
      </c>
      <c r="K178" s="64">
        <f t="shared" si="36"/>
        <v>0</v>
      </c>
      <c r="L178" s="64">
        <f t="shared" si="36"/>
        <v>0</v>
      </c>
      <c r="M178" s="64">
        <f t="shared" si="36"/>
        <v>8103</v>
      </c>
      <c r="N178" s="64">
        <f t="shared" si="36"/>
        <v>160</v>
      </c>
      <c r="O178" s="64">
        <f t="shared" si="36"/>
        <v>21201</v>
      </c>
      <c r="P178" s="64">
        <f t="shared" si="36"/>
        <v>0</v>
      </c>
      <c r="Q178" s="64">
        <f>SUM(Q161:Q177)</f>
        <v>12611</v>
      </c>
      <c r="R178" s="64">
        <f>SUM(R161:R177)</f>
        <v>0</v>
      </c>
      <c r="S178" s="54">
        <f>SUM(S161:S177)</f>
        <v>189811</v>
      </c>
    </row>
    <row r="179" spans="1:20" ht="15.75" customHeight="1" thickBot="1" x14ac:dyDescent="0.3"/>
    <row r="180" spans="1:20" ht="17.25" x14ac:dyDescent="0.25">
      <c r="A180" s="166" t="s">
        <v>188</v>
      </c>
      <c r="B180" s="167">
        <f>C180</f>
        <v>202310</v>
      </c>
      <c r="C180" s="275">
        <v>202310</v>
      </c>
      <c r="D180" s="94" t="s">
        <v>151</v>
      </c>
      <c r="E180" s="177" t="s">
        <v>252</v>
      </c>
      <c r="F180" s="60">
        <f>110+291+80+120+40+130+350+60+913+170+200+330+120+46</f>
        <v>2960</v>
      </c>
      <c r="G180" s="59"/>
      <c r="H180" s="59">
        <f>80+28+312+158+98+334+105+90+106+42+10+55+52+10+80+307+230+308+185+79+203+205+105+55+100+102+120+18+420+75+55+121+319+1250</f>
        <v>5817</v>
      </c>
      <c r="I180" s="60">
        <v>1597</v>
      </c>
      <c r="J180" s="59"/>
      <c r="K180" s="60"/>
      <c r="L180" s="60"/>
      <c r="M180" s="60">
        <f>877+280+70+195+55+214+689+440+50</f>
        <v>2870</v>
      </c>
      <c r="N180" s="60">
        <v>50</v>
      </c>
      <c r="O180" s="60">
        <f>399+50+44+186+366</f>
        <v>1045</v>
      </c>
      <c r="P180" s="60"/>
      <c r="Q180" s="60">
        <f>2000+2000+2000+2000</f>
        <v>8000</v>
      </c>
      <c r="R180" s="60"/>
      <c r="S180" s="44">
        <f t="shared" ref="S180:S196" si="37">SUM(F180:R180)</f>
        <v>22339</v>
      </c>
      <c r="T180" s="277">
        <f>SUM(S180:S186)</f>
        <v>74439</v>
      </c>
    </row>
    <row r="181" spans="1:20" ht="15" customHeight="1" thickBot="1" x14ac:dyDescent="0.3">
      <c r="A181" s="164" t="s">
        <v>247</v>
      </c>
      <c r="B181" s="162">
        <f>$J$2</f>
        <v>160000</v>
      </c>
      <c r="C181" s="275"/>
      <c r="D181" s="95" t="s">
        <v>151</v>
      </c>
      <c r="E181" s="176" t="s">
        <v>253</v>
      </c>
      <c r="F181" s="79"/>
      <c r="G181" s="78"/>
      <c r="H181" s="78"/>
      <c r="I181" s="79"/>
      <c r="J181" s="78"/>
      <c r="K181" s="79"/>
      <c r="L181" s="79"/>
      <c r="M181" s="79"/>
      <c r="N181" s="79"/>
      <c r="O181" s="79"/>
      <c r="P181" s="79"/>
      <c r="Q181" s="79"/>
      <c r="R181" s="79"/>
      <c r="S181" s="80">
        <f t="shared" si="37"/>
        <v>0</v>
      </c>
      <c r="T181" s="278"/>
    </row>
    <row r="182" spans="1:20" ht="15" customHeight="1" thickTop="1" x14ac:dyDescent="0.25">
      <c r="A182" s="165" t="s">
        <v>237</v>
      </c>
      <c r="B182" s="182">
        <f>SUMPRODUCT((($V$10:$V$21)&lt;=VALUE(B180))*($Z$10:$Z$21))</f>
        <v>2089534.51</v>
      </c>
      <c r="C182" s="275"/>
      <c r="D182" s="95" t="s">
        <v>151</v>
      </c>
      <c r="E182" s="176" t="s">
        <v>254</v>
      </c>
      <c r="F182" s="79">
        <f>3028+360</f>
        <v>3388</v>
      </c>
      <c r="G182" s="78"/>
      <c r="H182" s="78">
        <f>1491+298</f>
        <v>1789</v>
      </c>
      <c r="I182" s="79"/>
      <c r="J182" s="78"/>
      <c r="K182" s="79"/>
      <c r="L182" s="79"/>
      <c r="M182" s="79">
        <f>581+3590</f>
        <v>4171</v>
      </c>
      <c r="N182" s="79"/>
      <c r="O182" s="79">
        <v>1750</v>
      </c>
      <c r="P182" s="79"/>
      <c r="Q182" s="79">
        <f>10500-7000+1456+892+1500</f>
        <v>7348</v>
      </c>
      <c r="R182" s="79"/>
      <c r="S182" s="80">
        <f t="shared" si="37"/>
        <v>18446</v>
      </c>
      <c r="T182" s="278"/>
    </row>
    <row r="183" spans="1:20" ht="15" customHeight="1" x14ac:dyDescent="0.25">
      <c r="A183" s="165" t="s">
        <v>264</v>
      </c>
      <c r="B183" s="181">
        <f>B182/SUMPRODUCT(('2023'!$V$10:$V$21&lt;='2023'!B180)*'2022'!$Z$10:$Z$21)</f>
        <v>1.3047252878996298</v>
      </c>
      <c r="C183" s="275"/>
      <c r="D183" s="95" t="s">
        <v>151</v>
      </c>
      <c r="E183" s="176" t="s">
        <v>255</v>
      </c>
      <c r="F183" s="79">
        <f>100+100+100+100</f>
        <v>400</v>
      </c>
      <c r="G183" s="78"/>
      <c r="H183" s="78">
        <f>50+40</f>
        <v>90</v>
      </c>
      <c r="I183" s="79">
        <v>599</v>
      </c>
      <c r="J183" s="78"/>
      <c r="K183" s="79"/>
      <c r="L183" s="79"/>
      <c r="M183" s="79">
        <v>1600</v>
      </c>
      <c r="N183" s="79"/>
      <c r="O183" s="79">
        <f>10000+150</f>
        <v>10150</v>
      </c>
      <c r="P183" s="79"/>
      <c r="Q183" s="79"/>
      <c r="R183" s="79"/>
      <c r="S183" s="80">
        <f t="shared" si="37"/>
        <v>12839</v>
      </c>
      <c r="T183" s="278"/>
    </row>
    <row r="184" spans="1:20" ht="15" customHeight="1" x14ac:dyDescent="0.25">
      <c r="A184" s="165" t="s">
        <v>236</v>
      </c>
      <c r="B184" s="186">
        <f>B182-$K$2</f>
        <v>1839532.51</v>
      </c>
      <c r="C184" s="275"/>
      <c r="D184" s="96" t="s">
        <v>151</v>
      </c>
      <c r="E184" s="176" t="s">
        <v>256</v>
      </c>
      <c r="F184" s="79">
        <f>11000+4500</f>
        <v>15500</v>
      </c>
      <c r="G184" s="78"/>
      <c r="H184" s="79">
        <f>1600+3465</f>
        <v>5065</v>
      </c>
      <c r="I184" s="78"/>
      <c r="J184" s="78"/>
      <c r="K184" s="79"/>
      <c r="L184" s="79"/>
      <c r="M184" s="79"/>
      <c r="N184" s="79"/>
      <c r="O184" s="79"/>
      <c r="P184" s="79"/>
      <c r="Q184" s="79"/>
      <c r="R184" s="79"/>
      <c r="S184" s="80">
        <f t="shared" si="37"/>
        <v>20565</v>
      </c>
      <c r="T184" s="278"/>
    </row>
    <row r="185" spans="1:20" ht="15" customHeight="1" x14ac:dyDescent="0.25">
      <c r="A185" s="164" t="s">
        <v>242</v>
      </c>
      <c r="B185" s="157">
        <f>B184/($J$2*12)</f>
        <v>0.95808984895833338</v>
      </c>
      <c r="C185" s="275"/>
      <c r="D185" s="95" t="s">
        <v>151</v>
      </c>
      <c r="E185" s="176" t="s">
        <v>257</v>
      </c>
      <c r="F185" s="79"/>
      <c r="G185" s="78"/>
      <c r="H185" s="78"/>
      <c r="I185" s="79"/>
      <c r="J185" s="78"/>
      <c r="K185" s="79"/>
      <c r="L185" s="79"/>
      <c r="M185" s="79"/>
      <c r="N185" s="79"/>
      <c r="O185" s="79"/>
      <c r="P185" s="79"/>
      <c r="Q185" s="79"/>
      <c r="R185" s="79"/>
      <c r="S185" s="80">
        <f t="shared" si="37"/>
        <v>0</v>
      </c>
      <c r="T185" s="278"/>
    </row>
    <row r="186" spans="1:20" ht="15" customHeight="1" x14ac:dyDescent="0.25">
      <c r="A186" s="164" t="s">
        <v>282</v>
      </c>
      <c r="B186" s="126">
        <f>VALUE(RIGHT(B180,2))/12</f>
        <v>0.83333333333333337</v>
      </c>
      <c r="C186" s="275"/>
      <c r="D186" s="95" t="s">
        <v>151</v>
      </c>
      <c r="E186" s="176" t="s">
        <v>263</v>
      </c>
      <c r="F186" s="78">
        <v>250</v>
      </c>
      <c r="G186" s="78"/>
      <c r="H186" s="78"/>
      <c r="I186" s="79"/>
      <c r="J186" s="78"/>
      <c r="K186" s="79"/>
      <c r="L186" s="79"/>
      <c r="M186" s="79"/>
      <c r="N186" s="79"/>
      <c r="O186" s="79"/>
      <c r="P186" s="79"/>
      <c r="Q186" s="79"/>
      <c r="R186" s="79"/>
      <c r="S186" s="80">
        <f t="shared" si="37"/>
        <v>250</v>
      </c>
      <c r="T186" s="279"/>
    </row>
    <row r="187" spans="1:20" ht="15" customHeight="1" x14ac:dyDescent="0.25">
      <c r="A187" s="164" t="s">
        <v>243</v>
      </c>
      <c r="B187" s="161">
        <f>B181*VALUE(RIGHT(B180,2))-B184</f>
        <v>-239532.51</v>
      </c>
      <c r="C187" s="275"/>
      <c r="D187" s="97" t="s">
        <v>152</v>
      </c>
      <c r="E187" s="97" t="s">
        <v>144</v>
      </c>
      <c r="F187" s="85">
        <v>600</v>
      </c>
      <c r="G187" s="46"/>
      <c r="H187" s="85"/>
      <c r="I187" s="46"/>
      <c r="J187" s="46"/>
      <c r="K187" s="46"/>
      <c r="L187" s="46"/>
      <c r="M187" s="152"/>
      <c r="N187" s="46"/>
      <c r="O187" s="46"/>
      <c r="P187" s="46"/>
      <c r="Q187" s="46"/>
      <c r="R187" s="46"/>
      <c r="S187" s="83">
        <f t="shared" si="37"/>
        <v>600</v>
      </c>
      <c r="T187" s="280">
        <f>SUM(S187:S191)</f>
        <v>11500</v>
      </c>
    </row>
    <row r="188" spans="1:20" ht="15" customHeight="1" x14ac:dyDescent="0.25">
      <c r="A188" s="164" t="s">
        <v>265</v>
      </c>
      <c r="B188" s="184">
        <f>$J$2-(S197-F194)</f>
        <v>-93452.510000000009</v>
      </c>
      <c r="C188" s="275"/>
      <c r="D188" s="97" t="s">
        <v>152</v>
      </c>
      <c r="E188" s="97" t="s">
        <v>145</v>
      </c>
      <c r="F188" s="85"/>
      <c r="G188" s="46"/>
      <c r="H188" s="85"/>
      <c r="I188" s="46"/>
      <c r="J188" s="46"/>
      <c r="K188" s="46"/>
      <c r="L188" s="46"/>
      <c r="M188" s="152"/>
      <c r="N188" s="46"/>
      <c r="O188" s="85">
        <f>900+1450</f>
        <v>2350</v>
      </c>
      <c r="P188" s="46"/>
      <c r="Q188" s="46"/>
      <c r="R188" s="46"/>
      <c r="S188" s="83">
        <f t="shared" si="37"/>
        <v>2350</v>
      </c>
      <c r="T188" s="281"/>
    </row>
    <row r="189" spans="1:20" ht="15" customHeight="1" x14ac:dyDescent="0.25">
      <c r="C189" s="275"/>
      <c r="D189" s="97" t="s">
        <v>152</v>
      </c>
      <c r="E189" s="97" t="s">
        <v>146</v>
      </c>
      <c r="F189" s="86">
        <f>225+90+60+60+60</f>
        <v>495</v>
      </c>
      <c r="G189" s="46"/>
      <c r="H189" s="87"/>
      <c r="I189" s="46"/>
      <c r="J189" s="46"/>
      <c r="K189" s="46"/>
      <c r="L189" s="46"/>
      <c r="M189" s="152"/>
      <c r="N189" s="46"/>
      <c r="O189" s="87">
        <f>800+500</f>
        <v>1300</v>
      </c>
      <c r="P189" s="46"/>
      <c r="Q189" s="46"/>
      <c r="R189" s="46"/>
      <c r="S189" s="83">
        <f t="shared" si="37"/>
        <v>1795</v>
      </c>
      <c r="T189" s="281"/>
    </row>
    <row r="190" spans="1:20" ht="15" customHeight="1" x14ac:dyDescent="0.25">
      <c r="C190" s="275"/>
      <c r="D190" s="97" t="s">
        <v>152</v>
      </c>
      <c r="E190" s="97" t="s">
        <v>147</v>
      </c>
      <c r="F190" s="86">
        <f>225+90+60+60+60+60</f>
        <v>555</v>
      </c>
      <c r="G190" s="46"/>
      <c r="H190" s="87"/>
      <c r="I190" s="46"/>
      <c r="J190" s="46"/>
      <c r="K190" s="46"/>
      <c r="L190" s="46"/>
      <c r="M190" s="152"/>
      <c r="N190" s="46"/>
      <c r="O190" s="87">
        <v>800</v>
      </c>
      <c r="P190" s="46"/>
      <c r="Q190" s="46"/>
      <c r="R190" s="46"/>
      <c r="S190" s="83">
        <f t="shared" si="37"/>
        <v>1355</v>
      </c>
      <c r="T190" s="281"/>
    </row>
    <row r="191" spans="1:20" ht="15" customHeight="1" x14ac:dyDescent="0.25">
      <c r="C191" s="275"/>
      <c r="D191" s="97" t="s">
        <v>152</v>
      </c>
      <c r="E191" s="97" t="s">
        <v>168</v>
      </c>
      <c r="F191" s="85">
        <v>400</v>
      </c>
      <c r="G191" s="46"/>
      <c r="H191" s="46"/>
      <c r="I191" s="46"/>
      <c r="J191" s="46"/>
      <c r="K191" s="46"/>
      <c r="L191" s="46"/>
      <c r="M191" s="152"/>
      <c r="N191" s="46"/>
      <c r="O191" s="86">
        <f>5000</f>
        <v>5000</v>
      </c>
      <c r="P191" s="46"/>
      <c r="Q191" s="46"/>
      <c r="R191" s="46"/>
      <c r="S191" s="83">
        <f t="shared" si="37"/>
        <v>5400</v>
      </c>
      <c r="T191" s="281"/>
    </row>
    <row r="192" spans="1:20" ht="15" customHeight="1" x14ac:dyDescent="0.25">
      <c r="C192" s="275"/>
      <c r="D192" s="98" t="s">
        <v>153</v>
      </c>
      <c r="E192" s="98" t="s">
        <v>170</v>
      </c>
      <c r="F192" s="81">
        <f>3000+6500+5948</f>
        <v>15448</v>
      </c>
      <c r="G192" s="81"/>
      <c r="H192" s="81">
        <f>27460+866+1451+2464+2495+1629+7564+5516+4305+3123+115+270+839+1105+1186+4259+1688+2626+1624+507+2502+26618</f>
        <v>100212</v>
      </c>
      <c r="I192" s="81">
        <f>1240+130</f>
        <v>1370</v>
      </c>
      <c r="J192" s="81">
        <v>576</v>
      </c>
      <c r="K192" s="81"/>
      <c r="L192" s="81"/>
      <c r="M192" s="81">
        <f>200+27460+130+300</f>
        <v>28090</v>
      </c>
      <c r="N192" s="81"/>
      <c r="O192" s="81">
        <f>200+400+100+950+13628.51</f>
        <v>15278.51</v>
      </c>
      <c r="P192" s="81"/>
      <c r="Q192" s="81"/>
      <c r="R192" s="81"/>
      <c r="S192" s="81">
        <f t="shared" si="37"/>
        <v>160974.51</v>
      </c>
      <c r="T192" s="282">
        <f>SUM(S192:S196)</f>
        <v>167513.51</v>
      </c>
    </row>
    <row r="193" spans="1:20" ht="15" customHeight="1" x14ac:dyDescent="0.25">
      <c r="C193" s="275"/>
      <c r="D193" s="99" t="s">
        <v>153</v>
      </c>
      <c r="E193" s="99" t="s">
        <v>171</v>
      </c>
      <c r="F193" s="82"/>
      <c r="G193" s="82"/>
      <c r="H193" s="82">
        <v>1150</v>
      </c>
      <c r="I193" s="82"/>
      <c r="J193" s="82"/>
      <c r="K193" s="82"/>
      <c r="L193" s="82"/>
      <c r="M193" s="82"/>
      <c r="N193" s="82"/>
      <c r="O193" s="82"/>
      <c r="P193" s="82"/>
      <c r="Q193" s="82">
        <v>2000</v>
      </c>
      <c r="R193" s="82"/>
      <c r="S193" s="82">
        <f t="shared" si="37"/>
        <v>3150</v>
      </c>
      <c r="T193" s="283"/>
    </row>
    <row r="194" spans="1:20" ht="15" customHeight="1" x14ac:dyDescent="0.25">
      <c r="C194" s="275"/>
      <c r="D194" s="99" t="s">
        <v>153</v>
      </c>
      <c r="E194" s="99" t="s">
        <v>172</v>
      </c>
      <c r="F194" s="82"/>
      <c r="G194" s="82"/>
      <c r="H194" s="82">
        <v>3389</v>
      </c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>
        <f t="shared" si="37"/>
        <v>3389</v>
      </c>
      <c r="T194" s="283"/>
    </row>
    <row r="195" spans="1:20" s="41" customFormat="1" ht="15" customHeight="1" x14ac:dyDescent="0.25">
      <c r="A195" s="45"/>
      <c r="B195" s="45"/>
      <c r="C195" s="276"/>
      <c r="D195" s="99" t="s">
        <v>153</v>
      </c>
      <c r="E195" s="99" t="s">
        <v>173</v>
      </c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>
        <f t="shared" si="37"/>
        <v>0</v>
      </c>
      <c r="T195" s="283"/>
    </row>
    <row r="196" spans="1:20" ht="15.75" customHeight="1" thickBot="1" x14ac:dyDescent="0.3">
      <c r="A196" s="41"/>
      <c r="B196" s="41"/>
      <c r="C196" s="276"/>
      <c r="D196" s="100" t="s">
        <v>153</v>
      </c>
      <c r="E196" s="100" t="s">
        <v>168</v>
      </c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>
        <f t="shared" si="37"/>
        <v>0</v>
      </c>
      <c r="T196" s="283"/>
    </row>
    <row r="197" spans="1:20" ht="15" customHeight="1" x14ac:dyDescent="0.25">
      <c r="D197" s="101" t="s">
        <v>120</v>
      </c>
      <c r="E197" s="101" t="s">
        <v>120</v>
      </c>
      <c r="F197" s="64">
        <f>SUM(F180:F196)</f>
        <v>39996</v>
      </c>
      <c r="G197" s="64">
        <f>SUM(G180:G196)</f>
        <v>0</v>
      </c>
      <c r="H197" s="64">
        <f>SUM(H180:H196)</f>
        <v>117512</v>
      </c>
      <c r="I197" s="64">
        <f t="shared" ref="I197:P197" si="38">SUM(I180:I196)</f>
        <v>3566</v>
      </c>
      <c r="J197" s="64">
        <f t="shared" si="38"/>
        <v>576</v>
      </c>
      <c r="K197" s="64">
        <f t="shared" si="38"/>
        <v>0</v>
      </c>
      <c r="L197" s="64">
        <f t="shared" si="38"/>
        <v>0</v>
      </c>
      <c r="M197" s="64">
        <f t="shared" si="38"/>
        <v>36731</v>
      </c>
      <c r="N197" s="64">
        <f t="shared" si="38"/>
        <v>50</v>
      </c>
      <c r="O197" s="64">
        <f t="shared" si="38"/>
        <v>37673.51</v>
      </c>
      <c r="P197" s="64">
        <f t="shared" si="38"/>
        <v>0</v>
      </c>
      <c r="Q197" s="64">
        <f>SUM(Q180:Q196)</f>
        <v>17348</v>
      </c>
      <c r="R197" s="64">
        <f>SUM(R180:R196)</f>
        <v>0</v>
      </c>
      <c r="S197" s="54">
        <f>SUM(S180:S196)</f>
        <v>253452.51</v>
      </c>
    </row>
    <row r="198" spans="1:20" ht="15.75" customHeight="1" thickBot="1" x14ac:dyDescent="0.3"/>
    <row r="199" spans="1:20" ht="17.25" x14ac:dyDescent="0.25">
      <c r="A199" s="166" t="s">
        <v>188</v>
      </c>
      <c r="B199" s="167">
        <f>C199</f>
        <v>202311</v>
      </c>
      <c r="C199" s="275">
        <v>202311</v>
      </c>
      <c r="D199" s="94" t="s">
        <v>151</v>
      </c>
      <c r="E199" s="177" t="s">
        <v>252</v>
      </c>
      <c r="F199" s="60">
        <f>145+70+500+191+592+977+40+1150+100+155+80+84+500+115+59+130+100</f>
        <v>4988</v>
      </c>
      <c r="G199" s="59"/>
      <c r="H199" s="59">
        <f>57+84+60+178+91+59+109+275+50+903+45+93+150+238+272+65+319+47+255+233+69+131+70+307+420+230+166+400</f>
        <v>5376</v>
      </c>
      <c r="I199" s="60">
        <f>75+95+1250+38+129+13+70</f>
        <v>1670</v>
      </c>
      <c r="J199" s="59">
        <v>58</v>
      </c>
      <c r="K199" s="60"/>
      <c r="L199" s="60">
        <v>500</v>
      </c>
      <c r="M199" s="60">
        <f>440+1056+306+150+210</f>
        <v>2162</v>
      </c>
      <c r="N199" s="60"/>
      <c r="O199" s="60">
        <f>55+79+330+700</f>
        <v>1164</v>
      </c>
      <c r="P199" s="60"/>
      <c r="Q199" s="60">
        <f>2000+2000+2000+2000+2000</f>
        <v>10000</v>
      </c>
      <c r="R199" s="60"/>
      <c r="S199" s="44">
        <f t="shared" ref="S199:S215" si="39">SUM(F199:R199)</f>
        <v>25918</v>
      </c>
      <c r="T199" s="277">
        <f>SUM(S199:S205)</f>
        <v>66255</v>
      </c>
    </row>
    <row r="200" spans="1:20" ht="15" customHeight="1" thickBot="1" x14ac:dyDescent="0.3">
      <c r="A200" s="164" t="s">
        <v>247</v>
      </c>
      <c r="B200" s="162">
        <f>$J$2</f>
        <v>160000</v>
      </c>
      <c r="C200" s="275"/>
      <c r="D200" s="95" t="s">
        <v>151</v>
      </c>
      <c r="E200" s="176" t="s">
        <v>253</v>
      </c>
      <c r="F200" s="79"/>
      <c r="G200" s="78"/>
      <c r="H200" s="78"/>
      <c r="I200" s="79"/>
      <c r="J200" s="78"/>
      <c r="K200" s="79"/>
      <c r="L200" s="79"/>
      <c r="M200" s="79"/>
      <c r="N200" s="79"/>
      <c r="O200" s="79"/>
      <c r="P200" s="79"/>
      <c r="Q200" s="79"/>
      <c r="R200" s="79"/>
      <c r="S200" s="80">
        <f t="shared" si="39"/>
        <v>0</v>
      </c>
      <c r="T200" s="278"/>
    </row>
    <row r="201" spans="1:20" ht="15" customHeight="1" thickTop="1" x14ac:dyDescent="0.25">
      <c r="A201" s="165" t="s">
        <v>237</v>
      </c>
      <c r="B201" s="182">
        <f>SUMPRODUCT((($V$10:$V$21)&lt;=VALUE(B199))*($Z$10:$Z$21))</f>
        <v>2212984.5099999998</v>
      </c>
      <c r="C201" s="275"/>
      <c r="D201" s="95" t="s">
        <v>151</v>
      </c>
      <c r="E201" s="176" t="s">
        <v>254</v>
      </c>
      <c r="F201" s="79">
        <v>3028</v>
      </c>
      <c r="G201" s="78"/>
      <c r="H201" s="78">
        <f>375+2130+605+57</f>
        <v>3167</v>
      </c>
      <c r="I201" s="79">
        <v>600</v>
      </c>
      <c r="J201" s="78"/>
      <c r="K201" s="79"/>
      <c r="L201" s="79"/>
      <c r="M201" s="79"/>
      <c r="N201" s="79"/>
      <c r="O201" s="79"/>
      <c r="P201" s="79"/>
      <c r="Q201" s="79">
        <f>10500-7000+596+863+596</f>
        <v>5555</v>
      </c>
      <c r="R201" s="79"/>
      <c r="S201" s="80">
        <f t="shared" si="39"/>
        <v>12350</v>
      </c>
      <c r="T201" s="278"/>
    </row>
    <row r="202" spans="1:20" ht="15" customHeight="1" x14ac:dyDescent="0.25">
      <c r="A202" s="165" t="s">
        <v>264</v>
      </c>
      <c r="B202" s="181">
        <f>B201/SUMPRODUCT(('2023'!$V$10:$V$21&lt;='2023'!B199)*'2022'!$Z$10:$Z$21)</f>
        <v>1.274562429806424</v>
      </c>
      <c r="C202" s="275"/>
      <c r="D202" s="95" t="s">
        <v>151</v>
      </c>
      <c r="E202" s="176" t="s">
        <v>255</v>
      </c>
      <c r="F202" s="79">
        <f>80+20+100+100+90+100+100</f>
        <v>590</v>
      </c>
      <c r="G202" s="78"/>
      <c r="H202" s="78">
        <v>60</v>
      </c>
      <c r="I202" s="79"/>
      <c r="J202" s="78"/>
      <c r="K202" s="79"/>
      <c r="L202" s="79"/>
      <c r="M202" s="79">
        <f>1445+20+108+1428</f>
        <v>3001</v>
      </c>
      <c r="N202" s="79"/>
      <c r="O202" s="79">
        <v>1350</v>
      </c>
      <c r="P202" s="79"/>
      <c r="Q202" s="79"/>
      <c r="R202" s="79"/>
      <c r="S202" s="80">
        <f t="shared" si="39"/>
        <v>5001</v>
      </c>
      <c r="T202" s="278"/>
    </row>
    <row r="203" spans="1:20" ht="15" customHeight="1" x14ac:dyDescent="0.25">
      <c r="A203" s="165" t="s">
        <v>236</v>
      </c>
      <c r="B203" s="186">
        <f>B201-$K$2</f>
        <v>1962982.5099999998</v>
      </c>
      <c r="C203" s="275"/>
      <c r="D203" s="96" t="s">
        <v>151</v>
      </c>
      <c r="E203" s="176" t="s">
        <v>256</v>
      </c>
      <c r="F203" s="79">
        <f>11000+4500</f>
        <v>15500</v>
      </c>
      <c r="G203" s="78"/>
      <c r="H203" s="78"/>
      <c r="I203" s="78"/>
      <c r="J203" s="78"/>
      <c r="K203" s="79"/>
      <c r="L203" s="79"/>
      <c r="M203" s="79">
        <v>306</v>
      </c>
      <c r="N203" s="79"/>
      <c r="O203" s="79"/>
      <c r="P203" s="79"/>
      <c r="Q203" s="79"/>
      <c r="R203" s="79"/>
      <c r="S203" s="80">
        <f t="shared" si="39"/>
        <v>15806</v>
      </c>
      <c r="T203" s="278"/>
    </row>
    <row r="204" spans="1:20" ht="15" customHeight="1" x14ac:dyDescent="0.25">
      <c r="A204" s="164" t="s">
        <v>242</v>
      </c>
      <c r="B204" s="157">
        <f>B203/($J$2*12)</f>
        <v>1.0223867239583333</v>
      </c>
      <c r="C204" s="275"/>
      <c r="D204" s="95" t="s">
        <v>151</v>
      </c>
      <c r="E204" s="176" t="s">
        <v>257</v>
      </c>
      <c r="F204" s="79">
        <f>6400+780</f>
        <v>7180</v>
      </c>
      <c r="G204" s="78"/>
      <c r="H204" s="78" t="s">
        <v>284</v>
      </c>
      <c r="I204" s="79"/>
      <c r="J204" s="78"/>
      <c r="K204" s="79"/>
      <c r="L204" s="79"/>
      <c r="M204" s="79"/>
      <c r="N204" s="79"/>
      <c r="O204" s="79"/>
      <c r="P204" s="79"/>
      <c r="Q204" s="79"/>
      <c r="R204" s="79"/>
      <c r="S204" s="80">
        <f t="shared" si="39"/>
        <v>7180</v>
      </c>
      <c r="T204" s="278"/>
    </row>
    <row r="205" spans="1:20" ht="15" customHeight="1" x14ac:dyDescent="0.25">
      <c r="A205" s="164" t="s">
        <v>282</v>
      </c>
      <c r="B205" s="126">
        <f>VALUE(RIGHT(B199,2))/12</f>
        <v>0.91666666666666663</v>
      </c>
      <c r="C205" s="275"/>
      <c r="D205" s="95" t="s">
        <v>151</v>
      </c>
      <c r="E205" s="176" t="s">
        <v>263</v>
      </c>
      <c r="F205" s="78"/>
      <c r="G205" s="78"/>
      <c r="H205" s="78"/>
      <c r="I205" s="79"/>
      <c r="J205" s="78"/>
      <c r="K205" s="79"/>
      <c r="L205" s="79"/>
      <c r="M205" s="79"/>
      <c r="N205" s="79"/>
      <c r="O205" s="79"/>
      <c r="P205" s="79"/>
      <c r="Q205" s="79"/>
      <c r="R205" s="79"/>
      <c r="S205" s="80">
        <f t="shared" si="39"/>
        <v>0</v>
      </c>
      <c r="T205" s="279"/>
    </row>
    <row r="206" spans="1:20" ht="15" customHeight="1" x14ac:dyDescent="0.25">
      <c r="A206" s="164" t="s">
        <v>243</v>
      </c>
      <c r="B206" s="161">
        <f>B200*VALUE(RIGHT(B199,2))-B203</f>
        <v>-202982.50999999978</v>
      </c>
      <c r="C206" s="275"/>
      <c r="D206" s="97" t="s">
        <v>152</v>
      </c>
      <c r="E206" s="97" t="s">
        <v>144</v>
      </c>
      <c r="F206" s="85"/>
      <c r="G206" s="46"/>
      <c r="H206" s="85"/>
      <c r="I206" s="46"/>
      <c r="J206" s="46"/>
      <c r="K206" s="46"/>
      <c r="L206" s="46"/>
      <c r="M206" s="152"/>
      <c r="N206" s="46"/>
      <c r="O206" s="46"/>
      <c r="P206" s="46"/>
      <c r="Q206" s="46"/>
      <c r="R206" s="46"/>
      <c r="S206" s="83">
        <f t="shared" si="39"/>
        <v>0</v>
      </c>
      <c r="T206" s="280">
        <f>SUM(S206:S210)</f>
        <v>8180</v>
      </c>
    </row>
    <row r="207" spans="1:20" ht="15" customHeight="1" x14ac:dyDescent="0.25">
      <c r="A207" s="164" t="s">
        <v>265</v>
      </c>
      <c r="B207" s="184">
        <f>$J$2-(S216-F213)</f>
        <v>36550</v>
      </c>
      <c r="C207" s="275"/>
      <c r="D207" s="97" t="s">
        <v>152</v>
      </c>
      <c r="E207" s="97" t="s">
        <v>145</v>
      </c>
      <c r="F207" s="85"/>
      <c r="G207" s="46"/>
      <c r="H207" s="85"/>
      <c r="I207" s="46"/>
      <c r="J207" s="46"/>
      <c r="K207" s="46"/>
      <c r="L207" s="46"/>
      <c r="M207" s="152"/>
      <c r="N207" s="46"/>
      <c r="O207" s="89">
        <v>800</v>
      </c>
      <c r="P207" s="46"/>
      <c r="Q207" s="46"/>
      <c r="R207" s="46"/>
      <c r="S207" s="83">
        <f t="shared" si="39"/>
        <v>800</v>
      </c>
      <c r="T207" s="281"/>
    </row>
    <row r="208" spans="1:20" ht="15" customHeight="1" x14ac:dyDescent="0.25">
      <c r="C208" s="275"/>
      <c r="D208" s="97" t="s">
        <v>152</v>
      </c>
      <c r="E208" s="97" t="s">
        <v>146</v>
      </c>
      <c r="F208" s="86">
        <f>90+60+60</f>
        <v>210</v>
      </c>
      <c r="G208" s="46"/>
      <c r="H208" s="87"/>
      <c r="I208" s="46"/>
      <c r="J208" s="46"/>
      <c r="K208" s="46"/>
      <c r="L208" s="46"/>
      <c r="M208" s="152"/>
      <c r="N208" s="46"/>
      <c r="O208" s="89">
        <v>900</v>
      </c>
      <c r="P208" s="46"/>
      <c r="Q208" s="46"/>
      <c r="R208" s="46"/>
      <c r="S208" s="83">
        <f t="shared" si="39"/>
        <v>1110</v>
      </c>
      <c r="T208" s="281"/>
    </row>
    <row r="209" spans="1:20" ht="15" customHeight="1" x14ac:dyDescent="0.25">
      <c r="C209" s="275"/>
      <c r="D209" s="97" t="s">
        <v>152</v>
      </c>
      <c r="E209" s="97" t="s">
        <v>147</v>
      </c>
      <c r="F209" s="85">
        <f>90+60+60</f>
        <v>210</v>
      </c>
      <c r="G209" s="46"/>
      <c r="H209" s="87"/>
      <c r="I209" s="46"/>
      <c r="J209" s="46"/>
      <c r="K209" s="46"/>
      <c r="L209" s="46"/>
      <c r="M209" s="152"/>
      <c r="N209" s="46"/>
      <c r="O209" s="89">
        <v>300</v>
      </c>
      <c r="P209" s="46"/>
      <c r="Q209" s="46"/>
      <c r="R209" s="46"/>
      <c r="S209" s="83">
        <f t="shared" si="39"/>
        <v>510</v>
      </c>
      <c r="T209" s="281"/>
    </row>
    <row r="210" spans="1:20" ht="15" customHeight="1" x14ac:dyDescent="0.25">
      <c r="C210" s="275"/>
      <c r="D210" s="97" t="s">
        <v>152</v>
      </c>
      <c r="E210" s="97" t="s">
        <v>168</v>
      </c>
      <c r="F210" s="85">
        <v>760</v>
      </c>
      <c r="G210" s="46"/>
      <c r="H210" s="46"/>
      <c r="I210" s="46"/>
      <c r="J210" s="46"/>
      <c r="K210" s="46"/>
      <c r="L210" s="46"/>
      <c r="M210" s="152"/>
      <c r="N210" s="46"/>
      <c r="O210" s="86">
        <f>5000</f>
        <v>5000</v>
      </c>
      <c r="P210" s="46"/>
      <c r="Q210" s="46"/>
      <c r="R210" s="46"/>
      <c r="S210" s="83">
        <f t="shared" si="39"/>
        <v>5760</v>
      </c>
      <c r="T210" s="281"/>
    </row>
    <row r="211" spans="1:20" ht="15" customHeight="1" x14ac:dyDescent="0.25">
      <c r="C211" s="275"/>
      <c r="D211" s="98" t="s">
        <v>153</v>
      </c>
      <c r="E211" s="98" t="s">
        <v>170</v>
      </c>
      <c r="F211" s="81">
        <f>210+50+200+2280+390+600+1310+480+960+1250+120+400+2100</f>
        <v>10350</v>
      </c>
      <c r="G211" s="81"/>
      <c r="H211" s="81">
        <f>120+193+97</f>
        <v>410</v>
      </c>
      <c r="I211" s="81"/>
      <c r="J211" s="81"/>
      <c r="K211" s="81"/>
      <c r="L211" s="81">
        <v>14366</v>
      </c>
      <c r="M211" s="81"/>
      <c r="N211" s="81"/>
      <c r="O211" s="81">
        <f>700+500</f>
        <v>1200</v>
      </c>
      <c r="P211" s="81"/>
      <c r="Q211" s="81"/>
      <c r="R211" s="81"/>
      <c r="S211" s="81">
        <f t="shared" si="39"/>
        <v>26326</v>
      </c>
      <c r="T211" s="282">
        <f>SUM(S211:S215)</f>
        <v>49015</v>
      </c>
    </row>
    <row r="212" spans="1:20" ht="15" customHeight="1" x14ac:dyDescent="0.25">
      <c r="C212" s="275"/>
      <c r="D212" s="99" t="s">
        <v>153</v>
      </c>
      <c r="E212" s="99" t="s">
        <v>171</v>
      </c>
      <c r="F212" s="82"/>
      <c r="G212" s="82"/>
      <c r="H212" s="82">
        <f>2793+779</f>
        <v>3572</v>
      </c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>
        <f t="shared" si="39"/>
        <v>3572</v>
      </c>
      <c r="T212" s="283"/>
    </row>
    <row r="213" spans="1:20" ht="15" customHeight="1" x14ac:dyDescent="0.25">
      <c r="C213" s="275"/>
      <c r="D213" s="99" t="s">
        <v>153</v>
      </c>
      <c r="E213" s="99" t="s">
        <v>172</v>
      </c>
      <c r="F213" s="82"/>
      <c r="G213" s="82"/>
      <c r="H213" s="82">
        <f>3384+1954</f>
        <v>5338</v>
      </c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>
        <f t="shared" si="39"/>
        <v>5338</v>
      </c>
      <c r="T213" s="283"/>
    </row>
    <row r="214" spans="1:20" s="41" customFormat="1" ht="15" customHeight="1" x14ac:dyDescent="0.25">
      <c r="A214" s="45"/>
      <c r="B214" s="45"/>
      <c r="C214" s="276"/>
      <c r="D214" s="99" t="s">
        <v>153</v>
      </c>
      <c r="E214" s="99" t="s">
        <v>173</v>
      </c>
      <c r="F214" s="82"/>
      <c r="G214" s="82"/>
      <c r="H214" s="82">
        <f>5861</f>
        <v>5861</v>
      </c>
      <c r="I214" s="82"/>
      <c r="J214" s="82"/>
      <c r="K214" s="82"/>
      <c r="L214" s="82"/>
      <c r="M214" s="82">
        <f>2959*2</f>
        <v>5918</v>
      </c>
      <c r="N214" s="82"/>
      <c r="O214" s="82"/>
      <c r="P214" s="82"/>
      <c r="Q214" s="82"/>
      <c r="R214" s="82"/>
      <c r="S214" s="82">
        <f t="shared" si="39"/>
        <v>11779</v>
      </c>
      <c r="T214" s="283"/>
    </row>
    <row r="215" spans="1:20" ht="15.75" customHeight="1" thickBot="1" x14ac:dyDescent="0.3">
      <c r="A215" s="41"/>
      <c r="B215" s="41"/>
      <c r="C215" s="276"/>
      <c r="D215" s="100" t="s">
        <v>153</v>
      </c>
      <c r="E215" s="100" t="s">
        <v>168</v>
      </c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>
        <v>2000</v>
      </c>
      <c r="R215" s="48"/>
      <c r="S215" s="48">
        <f t="shared" si="39"/>
        <v>2000</v>
      </c>
      <c r="T215" s="283"/>
    </row>
    <row r="216" spans="1:20" ht="15" customHeight="1" x14ac:dyDescent="0.25">
      <c r="D216" s="101" t="s">
        <v>120</v>
      </c>
      <c r="E216" s="101" t="s">
        <v>120</v>
      </c>
      <c r="F216" s="64">
        <f>SUM(F199:F215)</f>
        <v>42816</v>
      </c>
      <c r="G216" s="64">
        <f>SUM(G199:G215)</f>
        <v>0</v>
      </c>
      <c r="H216" s="64">
        <f>SUM(H199:H215)</f>
        <v>23784</v>
      </c>
      <c r="I216" s="64">
        <f t="shared" ref="I216:P216" si="40">SUM(I199:I215)</f>
        <v>2270</v>
      </c>
      <c r="J216" s="64">
        <f t="shared" si="40"/>
        <v>58</v>
      </c>
      <c r="K216" s="64">
        <f t="shared" si="40"/>
        <v>0</v>
      </c>
      <c r="L216" s="64">
        <f t="shared" si="40"/>
        <v>14866</v>
      </c>
      <c r="M216" s="64">
        <f t="shared" si="40"/>
        <v>11387</v>
      </c>
      <c r="N216" s="64">
        <f t="shared" si="40"/>
        <v>0</v>
      </c>
      <c r="O216" s="64">
        <f t="shared" si="40"/>
        <v>10714</v>
      </c>
      <c r="P216" s="64">
        <f t="shared" si="40"/>
        <v>0</v>
      </c>
      <c r="Q216" s="64">
        <f>SUM(Q199:Q215)</f>
        <v>17555</v>
      </c>
      <c r="R216" s="64">
        <f>SUM(R199:R215)</f>
        <v>0</v>
      </c>
      <c r="S216" s="54">
        <f>SUM(S199:S215)</f>
        <v>123450</v>
      </c>
    </row>
    <row r="217" spans="1:20" ht="15.75" customHeight="1" thickBot="1" x14ac:dyDescent="0.3"/>
    <row r="218" spans="1:20" ht="17.25" x14ac:dyDescent="0.25">
      <c r="A218" s="166" t="s">
        <v>188</v>
      </c>
      <c r="B218" s="167">
        <f>C218</f>
        <v>202312</v>
      </c>
      <c r="C218" s="275">
        <v>202312</v>
      </c>
      <c r="D218" s="94" t="s">
        <v>151</v>
      </c>
      <c r="E218" s="177" t="s">
        <v>252</v>
      </c>
      <c r="F218" s="60">
        <f>385+184+18+50+2448+380+150+100+30+350+55+700+75+130+90+62+80+275+35</f>
        <v>5597</v>
      </c>
      <c r="G218" s="59"/>
      <c r="H218" s="59">
        <f>18+100+270+120+239+104+280+323+50+63+0+376+654+140+726+36+90+542-271+49+653+13+18+218+66+25+145+50+582+120+36+90+393+425+80</f>
        <v>6823</v>
      </c>
      <c r="I218" s="60">
        <v>151</v>
      </c>
      <c r="J218" s="59"/>
      <c r="K218" s="60"/>
      <c r="L218" s="60"/>
      <c r="M218" s="60">
        <f>780+707+260</f>
        <v>1747</v>
      </c>
      <c r="N218" s="60"/>
      <c r="O218" s="60">
        <f>75+638</f>
        <v>713</v>
      </c>
      <c r="P218" s="60"/>
      <c r="Q218" s="60">
        <f>2000+2000+2000+2000</f>
        <v>8000</v>
      </c>
      <c r="R218" s="60"/>
      <c r="S218" s="44">
        <f t="shared" ref="S218:S234" si="41">SUM(F218:R218)</f>
        <v>23031</v>
      </c>
      <c r="T218" s="277">
        <f>SUM(S218:S224)</f>
        <v>66375</v>
      </c>
    </row>
    <row r="219" spans="1:20" ht="15" customHeight="1" thickBot="1" x14ac:dyDescent="0.3">
      <c r="A219" s="164" t="s">
        <v>247</v>
      </c>
      <c r="B219" s="162">
        <f>$J$2</f>
        <v>160000</v>
      </c>
      <c r="C219" s="275"/>
      <c r="D219" s="95" t="s">
        <v>151</v>
      </c>
      <c r="E219" s="176" t="s">
        <v>253</v>
      </c>
      <c r="F219" s="79"/>
      <c r="G219" s="78"/>
      <c r="H219" s="78"/>
      <c r="I219" s="79"/>
      <c r="J219" s="78"/>
      <c r="K219" s="79"/>
      <c r="L219" s="79"/>
      <c r="M219" s="79"/>
      <c r="N219" s="79"/>
      <c r="O219" s="79"/>
      <c r="P219" s="79"/>
      <c r="Q219" s="79"/>
      <c r="R219" s="79"/>
      <c r="S219" s="80">
        <f t="shared" si="41"/>
        <v>0</v>
      </c>
      <c r="T219" s="278"/>
    </row>
    <row r="220" spans="1:20" ht="15" customHeight="1" thickTop="1" x14ac:dyDescent="0.25">
      <c r="A220" s="165" t="s">
        <v>237</v>
      </c>
      <c r="B220" s="182">
        <f>SUMPRODUCT((($V$10:$V$21)&lt;=VALUE(B218))*($Z$10:$Z$21))</f>
        <v>2306205.5099999998</v>
      </c>
      <c r="C220" s="275"/>
      <c r="D220" s="95" t="s">
        <v>151</v>
      </c>
      <c r="E220" s="176" t="s">
        <v>254</v>
      </c>
      <c r="F220" s="79">
        <v>3028</v>
      </c>
      <c r="G220" s="78"/>
      <c r="H220" s="78">
        <f>280+599+603+1091+1756</f>
        <v>4329</v>
      </c>
      <c r="I220" s="79"/>
      <c r="J220" s="78"/>
      <c r="K220" s="79"/>
      <c r="L220" s="79"/>
      <c r="M220" s="79"/>
      <c r="N220" s="79"/>
      <c r="O220" s="79"/>
      <c r="P220" s="79"/>
      <c r="Q220" s="79">
        <f>10500-7000+445</f>
        <v>3945</v>
      </c>
      <c r="R220" s="79"/>
      <c r="S220" s="80">
        <f t="shared" si="41"/>
        <v>11302</v>
      </c>
      <c r="T220" s="278"/>
    </row>
    <row r="221" spans="1:20" ht="15" customHeight="1" x14ac:dyDescent="0.25">
      <c r="A221" s="165" t="s">
        <v>264</v>
      </c>
      <c r="B221" s="181">
        <f>B220/SUMPRODUCT(('2023'!$V$10:$V$21&lt;='2023'!B218)*'2022'!$Z$10:$Z$21)</f>
        <v>1.2019575203730843</v>
      </c>
      <c r="C221" s="275"/>
      <c r="D221" s="95" t="s">
        <v>151</v>
      </c>
      <c r="E221" s="176" t="s">
        <v>255</v>
      </c>
      <c r="F221" s="79">
        <f>20+100+30+100+100+100+100</f>
        <v>550</v>
      </c>
      <c r="G221" s="78"/>
      <c r="H221" s="78"/>
      <c r="I221" s="79"/>
      <c r="J221" s="78"/>
      <c r="K221" s="79"/>
      <c r="L221" s="79"/>
      <c r="M221" s="79">
        <v>1450</v>
      </c>
      <c r="N221" s="79"/>
      <c r="O221" s="79"/>
      <c r="P221" s="79"/>
      <c r="Q221" s="79"/>
      <c r="R221" s="79"/>
      <c r="S221" s="80">
        <f t="shared" si="41"/>
        <v>2000</v>
      </c>
      <c r="T221" s="278"/>
    </row>
    <row r="222" spans="1:20" ht="15" customHeight="1" x14ac:dyDescent="0.25">
      <c r="A222" s="165" t="s">
        <v>236</v>
      </c>
      <c r="B222" s="186">
        <f>B220-$K$2</f>
        <v>2056203.5099999998</v>
      </c>
      <c r="C222" s="275"/>
      <c r="D222" s="96" t="s">
        <v>151</v>
      </c>
      <c r="E222" s="176" t="s">
        <v>256</v>
      </c>
      <c r="F222" s="79">
        <f>11000+4500+5000</f>
        <v>20500</v>
      </c>
      <c r="G222" s="78"/>
      <c r="H222" s="78"/>
      <c r="I222" s="78"/>
      <c r="J222" s="78"/>
      <c r="K222" s="79"/>
      <c r="L222" s="79"/>
      <c r="M222" s="79">
        <v>75</v>
      </c>
      <c r="N222" s="79"/>
      <c r="O222" s="79"/>
      <c r="P222" s="79"/>
      <c r="Q222" s="79"/>
      <c r="R222" s="79"/>
      <c r="S222" s="80">
        <f t="shared" si="41"/>
        <v>20575</v>
      </c>
      <c r="T222" s="278"/>
    </row>
    <row r="223" spans="1:20" ht="15" customHeight="1" x14ac:dyDescent="0.25">
      <c r="A223" s="164" t="s">
        <v>242</v>
      </c>
      <c r="B223" s="157">
        <f>B222/($J$2*12)</f>
        <v>1.0709393281249999</v>
      </c>
      <c r="C223" s="275"/>
      <c r="D223" s="95" t="s">
        <v>151</v>
      </c>
      <c r="E223" s="176" t="s">
        <v>257</v>
      </c>
      <c r="F223" s="79">
        <f>5867+1350+1800</f>
        <v>9017</v>
      </c>
      <c r="G223" s="78"/>
      <c r="H223" s="78"/>
      <c r="I223" s="79"/>
      <c r="J223" s="78"/>
      <c r="K223" s="79"/>
      <c r="L223" s="79"/>
      <c r="M223" s="79"/>
      <c r="N223" s="79"/>
      <c r="O223" s="79"/>
      <c r="P223" s="79"/>
      <c r="Q223" s="79"/>
      <c r="R223" s="79"/>
      <c r="S223" s="80">
        <f t="shared" si="41"/>
        <v>9017</v>
      </c>
      <c r="T223" s="278"/>
    </row>
    <row r="224" spans="1:20" ht="15" customHeight="1" x14ac:dyDescent="0.25">
      <c r="A224" s="164" t="s">
        <v>241</v>
      </c>
      <c r="B224" s="126">
        <f>VALUE(RIGHT(B218,2))/12</f>
        <v>1</v>
      </c>
      <c r="C224" s="275"/>
      <c r="D224" s="95" t="s">
        <v>151</v>
      </c>
      <c r="E224" s="176" t="s">
        <v>263</v>
      </c>
      <c r="F224" s="78"/>
      <c r="G224" s="78"/>
      <c r="H224" s="78">
        <v>450</v>
      </c>
      <c r="I224" s="79"/>
      <c r="J224" s="78"/>
      <c r="K224" s="79"/>
      <c r="L224" s="79"/>
      <c r="M224" s="79"/>
      <c r="N224" s="79"/>
      <c r="O224" s="79"/>
      <c r="P224" s="79"/>
      <c r="Q224" s="79"/>
      <c r="R224" s="79"/>
      <c r="S224" s="80">
        <f t="shared" si="41"/>
        <v>450</v>
      </c>
      <c r="T224" s="279"/>
    </row>
    <row r="225" spans="1:20" ht="15" customHeight="1" x14ac:dyDescent="0.25">
      <c r="A225" s="164" t="s">
        <v>243</v>
      </c>
      <c r="B225" s="161">
        <f>B219*VALUE(RIGHT(B218,2))-B222</f>
        <v>-136203.50999999978</v>
      </c>
      <c r="C225" s="275"/>
      <c r="D225" s="97" t="s">
        <v>152</v>
      </c>
      <c r="E225" s="97" t="s">
        <v>144</v>
      </c>
      <c r="F225" s="85"/>
      <c r="G225" s="46"/>
      <c r="H225" s="85"/>
      <c r="I225" s="46"/>
      <c r="J225" s="46"/>
      <c r="K225" s="46"/>
      <c r="L225" s="46"/>
      <c r="M225" s="152">
        <v>637</v>
      </c>
      <c r="N225" s="46"/>
      <c r="O225" s="46"/>
      <c r="P225" s="46"/>
      <c r="Q225" s="85">
        <v>2360</v>
      </c>
      <c r="R225" s="46"/>
      <c r="S225" s="83">
        <f t="shared" si="41"/>
        <v>2997</v>
      </c>
      <c r="T225" s="280">
        <f>SUM(S225:S229)</f>
        <v>10826</v>
      </c>
    </row>
    <row r="226" spans="1:20" ht="15" customHeight="1" x14ac:dyDescent="0.25">
      <c r="A226" s="164" t="s">
        <v>265</v>
      </c>
      <c r="B226" s="184">
        <f>$J$2-(S235-F232)</f>
        <v>68526</v>
      </c>
      <c r="C226" s="275"/>
      <c r="D226" s="97" t="s">
        <v>152</v>
      </c>
      <c r="E226" s="97" t="s">
        <v>145</v>
      </c>
      <c r="F226" s="85"/>
      <c r="G226" s="46"/>
      <c r="H226" s="85"/>
      <c r="I226" s="46"/>
      <c r="J226" s="46"/>
      <c r="K226" s="46"/>
      <c r="L226" s="46"/>
      <c r="M226" s="152"/>
      <c r="N226" s="46"/>
      <c r="O226" s="85">
        <v>1290</v>
      </c>
      <c r="P226" s="46"/>
      <c r="Q226" s="46"/>
      <c r="R226" s="46"/>
      <c r="S226" s="83">
        <f t="shared" si="41"/>
        <v>1290</v>
      </c>
      <c r="T226" s="281"/>
    </row>
    <row r="227" spans="1:20" ht="15" customHeight="1" x14ac:dyDescent="0.25">
      <c r="C227" s="275"/>
      <c r="D227" s="97" t="s">
        <v>152</v>
      </c>
      <c r="E227" s="97" t="s">
        <v>146</v>
      </c>
      <c r="F227" s="86">
        <v>60</v>
      </c>
      <c r="G227" s="46"/>
      <c r="H227" s="87"/>
      <c r="I227" s="46"/>
      <c r="J227" s="46"/>
      <c r="K227" s="46"/>
      <c r="L227" s="46"/>
      <c r="M227" s="152"/>
      <c r="N227" s="46"/>
      <c r="O227" s="46"/>
      <c r="P227" s="46"/>
      <c r="Q227" s="46"/>
      <c r="R227" s="46"/>
      <c r="S227" s="83">
        <f t="shared" si="41"/>
        <v>60</v>
      </c>
      <c r="T227" s="281"/>
    </row>
    <row r="228" spans="1:20" ht="15" customHeight="1" x14ac:dyDescent="0.25">
      <c r="C228" s="275"/>
      <c r="D228" s="97" t="s">
        <v>152</v>
      </c>
      <c r="E228" s="97" t="s">
        <v>147</v>
      </c>
      <c r="F228" s="85">
        <f>60+699</f>
        <v>759</v>
      </c>
      <c r="G228" s="46"/>
      <c r="H228" s="87"/>
      <c r="I228" s="46"/>
      <c r="J228" s="46"/>
      <c r="K228" s="46"/>
      <c r="L228" s="46"/>
      <c r="M228" s="152"/>
      <c r="N228" s="46"/>
      <c r="O228" s="46"/>
      <c r="P228" s="46"/>
      <c r="Q228" s="46"/>
      <c r="R228" s="46"/>
      <c r="S228" s="83">
        <f t="shared" si="41"/>
        <v>759</v>
      </c>
      <c r="T228" s="281"/>
    </row>
    <row r="229" spans="1:20" ht="15" customHeight="1" x14ac:dyDescent="0.25">
      <c r="C229" s="275"/>
      <c r="D229" s="97" t="s">
        <v>152</v>
      </c>
      <c r="E229" s="97" t="s">
        <v>168</v>
      </c>
      <c r="F229" s="85">
        <v>720</v>
      </c>
      <c r="G229" s="46"/>
      <c r="H229" s="46"/>
      <c r="I229" s="46"/>
      <c r="J229" s="46"/>
      <c r="K229" s="46"/>
      <c r="L229" s="46"/>
      <c r="M229" s="152"/>
      <c r="N229" s="46"/>
      <c r="O229" s="86">
        <f>5000</f>
        <v>5000</v>
      </c>
      <c r="P229" s="46"/>
      <c r="Q229" s="46"/>
      <c r="R229" s="46"/>
      <c r="S229" s="83">
        <f t="shared" si="41"/>
        <v>5720</v>
      </c>
      <c r="T229" s="281"/>
    </row>
    <row r="230" spans="1:20" ht="15" customHeight="1" x14ac:dyDescent="0.25">
      <c r="C230" s="275"/>
      <c r="D230" s="98" t="s">
        <v>153</v>
      </c>
      <c r="E230" s="98" t="s">
        <v>170</v>
      </c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>
        <f t="shared" si="41"/>
        <v>0</v>
      </c>
      <c r="T230" s="282">
        <f>SUM(S230:S234)</f>
        <v>16020</v>
      </c>
    </row>
    <row r="231" spans="1:20" ht="15" customHeight="1" x14ac:dyDescent="0.25">
      <c r="C231" s="275"/>
      <c r="D231" s="99" t="s">
        <v>153</v>
      </c>
      <c r="E231" s="99" t="s">
        <v>171</v>
      </c>
      <c r="F231" s="82">
        <v>440</v>
      </c>
      <c r="G231" s="82"/>
      <c r="H231" s="82"/>
      <c r="I231" s="82"/>
      <c r="J231" s="82"/>
      <c r="K231" s="82"/>
      <c r="L231" s="82"/>
      <c r="M231" s="82">
        <v>1221</v>
      </c>
      <c r="N231" s="82"/>
      <c r="O231" s="82"/>
      <c r="P231" s="82"/>
      <c r="Q231" s="82"/>
      <c r="R231" s="82"/>
      <c r="S231" s="82">
        <f t="shared" si="41"/>
        <v>1661</v>
      </c>
      <c r="T231" s="283"/>
    </row>
    <row r="232" spans="1:20" ht="15" customHeight="1" x14ac:dyDescent="0.25">
      <c r="C232" s="275"/>
      <c r="D232" s="99" t="s">
        <v>153</v>
      </c>
      <c r="E232" s="99" t="s">
        <v>172</v>
      </c>
      <c r="F232" s="82">
        <v>1747</v>
      </c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>
        <f t="shared" si="41"/>
        <v>1747</v>
      </c>
      <c r="T232" s="283"/>
    </row>
    <row r="233" spans="1:20" s="41" customFormat="1" ht="15" customHeight="1" x14ac:dyDescent="0.25">
      <c r="A233" s="45"/>
      <c r="B233" s="45"/>
      <c r="C233" s="276"/>
      <c r="D233" s="99" t="s">
        <v>153</v>
      </c>
      <c r="E233" s="99" t="s">
        <v>173</v>
      </c>
      <c r="F233" s="82"/>
      <c r="G233" s="82"/>
      <c r="H233" s="82">
        <v>5859</v>
      </c>
      <c r="I233" s="82"/>
      <c r="J233" s="82"/>
      <c r="K233" s="82"/>
      <c r="L233" s="82"/>
      <c r="M233" s="82"/>
      <c r="N233" s="82"/>
      <c r="O233" s="82"/>
      <c r="P233" s="82"/>
      <c r="Q233" s="82">
        <v>6753</v>
      </c>
      <c r="R233" s="82"/>
      <c r="S233" s="82">
        <f t="shared" si="41"/>
        <v>12612</v>
      </c>
      <c r="T233" s="283"/>
    </row>
    <row r="234" spans="1:20" ht="15.75" customHeight="1" thickBot="1" x14ac:dyDescent="0.3">
      <c r="A234" s="41"/>
      <c r="B234" s="41"/>
      <c r="C234" s="276"/>
      <c r="D234" s="100" t="s">
        <v>153</v>
      </c>
      <c r="E234" s="100" t="s">
        <v>168</v>
      </c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>
        <f t="shared" si="41"/>
        <v>0</v>
      </c>
      <c r="T234" s="283"/>
    </row>
    <row r="235" spans="1:20" ht="15" customHeight="1" x14ac:dyDescent="0.25">
      <c r="D235" s="101" t="s">
        <v>120</v>
      </c>
      <c r="E235" s="101" t="s">
        <v>120</v>
      </c>
      <c r="F235" s="64">
        <f>SUM(F218:F234)</f>
        <v>42418</v>
      </c>
      <c r="G235" s="64">
        <f>SUM(G218:G234)</f>
        <v>0</v>
      </c>
      <c r="H235" s="64">
        <f>SUM(H218:H234)</f>
        <v>17461</v>
      </c>
      <c r="I235" s="64">
        <f t="shared" ref="I235:P235" si="42">SUM(I218:I234)</f>
        <v>151</v>
      </c>
      <c r="J235" s="64">
        <f t="shared" si="42"/>
        <v>0</v>
      </c>
      <c r="K235" s="64">
        <f t="shared" si="42"/>
        <v>0</v>
      </c>
      <c r="L235" s="64">
        <f t="shared" si="42"/>
        <v>0</v>
      </c>
      <c r="M235" s="64">
        <f t="shared" si="42"/>
        <v>5130</v>
      </c>
      <c r="N235" s="64">
        <f t="shared" si="42"/>
        <v>0</v>
      </c>
      <c r="O235" s="64">
        <f t="shared" si="42"/>
        <v>7003</v>
      </c>
      <c r="P235" s="64">
        <f t="shared" si="42"/>
        <v>0</v>
      </c>
      <c r="Q235" s="64">
        <f>SUM(Q218:Q234)</f>
        <v>21058</v>
      </c>
      <c r="R235" s="64">
        <f>SUM(R218:R234)</f>
        <v>0</v>
      </c>
      <c r="S235" s="54">
        <f>SUM(S218:S234)</f>
        <v>93221</v>
      </c>
    </row>
    <row r="240" spans="1:20" x14ac:dyDescent="0.25">
      <c r="E240" s="129">
        <f>SUM(G240:P240)</f>
        <v>0.25016077170418005</v>
      </c>
      <c r="F240" s="130" t="s">
        <v>223</v>
      </c>
      <c r="G240" s="131">
        <f t="shared" ref="G240:M240" si="43">G242/$E$243</f>
        <v>6.4308681672025723E-3</v>
      </c>
      <c r="H240" s="131">
        <f t="shared" si="43"/>
        <v>2.3579849946409433E-2</v>
      </c>
      <c r="I240" s="131">
        <f t="shared" si="43"/>
        <v>1.5005359056806002E-2</v>
      </c>
      <c r="J240" s="131">
        <f t="shared" si="43"/>
        <v>5.5091103965702035E-2</v>
      </c>
      <c r="K240" s="131">
        <f t="shared" si="43"/>
        <v>5.0160771704180061E-2</v>
      </c>
      <c r="L240" s="131">
        <f t="shared" si="43"/>
        <v>4.9946409431939981E-2</v>
      </c>
      <c r="M240" s="131">
        <f t="shared" si="43"/>
        <v>4.9946409431939981E-2</v>
      </c>
      <c r="N240" s="143"/>
      <c r="O240" s="143"/>
    </row>
    <row r="241" spans="5:15" ht="16.5" x14ac:dyDescent="0.25">
      <c r="F241" s="132" t="s">
        <v>97</v>
      </c>
      <c r="G241" s="133">
        <v>44478</v>
      </c>
      <c r="H241" s="133">
        <v>44482</v>
      </c>
      <c r="I241" s="133">
        <v>44487</v>
      </c>
      <c r="J241" s="133">
        <v>44501</v>
      </c>
      <c r="K241" s="133">
        <v>44526</v>
      </c>
      <c r="L241" s="133">
        <v>44725</v>
      </c>
      <c r="M241" s="133">
        <v>45056</v>
      </c>
      <c r="N241" s="133">
        <v>45556</v>
      </c>
      <c r="O241" s="133"/>
    </row>
    <row r="242" spans="5:15" ht="16.5" x14ac:dyDescent="0.25">
      <c r="E242" s="128">
        <f>SUM(G242:P242)</f>
        <v>11670000</v>
      </c>
      <c r="F242" s="132" t="s">
        <v>96</v>
      </c>
      <c r="G242" s="134">
        <v>300000</v>
      </c>
      <c r="H242" s="134">
        <v>1100000</v>
      </c>
      <c r="I242" s="134">
        <v>700000</v>
      </c>
      <c r="J242" s="134">
        <v>2570000</v>
      </c>
      <c r="K242" s="134">
        <v>2340000</v>
      </c>
      <c r="L242" s="134">
        <v>2330000</v>
      </c>
      <c r="M242" s="134">
        <v>2330000</v>
      </c>
      <c r="N242" s="143"/>
      <c r="O242" s="143"/>
    </row>
    <row r="243" spans="5:15" ht="19.5" x14ac:dyDescent="0.25">
      <c r="E243" s="127">
        <v>46650000</v>
      </c>
      <c r="F243" s="132" t="s">
        <v>57</v>
      </c>
      <c r="G243" s="132" t="s">
        <v>218</v>
      </c>
      <c r="H243" s="132" t="s">
        <v>218</v>
      </c>
      <c r="I243" s="132" t="s">
        <v>219</v>
      </c>
      <c r="J243" s="132" t="s">
        <v>219</v>
      </c>
      <c r="K243" s="132" t="s">
        <v>225</v>
      </c>
      <c r="L243" s="132" t="s">
        <v>226</v>
      </c>
      <c r="M243" s="132" t="s">
        <v>227</v>
      </c>
      <c r="N243" s="132" t="s">
        <v>228</v>
      </c>
      <c r="O243" s="130" t="s">
        <v>229</v>
      </c>
    </row>
  </sheetData>
  <mergeCells count="56">
    <mergeCell ref="AE6:AK6"/>
    <mergeCell ref="AL6:AP6"/>
    <mergeCell ref="AQ6:AU6"/>
    <mergeCell ref="C9:C25"/>
    <mergeCell ref="T9:T15"/>
    <mergeCell ref="T16:T20"/>
    <mergeCell ref="T21:T25"/>
    <mergeCell ref="AQ7:AU7"/>
    <mergeCell ref="AI8:AJ8"/>
    <mergeCell ref="AF8:AH8"/>
    <mergeCell ref="AE7:AK7"/>
    <mergeCell ref="AL7:AP7"/>
    <mergeCell ref="C28:C44"/>
    <mergeCell ref="T28:T34"/>
    <mergeCell ref="T35:T39"/>
    <mergeCell ref="T40:T44"/>
    <mergeCell ref="C47:C63"/>
    <mergeCell ref="T47:T53"/>
    <mergeCell ref="T54:T58"/>
    <mergeCell ref="T59:T63"/>
    <mergeCell ref="C66:C82"/>
    <mergeCell ref="T66:T72"/>
    <mergeCell ref="T73:T77"/>
    <mergeCell ref="T78:T82"/>
    <mergeCell ref="C85:C101"/>
    <mergeCell ref="T85:T91"/>
    <mergeCell ref="T92:T96"/>
    <mergeCell ref="T97:T101"/>
    <mergeCell ref="C104:C120"/>
    <mergeCell ref="T104:T110"/>
    <mergeCell ref="T111:T115"/>
    <mergeCell ref="T116:T120"/>
    <mergeCell ref="C123:C139"/>
    <mergeCell ref="T123:T129"/>
    <mergeCell ref="T130:T134"/>
    <mergeCell ref="T135:T139"/>
    <mergeCell ref="C142:C158"/>
    <mergeCell ref="T142:T148"/>
    <mergeCell ref="T149:T153"/>
    <mergeCell ref="T154:T158"/>
    <mergeCell ref="C161:C177"/>
    <mergeCell ref="T161:T167"/>
    <mergeCell ref="T168:T172"/>
    <mergeCell ref="T173:T177"/>
    <mergeCell ref="C218:C234"/>
    <mergeCell ref="T218:T224"/>
    <mergeCell ref="T225:T229"/>
    <mergeCell ref="T230:T234"/>
    <mergeCell ref="C180:C196"/>
    <mergeCell ref="T180:T186"/>
    <mergeCell ref="T187:T191"/>
    <mergeCell ref="T192:T196"/>
    <mergeCell ref="C199:C215"/>
    <mergeCell ref="T199:T205"/>
    <mergeCell ref="T206:T210"/>
    <mergeCell ref="T211:T215"/>
  </mergeCells>
  <phoneticPr fontId="1" type="noConversion"/>
  <conditionalFormatting sqref="J6:R6 F6:H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K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:AP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:AU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8">
    <cfRule type="expression" dxfId="59" priority="14">
      <formula>$B$88&gt;1</formula>
    </cfRule>
  </conditionalFormatting>
  <conditionalFormatting sqref="B69">
    <cfRule type="expression" dxfId="58" priority="12">
      <formula>$B$88&gt;1</formula>
    </cfRule>
  </conditionalFormatting>
  <conditionalFormatting sqref="B12">
    <cfRule type="expression" dxfId="57" priority="11">
      <formula>$B$88&gt;1</formula>
    </cfRule>
  </conditionalFormatting>
  <conditionalFormatting sqref="B31">
    <cfRule type="expression" dxfId="56" priority="10">
      <formula>$B$88&gt;1</formula>
    </cfRule>
  </conditionalFormatting>
  <conditionalFormatting sqref="B50">
    <cfRule type="expression" dxfId="55" priority="9">
      <formula>$B$88&gt;1</formula>
    </cfRule>
  </conditionalFormatting>
  <conditionalFormatting sqref="B107">
    <cfRule type="expression" dxfId="54" priority="8">
      <formula>$B$88&gt;1</formula>
    </cfRule>
  </conditionalFormatting>
  <conditionalFormatting sqref="B126">
    <cfRule type="expression" dxfId="53" priority="7">
      <formula>$B$88&gt;1</formula>
    </cfRule>
  </conditionalFormatting>
  <conditionalFormatting sqref="B145">
    <cfRule type="expression" dxfId="52" priority="6">
      <formula>$B$88&gt;1</formula>
    </cfRule>
  </conditionalFormatting>
  <conditionalFormatting sqref="B221">
    <cfRule type="expression" dxfId="51" priority="1">
      <formula>$B$88&gt;1</formula>
    </cfRule>
  </conditionalFormatting>
  <conditionalFormatting sqref="B164">
    <cfRule type="expression" dxfId="50" priority="4">
      <formula>$B$88&gt;1</formula>
    </cfRule>
  </conditionalFormatting>
  <conditionalFormatting sqref="B183">
    <cfRule type="expression" dxfId="49" priority="3">
      <formula>$B$88&gt;1</formula>
    </cfRule>
  </conditionalFormatting>
  <conditionalFormatting sqref="B202">
    <cfRule type="expression" dxfId="48" priority="2">
      <formula>$B$88&gt;1</formula>
    </cfRule>
  </conditionalFormatting>
  <pageMargins left="0.7" right="0.7" top="0.75" bottom="0.75" header="0.3" footer="0.3"/>
  <pageSetup paperSize="9" scale="65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10">
    <tabColor rgb="FFFF0000"/>
  </sheetPr>
  <dimension ref="A1:AV243"/>
  <sheetViews>
    <sheetView zoomScale="85" zoomScaleNormal="85" workbookViewId="0">
      <pane ySplit="8" topLeftCell="A194" activePane="bottomLeft" state="frozen"/>
      <selection pane="bottomLeft" activeCell="I201" sqref="I201"/>
    </sheetView>
  </sheetViews>
  <sheetFormatPr defaultColWidth="9" defaultRowHeight="15" x14ac:dyDescent="0.25"/>
  <cols>
    <col min="1" max="1" width="26" style="45" customWidth="1"/>
    <col min="2" max="2" width="16.5" style="45" bestFit="1" customWidth="1"/>
    <col min="3" max="3" width="11" style="45" customWidth="1"/>
    <col min="4" max="4" width="13.625" style="92" bestFit="1" customWidth="1"/>
    <col min="5" max="5" width="18" style="92" bestFit="1" customWidth="1"/>
    <col min="6" max="6" width="16.125" style="45" bestFit="1" customWidth="1"/>
    <col min="7" max="7" width="17.375" style="45" bestFit="1" customWidth="1"/>
    <col min="8" max="8" width="12.625" style="45" bestFit="1" customWidth="1"/>
    <col min="9" max="9" width="15.125" style="45" bestFit="1" customWidth="1"/>
    <col min="10" max="10" width="13.375" style="45" bestFit="1" customWidth="1"/>
    <col min="11" max="11" width="16.125" style="45" bestFit="1" customWidth="1"/>
    <col min="12" max="12" width="20.125" style="45" customWidth="1"/>
    <col min="13" max="13" width="18.375" style="45" bestFit="1" customWidth="1"/>
    <col min="14" max="14" width="16.125" style="45" bestFit="1" customWidth="1"/>
    <col min="15" max="15" width="17.5" style="45" bestFit="1" customWidth="1"/>
    <col min="16" max="16" width="16.125" style="45" bestFit="1" customWidth="1"/>
    <col min="17" max="18" width="15" style="45" customWidth="1"/>
    <col min="19" max="19" width="13.5" style="45" bestFit="1" customWidth="1"/>
    <col min="20" max="20" width="12.625" style="45" bestFit="1" customWidth="1"/>
    <col min="21" max="21" width="9.625" style="45" bestFit="1" customWidth="1"/>
    <col min="22" max="22" width="10.875" style="45" bestFit="1" customWidth="1"/>
    <col min="23" max="23" width="12.125" style="45" bestFit="1" customWidth="1"/>
    <col min="24" max="24" width="13.75" style="45" bestFit="1" customWidth="1"/>
    <col min="25" max="25" width="14.25" style="45" bestFit="1" customWidth="1"/>
    <col min="26" max="26" width="13" style="45" bestFit="1" customWidth="1"/>
    <col min="27" max="27" width="12.625" style="45" customWidth="1"/>
    <col min="28" max="29" width="9" style="45"/>
    <col min="30" max="30" width="13" style="45" bestFit="1" customWidth="1"/>
    <col min="31" max="33" width="10.875" style="45" bestFit="1" customWidth="1"/>
    <col min="34" max="34" width="9" style="45" bestFit="1" customWidth="1"/>
    <col min="35" max="42" width="11" style="45" bestFit="1" customWidth="1"/>
    <col min="43" max="43" width="10.875" style="45" bestFit="1" customWidth="1"/>
    <col min="44" max="44" width="11" style="45" bestFit="1" customWidth="1"/>
    <col min="45" max="45" width="14.375" style="45" bestFit="1" customWidth="1"/>
    <col min="46" max="46" width="9.75" style="45" bestFit="1" customWidth="1"/>
    <col min="47" max="47" width="11" style="45" bestFit="1" customWidth="1"/>
    <col min="48" max="48" width="10.875" style="45" bestFit="1" customWidth="1"/>
    <col min="49" max="16384" width="9" style="45"/>
  </cols>
  <sheetData>
    <row r="1" spans="1:48" ht="16.5" x14ac:dyDescent="0.25">
      <c r="A1" s="55" t="s">
        <v>119</v>
      </c>
      <c r="B1" s="51">
        <f>SUMIF(D:D,A1,S:S)</f>
        <v>1054473</v>
      </c>
      <c r="C1" s="57">
        <f>B1/$B$4</f>
        <v>0.5362793051932665</v>
      </c>
      <c r="J1" s="53" t="s">
        <v>246</v>
      </c>
      <c r="K1" s="179"/>
      <c r="L1" s="227" t="s">
        <v>276</v>
      </c>
      <c r="M1" s="179" t="s">
        <v>283</v>
      </c>
      <c r="O1" s="126"/>
      <c r="P1" s="126"/>
    </row>
    <row r="2" spans="1:48" ht="18" thickBot="1" x14ac:dyDescent="0.3">
      <c r="A2" s="45" t="s">
        <v>152</v>
      </c>
      <c r="B2" s="51">
        <f>SUMIF(D:D,A2,S:S)</f>
        <v>55131</v>
      </c>
      <c r="C2" s="57">
        <f>B2/$B$4</f>
        <v>2.8038284882220765E-2</v>
      </c>
      <c r="J2" s="162">
        <f>2000000/12</f>
        <v>166666.66666666666</v>
      </c>
      <c r="K2" s="107"/>
      <c r="L2" s="107">
        <f>J2*12+K2</f>
        <v>2000000</v>
      </c>
      <c r="M2" s="51">
        <f>141420*11</f>
        <v>1555620</v>
      </c>
      <c r="O2" s="147"/>
      <c r="P2" s="125"/>
      <c r="S2" s="51"/>
      <c r="AO2" s="52"/>
    </row>
    <row r="3" spans="1:48" ht="18.75" thickTop="1" thickBot="1" x14ac:dyDescent="0.3">
      <c r="A3" s="45" t="s">
        <v>153</v>
      </c>
      <c r="B3" s="51">
        <f>SUMIF(D:D,A3,S:S)</f>
        <v>856671.76299999992</v>
      </c>
      <c r="C3" s="57">
        <f>B3/$B$4</f>
        <v>0.43568240992451268</v>
      </c>
      <c r="K3" s="74"/>
      <c r="M3" s="51"/>
      <c r="N3" s="51"/>
      <c r="O3" s="126"/>
      <c r="P3" s="51"/>
      <c r="Q3" s="67"/>
      <c r="S3" s="51"/>
      <c r="AD3" s="224" t="str">
        <f ca="1">YEAR(NOW())-1&amp;IF(LEN(MONTH(NOW()))=1,"0","")&amp;MONTH(NOW())</f>
        <v>202508</v>
      </c>
      <c r="AE3" s="51"/>
      <c r="AF3" s="52"/>
      <c r="AH3" s="191"/>
      <c r="AS3" s="51"/>
    </row>
    <row r="4" spans="1:48" ht="15" customHeight="1" thickBot="1" x14ac:dyDescent="0.3">
      <c r="A4" s="56" t="s">
        <v>120</v>
      </c>
      <c r="B4" s="156">
        <f>SUMIF(D:D,A4,S:S)</f>
        <v>1966275.763</v>
      </c>
      <c r="C4" s="145">
        <f>B4-B89</f>
        <v>1077963.6296666667</v>
      </c>
      <c r="M4" s="53"/>
      <c r="N4" s="53"/>
      <c r="O4" s="53"/>
      <c r="AD4" s="224" t="str">
        <f ca="1">YEAR(NOW())&amp;IF(LEN(MONTH(NOW()))=1,"0","")&amp;MONTH(NOW())</f>
        <v>202608</v>
      </c>
    </row>
    <row r="5" spans="1:48" ht="17.25" hidden="1" thickBot="1" x14ac:dyDescent="0.3">
      <c r="A5" s="45" t="s">
        <v>239</v>
      </c>
      <c r="B5" s="154">
        <f>B4-K2</f>
        <v>1966275.763</v>
      </c>
      <c r="AD5" s="163">
        <f>SUM(AE5:AU5)</f>
        <v>1966275.763</v>
      </c>
      <c r="AE5" s="192">
        <f t="shared" ref="AE5:AU5" si="0">SUM(AE11:AE22)</f>
        <v>291970</v>
      </c>
      <c r="AF5" s="192">
        <f t="shared" si="0"/>
        <v>21122</v>
      </c>
      <c r="AG5" s="192">
        <f t="shared" si="0"/>
        <v>215704</v>
      </c>
      <c r="AH5" s="192">
        <f t="shared" si="0"/>
        <v>76969</v>
      </c>
      <c r="AI5" s="192">
        <f t="shared" si="0"/>
        <v>315397</v>
      </c>
      <c r="AJ5" s="192">
        <f t="shared" si="0"/>
        <v>116618</v>
      </c>
      <c r="AK5" s="192">
        <f t="shared" si="0"/>
        <v>16693</v>
      </c>
      <c r="AL5" s="192">
        <f t="shared" si="0"/>
        <v>15939</v>
      </c>
      <c r="AM5" s="192">
        <f t="shared" si="0"/>
        <v>15770</v>
      </c>
      <c r="AN5" s="192">
        <f t="shared" si="0"/>
        <v>8647</v>
      </c>
      <c r="AO5" s="192">
        <f t="shared" si="0"/>
        <v>10108</v>
      </c>
      <c r="AP5" s="192">
        <f t="shared" si="0"/>
        <v>4667</v>
      </c>
      <c r="AQ5" s="192">
        <f>SUM(AQ11:AQ22)</f>
        <v>582411.76300000004</v>
      </c>
      <c r="AR5" s="192">
        <f t="shared" si="0"/>
        <v>33514</v>
      </c>
      <c r="AS5" s="192">
        <f t="shared" si="0"/>
        <v>149805</v>
      </c>
      <c r="AT5" s="192">
        <f t="shared" si="0"/>
        <v>58089.999999999993</v>
      </c>
      <c r="AU5" s="192">
        <f t="shared" si="0"/>
        <v>32851</v>
      </c>
    </row>
    <row r="6" spans="1:48" ht="17.25" thickBot="1" x14ac:dyDescent="0.3">
      <c r="A6" s="55" t="s">
        <v>238</v>
      </c>
      <c r="B6" s="157">
        <f>B4/L2</f>
        <v>0.98313788150000003</v>
      </c>
      <c r="F6" s="73">
        <f t="shared" ref="F6:R6" si="1">F7/$S$7</f>
        <v>0.33287369977107328</v>
      </c>
      <c r="G6" s="73">
        <f t="shared" si="1"/>
        <v>2.6715479582504521E-2</v>
      </c>
      <c r="H6" s="73">
        <f t="shared" si="1"/>
        <v>8.2088689204882395E-2</v>
      </c>
      <c r="I6" s="73">
        <f t="shared" si="1"/>
        <v>0.16609484851794923</v>
      </c>
      <c r="J6" s="73">
        <f t="shared" si="1"/>
        <v>0</v>
      </c>
      <c r="K6" s="73">
        <f t="shared" si="1"/>
        <v>1.4260461593250081E-3</v>
      </c>
      <c r="L6" s="73">
        <f t="shared" si="1"/>
        <v>5.4270109009119695E-3</v>
      </c>
      <c r="M6" s="73">
        <f t="shared" si="1"/>
        <v>0.10118316247587292</v>
      </c>
      <c r="N6" s="73">
        <f t="shared" si="1"/>
        <v>4.9092808758788532E-3</v>
      </c>
      <c r="O6" s="73">
        <f t="shared" si="1"/>
        <v>0.12206578777831377</v>
      </c>
      <c r="P6" s="73">
        <f t="shared" si="1"/>
        <v>1.3322648070498542E-2</v>
      </c>
      <c r="Q6" s="73">
        <f t="shared" si="1"/>
        <v>0.14389334666278955</v>
      </c>
      <c r="R6" s="73">
        <f t="shared" si="1"/>
        <v>0</v>
      </c>
      <c r="AE6" s="289" t="str">
        <f>W9</f>
        <v>生活</v>
      </c>
      <c r="AF6" s="290"/>
      <c r="AG6" s="290"/>
      <c r="AH6" s="290"/>
      <c r="AI6" s="290"/>
      <c r="AJ6" s="290"/>
      <c r="AK6" s="291"/>
      <c r="AL6" s="289" t="str">
        <f>X9</f>
        <v>想要&amp;奢侈品</v>
      </c>
      <c r="AM6" s="292"/>
      <c r="AN6" s="292"/>
      <c r="AO6" s="292"/>
      <c r="AP6" s="293"/>
      <c r="AQ6" s="289" t="str">
        <f>Y9</f>
        <v>一次性支出</v>
      </c>
      <c r="AR6" s="292"/>
      <c r="AS6" s="292"/>
      <c r="AT6" s="292"/>
      <c r="AU6" s="293"/>
    </row>
    <row r="7" spans="1:48" ht="15.75" customHeight="1" thickBot="1" x14ac:dyDescent="0.3">
      <c r="F7" s="70">
        <f t="shared" ref="F7:R7" si="2">SUMIF($D$9:$D$1012,"Total",F9:F1012)</f>
        <v>654521.48800000001</v>
      </c>
      <c r="G7" s="70">
        <f t="shared" si="2"/>
        <v>52530</v>
      </c>
      <c r="H7" s="70">
        <f t="shared" si="2"/>
        <v>161409</v>
      </c>
      <c r="I7" s="70">
        <f t="shared" si="2"/>
        <v>326588.27500000002</v>
      </c>
      <c r="J7" s="70">
        <f t="shared" si="2"/>
        <v>0</v>
      </c>
      <c r="K7" s="70">
        <f t="shared" si="2"/>
        <v>2804</v>
      </c>
      <c r="L7" s="70">
        <f t="shared" si="2"/>
        <v>10671</v>
      </c>
      <c r="M7" s="70">
        <f t="shared" si="2"/>
        <v>198954</v>
      </c>
      <c r="N7" s="70">
        <f t="shared" si="2"/>
        <v>9653</v>
      </c>
      <c r="O7" s="70">
        <f t="shared" si="2"/>
        <v>240015</v>
      </c>
      <c r="P7" s="70">
        <f t="shared" si="2"/>
        <v>26196</v>
      </c>
      <c r="Q7" s="70">
        <f>SUMIF($D$9:$D$1012,"Total",Q9:Q1012)</f>
        <v>282934.00000000006</v>
      </c>
      <c r="R7" s="70">
        <f t="shared" si="2"/>
        <v>0</v>
      </c>
      <c r="S7" s="71">
        <f>SUM(F7:R7)</f>
        <v>1966275.763</v>
      </c>
      <c r="Y7" s="51"/>
      <c r="AD7" s="225" t="s">
        <v>264</v>
      </c>
      <c r="AE7" s="294">
        <f ca="1">SUMPRODUCT((VALUE($AD$11:$AD$22)&lt;=VALUE($AD$4))*(AE11:AK22))/SUMPRODUCT((VALUE('2024'!$AD$10:$AD$21)&lt;=VALUE($AD$3))*('2024'!AE$10:AK$21))-1</f>
        <v>5.2781881371223971E-2</v>
      </c>
      <c r="AF7" s="295"/>
      <c r="AG7" s="295"/>
      <c r="AH7" s="295"/>
      <c r="AI7" s="295"/>
      <c r="AJ7" s="295"/>
      <c r="AK7" s="296"/>
      <c r="AL7" s="294" cm="1">
        <f t="array" aca="1" ref="AL7" ca="1">SUMPRODUCT((VALUE($AD$11:$AD$22)&lt;=VALUE($AD$4))*(AL11:AP22))/SUMPRODUCT((VALUE('2024'!$AD$10:$AD$21)&lt;=VALUE($AD$3))*('2024'!AL$10:AP$21))-1</f>
        <v>-0.56461204343534055</v>
      </c>
      <c r="AM7" s="295"/>
      <c r="AN7" s="295"/>
      <c r="AO7" s="295"/>
      <c r="AP7" s="295"/>
      <c r="AQ7" s="294">
        <f ca="1">SUMPRODUCT((VALUE($AD$11:$AD$22)&lt;=VALUE($AD$4))*(AQ11:AU22))/SUMPRODUCT((VALUE('2024'!$AD$10:$AD$21)&lt;=VALUE($AD$3))*('2024'!AQ$10:AU$21))-1</f>
        <v>-0.2164851945895766</v>
      </c>
      <c r="AR7" s="295"/>
      <c r="AS7" s="295"/>
      <c r="AT7" s="295"/>
      <c r="AU7" s="296"/>
    </row>
    <row r="8" spans="1:48" ht="18.75" thickTop="1" thickBot="1" x14ac:dyDescent="0.3">
      <c r="C8" s="41" t="s">
        <v>154</v>
      </c>
      <c r="D8" s="93"/>
      <c r="E8" s="93"/>
      <c r="F8" s="41" t="s">
        <v>155</v>
      </c>
      <c r="G8" s="53" t="s">
        <v>75</v>
      </c>
      <c r="H8" s="41" t="s">
        <v>157</v>
      </c>
      <c r="I8" s="41" t="s">
        <v>158</v>
      </c>
      <c r="J8" s="238" t="s">
        <v>293</v>
      </c>
      <c r="K8" s="53" t="s">
        <v>294</v>
      </c>
      <c r="L8" s="41" t="s">
        <v>161</v>
      </c>
      <c r="M8" s="53" t="s">
        <v>235</v>
      </c>
      <c r="N8" s="41" t="s">
        <v>162</v>
      </c>
      <c r="O8" s="53" t="s">
        <v>233</v>
      </c>
      <c r="P8" s="53" t="s">
        <v>77</v>
      </c>
      <c r="Q8" s="41" t="s">
        <v>164</v>
      </c>
      <c r="R8" s="53" t="s">
        <v>298</v>
      </c>
      <c r="S8" s="84" t="s">
        <v>120</v>
      </c>
      <c r="W8" s="261">
        <f>SUM(W10:W21)</f>
        <v>1054473</v>
      </c>
      <c r="X8" s="261">
        <f>SUM(X10:X21)</f>
        <v>55131</v>
      </c>
      <c r="Y8" s="261">
        <f>SUM(Y10:Y21)</f>
        <v>856671.76299999992</v>
      </c>
      <c r="Z8" s="262">
        <f>SUM(Z10:Z21)</f>
        <v>1966275.763</v>
      </c>
      <c r="AA8" s="74"/>
      <c r="AD8" s="242" cm="1">
        <f t="array" aca="1" ref="AD8" ca="1">SUMPRODUCT((VALUE($AD$11:$AD$22)&lt;=VALUE($AD$4))*(AE11:AU22))/SUMPRODUCT((VALUE('2024'!$AD$10:$AD$21)&lt;=VALUE($AD$3))*('2024'!AE$10:AU$21))-1</f>
        <v>-0.1149287093362672</v>
      </c>
      <c r="AE8" s="245">
        <f ca="1">SUMPRODUCT((VALUE($AD$11:$AD$22)&lt;=VALUE($AD$4))*(AE11:AE22))/SUMPRODUCT((VALUE('2024'!$AD$10:$AD$21)&lt;=VALUE($AD$3))*('2024'!AE$10:AE$21))-1</f>
        <v>-0.1139025374733309</v>
      </c>
      <c r="AF8" s="301">
        <f ca="1">(SUMPRODUCT((VALUE($AD$11:$AD$22)&lt;=VALUE($AD$4))*(AF11:AF22))+SUMPRODUCT((VALUE($AD$11:$AD$22)&lt;=VALUE($AD$4))*(AG11:AG22))+SUMPRODUCT((VALUE($AD$11:$AD$22)&lt;=VALUE($AD$4))*(AK11:AK22)))/(SUMPRODUCT((VALUE('2024'!$AD$10:$AD$21)&lt;=VALUE($AD$3))*('2024'!AE$10:AE$21))+SUMPRODUCT((VALUE('2024'!$AD$10:$AD$21)&lt;=VALUE($AD$3))*('2024'!AI$10:AI$21))+SUMPRODUCT((VALUE('2024'!$AD$10:$AD$21)&lt;=VALUE($AD$3))*('2024'!AJ$10:AJ$21)))-1</f>
        <v>-0.68556835926114723</v>
      </c>
      <c r="AG8" s="302"/>
      <c r="AH8" s="302"/>
      <c r="AI8" s="246">
        <f ca="1">SUMPRODUCT((VALUE($AD$11:$AD$22)&lt;=VALUE($AD$4))*(AI11:AI22))/SUMPRODUCT((VALUE('2024'!$AD$10:$AD$21)&lt;=VALUE($AD$3))*('2024'!AI$10:AI$21))-1</f>
        <v>-9.0396001626574352E-2</v>
      </c>
      <c r="AJ8" s="246">
        <f ca="1">SUMPRODUCT((VALUE($AD$11:$AD$22)&lt;=VALUE($AD$4))*(AJ11:AJ22))/SUMPRODUCT((VALUE('2024'!$AD$10:$AD$21)&lt;=VALUE($AD$3))*('2024'!AJ$10:AJ$21))-1</f>
        <v>-0.10317991310031915</v>
      </c>
      <c r="AK8" s="247">
        <f ca="1">SUMPRODUCT((VALUE($AD$11:$AD$22)&lt;=VALUE($AD$4))*(AK11:AK22))/SUMPRODUCT((VALUE('2024'!$AD$10:$AD$21)&lt;=VALUE($AD$3))*('2024'!AK$10:AK$21))-1</f>
        <v>6.7344805403668495E-3</v>
      </c>
      <c r="AL8" s="248">
        <f ca="1">SUMPRODUCT((VALUE($AD$11:$AD$22)&lt;=VALUE($AD$4))*(AL11:AL22))/SUMPRODUCT((VALUE('2024'!$AD$10:$AD$21)&lt;=VALUE($AD$3))*('2024'!AL10:AL21))-1</f>
        <v>-0.78303068252974328</v>
      </c>
      <c r="AM8" s="249">
        <f ca="1">SUMPRODUCT((VALUE($AD$11:$AD$22)&lt;=VALUE($AD$4))*(AM11:AM22))/SUMPRODUCT((VALUE('2024'!$AD$10:$AD$21)&lt;=VALUE($AD$3))*('2024'!AM10:AM21))-1</f>
        <v>-0.26685262668526266</v>
      </c>
      <c r="AN8" s="249">
        <f ca="1">SUMPRODUCT((VALUE($AD$11:$AD$22)&lt;=VALUE($AD$4))*(AN11:AN22))/SUMPRODUCT((VALUE('2024'!$AD$10:$AD$21)&lt;=VALUE($AD$3))*('2024'!AN10:AN21))-1</f>
        <v>-0.28930714227007481</v>
      </c>
      <c r="AO8" s="249">
        <f ca="1">SUMPRODUCT((VALUE($AD$11:$AD$22)&lt;=VALUE($AD$4))*(AO11:AO22))/SUMPRODUCT((VALUE('2024'!$AD$10:$AD$21)&lt;=VALUE($AD$3))*('2024'!AO10:AO21))-1</f>
        <v>0.24009324009324007</v>
      </c>
      <c r="AP8" s="250">
        <f ca="1">SUMPRODUCT((VALUE($AD$11:$AD$22)&lt;=VALUE($AD$4))*(AP11:AP22))/SUMPRODUCT((VALUE('2024'!$AD$10:$AD$21)&lt;=VALUE($AD$3))*('2024'!AP10:AP21))-1</f>
        <v>-0.58826643140714596</v>
      </c>
      <c r="AQ8" s="251">
        <f ca="1">SUMPRODUCT((VALUE($AD$11:$AD$22)&lt;=VALUE($AD$4))*(AQ11:AQ22))/SUMPRODUCT((VALUE('2024'!$AD$10:$AD$21)&lt;=VALUE($AD$3))*('2024'!AQ10:AQ21))-1</f>
        <v>-0.34296127239929119</v>
      </c>
      <c r="AR8" s="249">
        <f ca="1">SUMPRODUCT((VALUE($AD$11:$AD$22)&lt;=VALUE($AD$4))*(AR11:AR22))/SUMPRODUCT((VALUE('2024'!$AD$10:$AD$21)&lt;=VALUE($AD$3))*('2024'!AR10:AR21))-1</f>
        <v>0.30374231696880116</v>
      </c>
      <c r="AS8" s="249">
        <f ca="1">SUMPRODUCT((VALUE($AD$11:$AD$22)&lt;=VALUE($AD$4))*(AS11:AS22))/SUMPRODUCT((VALUE('2024'!$AD$10:$AD$21)&lt;=VALUE($AD$3))*('2024'!AS10:AS21))-1</f>
        <v>0.88041322521527388</v>
      </c>
      <c r="AT8" s="249">
        <f ca="1">SUMPRODUCT((VALUE($AD$11:$AD$22)&lt;=VALUE($AD$4))*(AT11:AT22))/SUMPRODUCT((VALUE('2024'!$AD$10:$AD$21)&lt;=VALUE($AD$3))*('2024'!AT10:AT21))-1</f>
        <v>5.5241693763737665E-2</v>
      </c>
      <c r="AU8" s="250">
        <f ca="1">SUMPRODUCT((VALUE($AD$11:$AD$22)&lt;=VALUE($AD$4))*(AU11:AU22))/SUMPRODUCT((VALUE('2024'!$AD$10:$AD$21)&lt;=VALUE($AD$3))*('2024'!AU10:AU21))-1</f>
        <v>-0.29398237696110041</v>
      </c>
    </row>
    <row r="9" spans="1:48" ht="18" thickBot="1" x14ac:dyDescent="0.3">
      <c r="A9" s="166" t="s">
        <v>188</v>
      </c>
      <c r="B9" s="167">
        <v>202501</v>
      </c>
      <c r="C9" s="275">
        <f>B9</f>
        <v>202501</v>
      </c>
      <c r="D9" s="94" t="s">
        <v>151</v>
      </c>
      <c r="E9" s="177" t="s">
        <v>252</v>
      </c>
      <c r="F9" s="60">
        <f>207+200+60+35+50+70+60+440+65+400+894+14+75+90+200+120+118+560+60+100+235+50+325</f>
        <v>4428</v>
      </c>
      <c r="G9" s="59">
        <f>300+600+259</f>
        <v>1159</v>
      </c>
      <c r="H9" s="59">
        <f>500+18+319</f>
        <v>837</v>
      </c>
      <c r="I9" s="60">
        <f>60+112+50+193</f>
        <v>415</v>
      </c>
      <c r="J9" s="59"/>
      <c r="K9" s="60">
        <v>181</v>
      </c>
      <c r="L9" s="60"/>
      <c r="M9" s="60">
        <f>1207+99+721+233+440+59+150+43+65+130+128+5258-3000+180+220+169+521+380+50</f>
        <v>7053</v>
      </c>
      <c r="N9" s="60"/>
      <c r="O9" s="60">
        <f>960+265</f>
        <v>1225</v>
      </c>
      <c r="P9" s="60"/>
      <c r="Q9" s="60">
        <f>2000+2000+2000+2000</f>
        <v>8000</v>
      </c>
      <c r="R9" s="60"/>
      <c r="S9" s="44">
        <f t="shared" ref="S9:S25" si="3">SUM(F9:R9)</f>
        <v>23298</v>
      </c>
      <c r="T9" s="277">
        <f>SUM(S9:S15)</f>
        <v>140706</v>
      </c>
      <c r="V9" s="130" t="s">
        <v>188</v>
      </c>
      <c r="W9" s="130" t="str">
        <f>A1</f>
        <v>生活</v>
      </c>
      <c r="X9" s="130" t="s">
        <v>152</v>
      </c>
      <c r="Y9" s="130" t="str">
        <f>A3</f>
        <v>一次性支出</v>
      </c>
      <c r="Z9" s="130" t="s">
        <v>120</v>
      </c>
      <c r="AD9" s="242"/>
      <c r="AE9" s="252">
        <f>SUM(AE11:AE22)</f>
        <v>291970</v>
      </c>
      <c r="AF9" s="253">
        <f t="shared" ref="AF9:AU9" si="4">SUM(AF11:AF22)</f>
        <v>21122</v>
      </c>
      <c r="AG9" s="253">
        <f t="shared" si="4"/>
        <v>215704</v>
      </c>
      <c r="AH9" s="253">
        <f t="shared" si="4"/>
        <v>76969</v>
      </c>
      <c r="AI9" s="253">
        <f t="shared" si="4"/>
        <v>315397</v>
      </c>
      <c r="AJ9" s="253">
        <f t="shared" si="4"/>
        <v>116618</v>
      </c>
      <c r="AK9" s="255">
        <f t="shared" si="4"/>
        <v>16693</v>
      </c>
      <c r="AL9" s="252">
        <f t="shared" si="4"/>
        <v>15939</v>
      </c>
      <c r="AM9" s="253">
        <f t="shared" si="4"/>
        <v>15770</v>
      </c>
      <c r="AN9" s="253">
        <f t="shared" si="4"/>
        <v>8647</v>
      </c>
      <c r="AO9" s="253">
        <f t="shared" si="4"/>
        <v>10108</v>
      </c>
      <c r="AP9" s="254">
        <f t="shared" si="4"/>
        <v>4667</v>
      </c>
      <c r="AQ9" s="256">
        <f t="shared" si="4"/>
        <v>582411.76300000004</v>
      </c>
      <c r="AR9" s="253">
        <f t="shared" si="4"/>
        <v>33514</v>
      </c>
      <c r="AS9" s="253">
        <f t="shared" si="4"/>
        <v>149805</v>
      </c>
      <c r="AT9" s="253">
        <f t="shared" si="4"/>
        <v>58089.999999999993</v>
      </c>
      <c r="AU9" s="254">
        <f t="shared" si="4"/>
        <v>32851</v>
      </c>
    </row>
    <row r="10" spans="1:48" ht="15" customHeight="1" thickBot="1" x14ac:dyDescent="0.3">
      <c r="A10" s="164" t="s">
        <v>247</v>
      </c>
      <c r="B10" s="162">
        <f>$J$2</f>
        <v>166666.66666666666</v>
      </c>
      <c r="C10" s="275"/>
      <c r="D10" s="95" t="s">
        <v>151</v>
      </c>
      <c r="E10" s="176" t="s">
        <v>251</v>
      </c>
      <c r="F10" s="79"/>
      <c r="G10" s="78"/>
      <c r="H10" s="78"/>
      <c r="I10" s="79"/>
      <c r="J10" s="78"/>
      <c r="K10" s="79"/>
      <c r="L10" s="79"/>
      <c r="M10" s="79"/>
      <c r="N10" s="79"/>
      <c r="O10" s="79">
        <v>290</v>
      </c>
      <c r="P10" s="79"/>
      <c r="Q10" s="79">
        <v>1700</v>
      </c>
      <c r="R10" s="79"/>
      <c r="S10" s="80">
        <f t="shared" si="3"/>
        <v>1990</v>
      </c>
      <c r="T10" s="278"/>
      <c r="V10" s="259">
        <f>$C$9</f>
        <v>202501</v>
      </c>
      <c r="W10" s="260">
        <f>T9</f>
        <v>140706</v>
      </c>
      <c r="X10" s="260">
        <f>T16</f>
        <v>120</v>
      </c>
      <c r="Y10" s="260">
        <f>T21</f>
        <v>38997.333333333328</v>
      </c>
      <c r="Z10" s="260">
        <f>W10+X10+Y10</f>
        <v>179823.33333333331</v>
      </c>
      <c r="AD10" s="41" t="s">
        <v>208</v>
      </c>
      <c r="AE10" s="263" t="s">
        <v>252</v>
      </c>
      <c r="AF10" s="160" t="s">
        <v>251</v>
      </c>
      <c r="AG10" s="160" t="s">
        <v>254</v>
      </c>
      <c r="AH10" s="264" t="s">
        <v>255</v>
      </c>
      <c r="AI10" s="160" t="s">
        <v>256</v>
      </c>
      <c r="AJ10" s="160" t="s">
        <v>257</v>
      </c>
      <c r="AK10" s="160" t="s">
        <v>263</v>
      </c>
      <c r="AL10" s="265" t="s">
        <v>200</v>
      </c>
      <c r="AM10" s="266" t="s">
        <v>201</v>
      </c>
      <c r="AN10" s="266" t="s">
        <v>202</v>
      </c>
      <c r="AO10" s="266" t="s">
        <v>203</v>
      </c>
      <c r="AP10" s="267" t="s">
        <v>198</v>
      </c>
      <c r="AQ10" s="120" t="s">
        <v>204</v>
      </c>
      <c r="AR10" s="120" t="s">
        <v>205</v>
      </c>
      <c r="AS10" s="120" t="s">
        <v>206</v>
      </c>
      <c r="AT10" s="120" t="s">
        <v>207</v>
      </c>
      <c r="AU10" s="121" t="s">
        <v>198</v>
      </c>
      <c r="AV10" s="158" t="s">
        <v>240</v>
      </c>
    </row>
    <row r="11" spans="1:48" ht="15" customHeight="1" thickTop="1" x14ac:dyDescent="0.25">
      <c r="A11" s="165" t="s">
        <v>237</v>
      </c>
      <c r="B11" s="182">
        <f>SUMPRODUCT((($V$10:$V$21)&lt;=VALUE(B9))*($Z$10:$Z$21))</f>
        <v>179823.33333333331</v>
      </c>
      <c r="C11" s="275"/>
      <c r="D11" s="95" t="s">
        <v>151</v>
      </c>
      <c r="E11" s="176" t="s">
        <v>254</v>
      </c>
      <c r="F11" s="79">
        <f>3326+1767+347+215</f>
        <v>5655</v>
      </c>
      <c r="G11" s="78">
        <f>196+296+200</f>
        <v>692</v>
      </c>
      <c r="H11" s="78">
        <v>1270</v>
      </c>
      <c r="I11" s="79"/>
      <c r="J11" s="78"/>
      <c r="K11" s="79"/>
      <c r="L11" s="79"/>
      <c r="M11" s="79">
        <v>99</v>
      </c>
      <c r="N11" s="79"/>
      <c r="O11" s="79"/>
      <c r="P11" s="79"/>
      <c r="Q11" s="79">
        <f>9374*2-7000+36420/2+2283+11000+800+1169+1500-3500</f>
        <v>43210</v>
      </c>
      <c r="R11" s="79"/>
      <c r="S11" s="80">
        <f t="shared" si="3"/>
        <v>50926</v>
      </c>
      <c r="T11" s="278"/>
      <c r="V11" s="259">
        <f>$C$28</f>
        <v>202502</v>
      </c>
      <c r="W11" s="260">
        <f>T28</f>
        <v>74309</v>
      </c>
      <c r="X11" s="260">
        <f>T35</f>
        <v>1183</v>
      </c>
      <c r="Y11" s="260">
        <f>T40</f>
        <v>108442.33333333333</v>
      </c>
      <c r="Z11" s="260">
        <f t="shared" ref="Z11:Z21" si="5">W11+X11+Y11</f>
        <v>183934.33333333331</v>
      </c>
      <c r="AD11" s="200">
        <f t="shared" ref="AD11:AD22" si="6">V10</f>
        <v>202501</v>
      </c>
      <c r="AE11" s="116">
        <f>SUMPRODUCT(($D$9:$D$25=$AE$6)*($E$9:$E$25=AE$10)*$S$9:$S$25)</f>
        <v>23298</v>
      </c>
      <c r="AF11" s="201">
        <f>SUMPRODUCT(($D$9:$D$25=$AE$6)*($E$9:$E$25=$AF$10)*$S$9:$S$25)</f>
        <v>1990</v>
      </c>
      <c r="AG11" s="202">
        <f>SUMPRODUCT(($D$9:$D$25=$AE$6)*($E$9:$E$25=$AG$10)*$S$9:$S$25)</f>
        <v>50926</v>
      </c>
      <c r="AH11" s="203">
        <f>SUMPRODUCT(($D$9:$D$25=$AE$6)*($E$9:$E$25=$AH$10)*$S$9:$S$25)</f>
        <v>19757</v>
      </c>
      <c r="AI11" s="201">
        <f>SUMPRODUCT(($D$9:$D$25=$AE$6)*($E$9:$E$25=$AI$10)*$S$9:$S$25)</f>
        <v>31012</v>
      </c>
      <c r="AJ11" s="203">
        <f>SUMPRODUCT(($D$9:$D$25=$AE$6)*($E$9:$E$25=$AJ$10)*$S$9:$S$25)</f>
        <v>10523</v>
      </c>
      <c r="AK11" s="117">
        <f>SUMPRODUCT(($D$9:$D$25=$AE$6)*($E$9:$E$25=$AK$10)*$S$9:$S$25)</f>
        <v>3200</v>
      </c>
      <c r="AL11" s="210">
        <f>SUMPRODUCT(($D$9:$D$25=$AL$6)*($E$9:$E$25=$AL$10)*$S$9:$S$25)</f>
        <v>0</v>
      </c>
      <c r="AM11" s="211">
        <f>SUMPRODUCT(($D$9:$D$25=$AL$6)*($E$9:$E$25=$AM$10)*$S$9:$S$25)</f>
        <v>0</v>
      </c>
      <c r="AN11" s="211">
        <f>SUMPRODUCT(($D$9:$D$25=$AL$6)*($E$9:$E$25=$AN$10)*$S$9:$S$25)</f>
        <v>0</v>
      </c>
      <c r="AO11" s="211">
        <f>SUMPRODUCT(($D$9:$D$25=$AL$6)*($E$9:$E$25=$AO$10)*$S$9:$S$25)</f>
        <v>0</v>
      </c>
      <c r="AP11" s="212">
        <f>SUMPRODUCT(($D$9:$D$25=$AL$6)*($E$9:$E$25=$AP$10)*$S$9:$S$25)</f>
        <v>120</v>
      </c>
      <c r="AQ11" s="210">
        <f>SUMPRODUCT(($D$9:$D$25=$AQ$6)*($E$9:$E$25=$AQ$10)*$S$9:$S$25)</f>
        <v>17846</v>
      </c>
      <c r="AR11" s="211">
        <f>SUMPRODUCT(($D$9:$D$25=$AQ$6)*($E$9:$E$25=$AR$10)*$S$9:$S$25)</f>
        <v>0</v>
      </c>
      <c r="AS11" s="211">
        <f>SUMPRODUCT(($D$9:$D$25=$AQ$6)*($E$9:$E$25=$AS$10)*$S$9:$S$25)</f>
        <v>0</v>
      </c>
      <c r="AT11" s="211">
        <f>SUMPRODUCT(($D$9:$D$25=$AQ$6)*($E$9:$E$25=$AT$10)*$S$9:$S$25)</f>
        <v>6751.333333333333</v>
      </c>
      <c r="AU11" s="212">
        <f>SUMPRODUCT(($D$9:$D$25=$AQ$6)*($E$9:$E$25=$AU$10)*$S$9:$S$25)</f>
        <v>14400</v>
      </c>
      <c r="AV11" s="159">
        <f>SUM(AE11:AU11)</f>
        <v>179823.33333333334</v>
      </c>
    </row>
    <row r="12" spans="1:48" ht="15" customHeight="1" x14ac:dyDescent="0.25">
      <c r="A12" s="165" t="s">
        <v>264</v>
      </c>
      <c r="B12" s="181">
        <f>B11/SUMPRODUCT(('2025'!$V$10:$V$21&lt;='2025'!B9)*'2024'!$Z$10:$Z$21)-1</f>
        <v>-0.33473423035137118</v>
      </c>
      <c r="C12" s="275"/>
      <c r="D12" s="95" t="s">
        <v>151</v>
      </c>
      <c r="E12" s="176" t="s">
        <v>255</v>
      </c>
      <c r="F12" s="79">
        <f>100+1090</f>
        <v>1190</v>
      </c>
      <c r="G12" s="78">
        <v>12998</v>
      </c>
      <c r="H12" s="78">
        <v>400</v>
      </c>
      <c r="I12" s="79"/>
      <c r="J12" s="78"/>
      <c r="K12" s="79"/>
      <c r="L12" s="79"/>
      <c r="M12" s="79">
        <f>1310+50+756+111+1425+65+78+58+529</f>
        <v>4382</v>
      </c>
      <c r="N12" s="79"/>
      <c r="O12" s="79">
        <v>110</v>
      </c>
      <c r="P12" s="79"/>
      <c r="Q12" s="79">
        <f>597+80</f>
        <v>677</v>
      </c>
      <c r="R12" s="79"/>
      <c r="S12" s="80">
        <f t="shared" si="3"/>
        <v>19757</v>
      </c>
      <c r="T12" s="278"/>
      <c r="V12" s="259">
        <f>$C$47</f>
        <v>202503</v>
      </c>
      <c r="W12" s="260">
        <f>T47</f>
        <v>128566</v>
      </c>
      <c r="X12" s="260">
        <f>T54</f>
        <v>2922</v>
      </c>
      <c r="Y12" s="260">
        <f>T59</f>
        <v>14831.333333333332</v>
      </c>
      <c r="Z12" s="260">
        <f t="shared" si="5"/>
        <v>146319.33333333334</v>
      </c>
      <c r="AD12" s="200">
        <f t="shared" si="6"/>
        <v>202502</v>
      </c>
      <c r="AE12" s="116">
        <f t="shared" ref="AE12:AK12" si="7">SUMPRODUCT(($D$28:$D$44=$AE$6)*($E$28:$E$44=AE$10)*$S$28:$S$44)</f>
        <v>19063</v>
      </c>
      <c r="AF12" s="204">
        <f t="shared" si="7"/>
        <v>0</v>
      </c>
      <c r="AG12" s="117">
        <f t="shared" si="7"/>
        <v>11674</v>
      </c>
      <c r="AH12" s="205">
        <f t="shared" si="7"/>
        <v>5118</v>
      </c>
      <c r="AI12" s="204">
        <f t="shared" si="7"/>
        <v>29730</v>
      </c>
      <c r="AJ12" s="205">
        <f t="shared" si="7"/>
        <v>8724</v>
      </c>
      <c r="AK12" s="117">
        <f t="shared" si="7"/>
        <v>0</v>
      </c>
      <c r="AL12" s="213">
        <f>SUMPRODUCT(($D$28:$D$44=$AL$6)*($E$28:$E$44=AL$10)*$S$28:$S$44)</f>
        <v>671</v>
      </c>
      <c r="AM12" s="208">
        <f>SUMPRODUCT(($D$28:$D$44=$AL$6)*($E$28:$E$44=AM$10)*$S$28:$S$44)</f>
        <v>0</v>
      </c>
      <c r="AN12" s="208">
        <f>SUMPRODUCT(($D$28:$D$44=$AL$6)*($E$28:$E$44=AN$10)*$S$28:$S$44)</f>
        <v>0</v>
      </c>
      <c r="AO12" s="208">
        <f>SUMPRODUCT(($D$28:$D$44=$AL$6)*($E$28:$E$44=AO$10)*$S$28:$S$44)</f>
        <v>0</v>
      </c>
      <c r="AP12" s="214">
        <f>SUMPRODUCT(($D$28:$D$44=$AL$6)*($E$28:$E$44=AP$10)*$S$28:$S$44)</f>
        <v>512</v>
      </c>
      <c r="AQ12" s="213">
        <f>SUMPRODUCT(($D$28:$D$44=$AQ$6)*($E$28:$E$44=AQ$10)*$S$28:$S$44)</f>
        <v>101091</v>
      </c>
      <c r="AR12" s="208">
        <f>SUMPRODUCT(($D$28:$D$44=$AQ$6)*($E$28:$E$44=AR$10)*$S$28:$S$44)</f>
        <v>0</v>
      </c>
      <c r="AS12" s="208">
        <f>SUMPRODUCT(($D$28:$D$44=$AQ$6)*($E$28:$E$44=AS$10)*$S$28:$S$44)</f>
        <v>0</v>
      </c>
      <c r="AT12" s="208">
        <f>SUMPRODUCT(($D$28:$D$44=$AQ$6)*($E$28:$E$44=AT$10)*$S$28:$S$44)</f>
        <v>6751.333333333333</v>
      </c>
      <c r="AU12" s="214">
        <f>SUMPRODUCT(($D$28:$D$44=$AQ$6)*($E$28:$E$44=AU$10)*$S$28:$S$44)</f>
        <v>600</v>
      </c>
      <c r="AV12" s="159">
        <f t="shared" ref="AV12:AV22" si="8">SUM(AE12:AU12)</f>
        <v>183934.33333333334</v>
      </c>
    </row>
    <row r="13" spans="1:48" ht="15" customHeight="1" x14ac:dyDescent="0.25">
      <c r="A13" s="165" t="s">
        <v>300</v>
      </c>
      <c r="B13" s="186">
        <f>B11</f>
        <v>179823.33333333331</v>
      </c>
      <c r="C13" s="275"/>
      <c r="D13" s="96" t="s">
        <v>151</v>
      </c>
      <c r="E13" s="176" t="s">
        <v>256</v>
      </c>
      <c r="F13" s="79">
        <f>15000+3000+3000+5000+5000</f>
        <v>31000</v>
      </c>
      <c r="G13" s="78"/>
      <c r="H13" s="78"/>
      <c r="I13" s="78">
        <v>12</v>
      </c>
      <c r="J13" s="78"/>
      <c r="K13" s="79"/>
      <c r="L13" s="79"/>
      <c r="M13" s="79"/>
      <c r="N13" s="79"/>
      <c r="O13" s="79"/>
      <c r="P13" s="79"/>
      <c r="Q13" s="79"/>
      <c r="R13" s="79"/>
      <c r="S13" s="80">
        <f t="shared" si="3"/>
        <v>31012</v>
      </c>
      <c r="T13" s="278"/>
      <c r="V13" s="259">
        <f>$C$66</f>
        <v>202504</v>
      </c>
      <c r="W13" s="260">
        <f>T66</f>
        <v>63201</v>
      </c>
      <c r="X13" s="260">
        <f>T73</f>
        <v>3916</v>
      </c>
      <c r="Y13" s="260">
        <f>T78</f>
        <v>30166.333333333332</v>
      </c>
      <c r="Z13" s="260">
        <f t="shared" si="5"/>
        <v>97283.333333333328</v>
      </c>
      <c r="AD13" s="200">
        <f t="shared" si="6"/>
        <v>202503</v>
      </c>
      <c r="AE13" s="116">
        <f t="shared" ref="AE13:AK13" si="9">SUMPRODUCT(($D$47:$D$63=$AE$6)*($E$47:$E$63=AE$10)*$S$47:$S$63)</f>
        <v>28713</v>
      </c>
      <c r="AF13" s="204">
        <f t="shared" si="9"/>
        <v>1200</v>
      </c>
      <c r="AG13" s="117">
        <f t="shared" si="9"/>
        <v>11147</v>
      </c>
      <c r="AH13" s="205">
        <f t="shared" si="9"/>
        <v>4474</v>
      </c>
      <c r="AI13" s="204">
        <f t="shared" si="9"/>
        <v>54952</v>
      </c>
      <c r="AJ13" s="205">
        <f t="shared" si="9"/>
        <v>26450</v>
      </c>
      <c r="AK13" s="117">
        <f t="shared" si="9"/>
        <v>1630</v>
      </c>
      <c r="AL13" s="213">
        <f>SUMPRODUCT(($D$47:$D$63=$AL$6)*($E$47:$E$63=AL$10)*$S$47:$S$63)</f>
        <v>1457</v>
      </c>
      <c r="AM13" s="208">
        <f>SUMPRODUCT(($D$47:$D$63=$AL$6)*($E$47:$E$63=AM$10)*$S$47:$S$63)</f>
        <v>590</v>
      </c>
      <c r="AN13" s="208">
        <f>SUMPRODUCT(($D$47:$D$63=$AL$6)*($E$47:$E$63=AN$10)*$S$47:$S$63)</f>
        <v>76</v>
      </c>
      <c r="AO13" s="208">
        <f>SUMPRODUCT(($D$47:$D$63=$AL$6)*($E$47:$E$63=AO$10)*$S$47:$S$63)</f>
        <v>599</v>
      </c>
      <c r="AP13" s="214">
        <f>SUMPRODUCT(($D$47:$D$63=$AL$6)*($E$47:$E$63=AP$10)*$S$47:$S$63)</f>
        <v>200</v>
      </c>
      <c r="AQ13" s="213">
        <f>SUMPRODUCT(($D$47:$D$63=$AQ$6)*($E$47:$E$63=AQ$10)*$S$47:$S$63)</f>
        <v>4200</v>
      </c>
      <c r="AR13" s="208">
        <f>SUMPRODUCT(($D$47:$D$63=$AQ$6)*($E$47:$E$63=AR$10)*$S$47:$S$63)</f>
        <v>880</v>
      </c>
      <c r="AS13" s="208">
        <f>SUMPRODUCT(($D$47:$D$63=$AQ$6)*($E$47:$E$63=AS$10)*$S$47:$S$63)</f>
        <v>0</v>
      </c>
      <c r="AT13" s="208">
        <f>SUMPRODUCT(($D$47:$D$63=$AQ$6)*($E$47:$E$63=AT$10)*$S$47:$S$63)</f>
        <v>6751.333333333333</v>
      </c>
      <c r="AU13" s="214">
        <f>SUMPRODUCT(($D$47:$D$63=$AQ$6)*($E$47:$E$63=AU$10)*$S$47:$S$63)</f>
        <v>3000</v>
      </c>
      <c r="AV13" s="159">
        <f t="shared" si="8"/>
        <v>146319.33333333334</v>
      </c>
    </row>
    <row r="14" spans="1:48" ht="15" customHeight="1" x14ac:dyDescent="0.25">
      <c r="A14" s="164" t="s">
        <v>242</v>
      </c>
      <c r="B14" s="157">
        <f>B13/($J$2*12)</f>
        <v>8.9911666666666654E-2</v>
      </c>
      <c r="C14" s="275"/>
      <c r="D14" s="95" t="s">
        <v>151</v>
      </c>
      <c r="E14" s="176" t="s">
        <v>257</v>
      </c>
      <c r="F14" s="79">
        <f>5000+1995+1728+1800</f>
        <v>10523</v>
      </c>
      <c r="G14" s="78"/>
      <c r="H14" s="78"/>
      <c r="I14" s="79"/>
      <c r="J14" s="78"/>
      <c r="K14" s="79"/>
      <c r="L14" s="79"/>
      <c r="M14" s="79"/>
      <c r="N14" s="79"/>
      <c r="O14" s="79"/>
      <c r="P14" s="79"/>
      <c r="Q14" s="79"/>
      <c r="R14" s="79"/>
      <c r="S14" s="80">
        <f>SUM(F14:R14)</f>
        <v>10523</v>
      </c>
      <c r="T14" s="278"/>
      <c r="V14" s="259">
        <f>$C$85</f>
        <v>202505</v>
      </c>
      <c r="W14" s="260">
        <f>T85</f>
        <v>52893</v>
      </c>
      <c r="X14" s="260">
        <f>T92</f>
        <v>1445</v>
      </c>
      <c r="Y14" s="260">
        <f>T97</f>
        <v>226613.8</v>
      </c>
      <c r="Z14" s="260">
        <f t="shared" si="5"/>
        <v>280951.8</v>
      </c>
      <c r="AD14" s="200">
        <f t="shared" si="6"/>
        <v>202504</v>
      </c>
      <c r="AE14" s="116">
        <f t="shared" ref="AE14:AK14" si="10">SUMPRODUCT(($D$66:$D$82=$AE$6)*($E$66:$E$82=AE$10)*$S$66:$S$82)</f>
        <v>22546</v>
      </c>
      <c r="AF14" s="204">
        <f t="shared" si="10"/>
        <v>358</v>
      </c>
      <c r="AG14" s="117">
        <f t="shared" si="10"/>
        <v>11686</v>
      </c>
      <c r="AH14" s="205">
        <f t="shared" si="10"/>
        <v>9064</v>
      </c>
      <c r="AI14" s="204">
        <f t="shared" si="10"/>
        <v>11877</v>
      </c>
      <c r="AJ14" s="205">
        <f t="shared" si="10"/>
        <v>3500</v>
      </c>
      <c r="AK14" s="117">
        <f t="shared" si="10"/>
        <v>4170</v>
      </c>
      <c r="AL14" s="213">
        <f>SUMPRODUCT(($D$66:$D$82=$AL$6)*($E$66:$E$82=AL$10)*$S$66:$S$82)</f>
        <v>1990</v>
      </c>
      <c r="AM14" s="208">
        <f>SUMPRODUCT(($D$66:$D$82=$AL$6)*($E$66:$E$82=AM$10)*$S$66:$S$82)</f>
        <v>0</v>
      </c>
      <c r="AN14" s="208">
        <f>SUMPRODUCT(($D$66:$D$82=$AL$6)*($E$66:$E$82=AN$10)*$S$66:$S$82)</f>
        <v>788</v>
      </c>
      <c r="AO14" s="208">
        <f>SUMPRODUCT(($D$66:$D$82=$AL$6)*($E$66:$E$82=AO$10)*$S$66:$S$82)</f>
        <v>788</v>
      </c>
      <c r="AP14" s="214">
        <f>SUMPRODUCT(($D$66:$D$82=$AL$6)*($E$66:$E$82=AP$10)*$S$66:$S$82)</f>
        <v>350</v>
      </c>
      <c r="AQ14" s="213">
        <f>SUMPRODUCT(($D$66:$D$82=$AQ$6)*($E$66:$E$82=AQ$10)*$S$66:$S$82)</f>
        <v>3316</v>
      </c>
      <c r="AR14" s="208">
        <f>SUMPRODUCT(($D$66:$D$82=$AQ$6)*($E$66:$E$82=AR$10)*$S$66:$S$82)</f>
        <v>5066</v>
      </c>
      <c r="AS14" s="208">
        <f>SUMPRODUCT(($D$66:$D$82=$AQ$6)*($E$66:$E$82=AS$10)*$S$66:$S$82)</f>
        <v>13643</v>
      </c>
      <c r="AT14" s="208">
        <f>SUMPRODUCT(($D$66:$D$82=$AQ$6)*($E$66:$E$82=AT$10)*$S$66:$S$82)</f>
        <v>6751.333333333333</v>
      </c>
      <c r="AU14" s="214">
        <f>SUMPRODUCT(($D$66:$D$82=$AQ$6)*($E$66:$E$82=AU$10)*$S$66:$S$82)</f>
        <v>1390</v>
      </c>
      <c r="AV14" s="159">
        <f t="shared" si="8"/>
        <v>97283.333333333328</v>
      </c>
    </row>
    <row r="15" spans="1:48" ht="15" customHeight="1" x14ac:dyDescent="0.25">
      <c r="A15" s="164" t="s">
        <v>241</v>
      </c>
      <c r="B15" s="126">
        <f>VALUE(RIGHT(B9,2))/12</f>
        <v>8.3333333333333329E-2</v>
      </c>
      <c r="C15" s="275"/>
      <c r="D15" s="95" t="s">
        <v>151</v>
      </c>
      <c r="E15" s="176" t="s">
        <v>263</v>
      </c>
      <c r="F15" s="78">
        <f>200+200+1800</f>
        <v>2200</v>
      </c>
      <c r="G15" s="78"/>
      <c r="H15" s="78"/>
      <c r="I15" s="79"/>
      <c r="J15" s="78"/>
      <c r="K15" s="79"/>
      <c r="L15" s="79"/>
      <c r="M15" s="79"/>
      <c r="N15" s="79"/>
      <c r="O15" s="79"/>
      <c r="P15" s="79"/>
      <c r="Q15" s="79">
        <f>1000</f>
        <v>1000</v>
      </c>
      <c r="R15" s="79"/>
      <c r="S15" s="80">
        <f>SUM(F15:R15)</f>
        <v>3200</v>
      </c>
      <c r="T15" s="278"/>
      <c r="V15" s="259">
        <f>$C$104</f>
        <v>202506</v>
      </c>
      <c r="W15" s="260">
        <f>T104</f>
        <v>57540</v>
      </c>
      <c r="X15" s="260">
        <f>T111</f>
        <v>3658</v>
      </c>
      <c r="Y15" s="260">
        <f>T116</f>
        <v>54068</v>
      </c>
      <c r="Z15" s="260">
        <f t="shared" si="5"/>
        <v>115266</v>
      </c>
      <c r="AD15" s="200">
        <f t="shared" si="6"/>
        <v>202505</v>
      </c>
      <c r="AE15" s="116">
        <f t="shared" ref="AE15:AK15" si="11">SUMPRODUCT(($D$85:$D$101=$AE$6)*($E$85:$E$101=AE$10)*$S$85:$S$101)</f>
        <v>23523</v>
      </c>
      <c r="AF15" s="204">
        <f t="shared" si="11"/>
        <v>0</v>
      </c>
      <c r="AG15" s="117">
        <f t="shared" si="11"/>
        <v>8427</v>
      </c>
      <c r="AH15" s="205">
        <f t="shared" si="11"/>
        <v>1476</v>
      </c>
      <c r="AI15" s="204">
        <f t="shared" si="11"/>
        <v>13200</v>
      </c>
      <c r="AJ15" s="205">
        <f t="shared" si="11"/>
        <v>5867</v>
      </c>
      <c r="AK15" s="117">
        <f t="shared" si="11"/>
        <v>400</v>
      </c>
      <c r="AL15" s="213">
        <f>SUMPRODUCT(($D$85:$D$101=$AL$6)*($E$85:$E$101=AL$10)*$S$85:$S$101)</f>
        <v>0</v>
      </c>
      <c r="AM15" s="208">
        <f>SUMPRODUCT(($D$85:$D$101=$AL$6)*($E$85:$E$101=AM$10)*$S$85:$S$101)</f>
        <v>590</v>
      </c>
      <c r="AN15" s="208">
        <f>SUMPRODUCT(($D$85:$D$101=$AL$6)*($E$85:$E$101=AN$10)*$S$85:$S$101)</f>
        <v>0</v>
      </c>
      <c r="AO15" s="208">
        <f>SUMPRODUCT(($D$85:$D$101=$AL$6)*($E$85:$E$101=AO$10)*$S$85:$S$101)</f>
        <v>0</v>
      </c>
      <c r="AP15" s="214">
        <f>SUMPRODUCT(($D$85:$D$101=$AL$6)*($E$85:$E$101=AP$10)*$S$85:$S$101)</f>
        <v>855</v>
      </c>
      <c r="AQ15" s="213">
        <f>SUMPRODUCT(($D$85:$D$101=$AQ$6)*($E$85:$E$101=AQ$10)*$S$85:$S$101)</f>
        <v>213390.8</v>
      </c>
      <c r="AR15" s="208">
        <f>SUMPRODUCT(($D$85:$D$101=$AQ$6)*($E$85:$E$101=AR$10)*$S$85:$S$101)</f>
        <v>4470</v>
      </c>
      <c r="AS15" s="208">
        <f>SUMPRODUCT(($D$85:$D$101=$AQ$6)*($E$85:$E$101=AS$10)*$S$85:$S$101)</f>
        <v>0</v>
      </c>
      <c r="AT15" s="208">
        <f>SUMPRODUCT(($D$85:$D$101=$AQ$6)*($E$85:$E$101=AT$10)*$S$85:$S$101)</f>
        <v>6753</v>
      </c>
      <c r="AU15" s="214">
        <f>SUMPRODUCT(($D$85:$D$101=$AQ$6)*($E$85:$E$101=AU$10)*$S$85:$S$101)</f>
        <v>2000</v>
      </c>
      <c r="AV15" s="159">
        <f t="shared" si="8"/>
        <v>280951.8</v>
      </c>
    </row>
    <row r="16" spans="1:48" ht="15" customHeight="1" x14ac:dyDescent="0.25">
      <c r="A16" s="164" t="s">
        <v>243</v>
      </c>
      <c r="B16" s="161">
        <f>B10*VALUE(RIGHT(B9,2))-B13</f>
        <v>-13156.666666666657</v>
      </c>
      <c r="C16" s="275"/>
      <c r="D16" s="97" t="s">
        <v>152</v>
      </c>
      <c r="E16" s="97" t="s">
        <v>144</v>
      </c>
      <c r="F16" s="85"/>
      <c r="G16" s="85"/>
      <c r="H16" s="85"/>
      <c r="I16" s="46"/>
      <c r="J16" s="46"/>
      <c r="K16" s="46"/>
      <c r="L16" s="46"/>
      <c r="M16" s="89"/>
      <c r="N16" s="46"/>
      <c r="O16" s="89"/>
      <c r="P16" s="46"/>
      <c r="Q16" s="46"/>
      <c r="R16" s="46"/>
      <c r="S16" s="83">
        <f t="shared" si="3"/>
        <v>0</v>
      </c>
      <c r="T16" s="280">
        <f>SUM(S16:S20)</f>
        <v>120</v>
      </c>
      <c r="V16" s="259">
        <f>$C$123</f>
        <v>202507</v>
      </c>
      <c r="W16" s="260">
        <f>T123</f>
        <v>62798</v>
      </c>
      <c r="X16" s="260">
        <f>T130</f>
        <v>17285</v>
      </c>
      <c r="Y16" s="260">
        <f>T135</f>
        <v>133193</v>
      </c>
      <c r="Z16" s="260">
        <f t="shared" si="5"/>
        <v>213276</v>
      </c>
      <c r="AD16" s="200">
        <f t="shared" si="6"/>
        <v>202506</v>
      </c>
      <c r="AE16" s="116">
        <f t="shared" ref="AE16:AK16" si="12">SUMPRODUCT(($D$104:$D$120=$AE$6)*($E$104:$E$120=AE$10)*$S$104:$S$120)</f>
        <v>28343</v>
      </c>
      <c r="AF16" s="204">
        <f t="shared" si="12"/>
        <v>0</v>
      </c>
      <c r="AG16" s="117">
        <f t="shared" si="12"/>
        <v>8915</v>
      </c>
      <c r="AH16" s="205">
        <f t="shared" si="12"/>
        <v>1792</v>
      </c>
      <c r="AI16" s="204">
        <f t="shared" si="12"/>
        <v>17200</v>
      </c>
      <c r="AJ16" s="205">
        <f t="shared" si="12"/>
        <v>0</v>
      </c>
      <c r="AK16" s="117">
        <f t="shared" si="12"/>
        <v>1290</v>
      </c>
      <c r="AL16" s="213">
        <f>SUMPRODUCT(($D$104:$D$120=$AL$6)*($E$104:$E$120=AL$10)*$S$104:$S$120)</f>
        <v>0</v>
      </c>
      <c r="AM16" s="208">
        <f>SUMPRODUCT(($D$104:$D$120=$AL$6)*($E$104:$E$120=AM$10)*$S$104:$S$120)</f>
        <v>1600</v>
      </c>
      <c r="AN16" s="208">
        <f>SUMPRODUCT(($D$104:$D$120=$AL$6)*($E$104:$E$120=AN$10)*$S$104:$S$120)</f>
        <v>1334</v>
      </c>
      <c r="AO16" s="208">
        <f>SUMPRODUCT(($D$104:$D$120=$AL$6)*($E$104:$E$120=AO$10)*$S$104:$S$120)</f>
        <v>724</v>
      </c>
      <c r="AP16" s="214">
        <f>SUMPRODUCT(($D$104:$D$120=$AL$6)*($E$104:$E$120=AP$10)*$S$104:$S$120)</f>
        <v>0</v>
      </c>
      <c r="AQ16" s="213">
        <f>SUMPRODUCT(($D$104:$D$120=$AQ$6)*($E$104:$E$120=AQ$10)*$S$104:$S$120)</f>
        <v>2469</v>
      </c>
      <c r="AR16" s="208">
        <f>SUMPRODUCT(($D$104:$D$120=$AQ$6)*($E$104:$E$120=AR$10)*$S$104:$S$120)</f>
        <v>420</v>
      </c>
      <c r="AS16" s="208">
        <f>SUMPRODUCT(($D$104:$D$120=$AQ$6)*($E$104:$E$120=AS$10)*$S$104:$S$120)</f>
        <v>41179</v>
      </c>
      <c r="AT16" s="208">
        <f>SUMPRODUCT(($D$104:$D$120=$AQ$6)*($E$104:$E$120=AT$10)*$S$104:$S$120)</f>
        <v>0</v>
      </c>
      <c r="AU16" s="214">
        <f>SUMPRODUCT(($D$104:$D$120=$AQ$6)*($E$104:$E$120=AU$10)*$S$104:$S$120)</f>
        <v>10000</v>
      </c>
      <c r="AV16" s="159">
        <f t="shared" si="8"/>
        <v>115266</v>
      </c>
    </row>
    <row r="17" spans="1:48" ht="15" customHeight="1" x14ac:dyDescent="0.25">
      <c r="A17" s="164" t="s">
        <v>265</v>
      </c>
      <c r="B17" s="184">
        <f>$J$2-(S26)</f>
        <v>-13156.666666666686</v>
      </c>
      <c r="C17" s="275"/>
      <c r="D17" s="97" t="s">
        <v>152</v>
      </c>
      <c r="E17" s="97" t="s">
        <v>145</v>
      </c>
      <c r="F17" s="85"/>
      <c r="G17" s="46"/>
      <c r="H17" s="85"/>
      <c r="I17" s="46"/>
      <c r="J17" s="46"/>
      <c r="K17" s="46"/>
      <c r="L17" s="46"/>
      <c r="M17" s="46"/>
      <c r="N17" s="46"/>
      <c r="O17" s="89"/>
      <c r="P17" s="46"/>
      <c r="Q17" s="46"/>
      <c r="R17" s="46"/>
      <c r="S17" s="83">
        <f t="shared" si="3"/>
        <v>0</v>
      </c>
      <c r="T17" s="281"/>
      <c r="V17" s="259">
        <f>$C$142</f>
        <v>202508</v>
      </c>
      <c r="W17" s="260">
        <f>T142</f>
        <v>146362</v>
      </c>
      <c r="X17" s="260">
        <f>T149</f>
        <v>2400</v>
      </c>
      <c r="Y17" s="260">
        <f>T154</f>
        <v>29069</v>
      </c>
      <c r="Z17" s="260">
        <f t="shared" si="5"/>
        <v>177831</v>
      </c>
      <c r="AD17" s="200">
        <f t="shared" si="6"/>
        <v>202507</v>
      </c>
      <c r="AE17" s="116">
        <f t="shared" ref="AE17:AK17" si="13">SUMPRODUCT(($D$123:$D$139=$AE$6)*($E$123:$E$139=AE$10)*$S$123:$S$139)</f>
        <v>23992</v>
      </c>
      <c r="AF17" s="204">
        <f t="shared" si="13"/>
        <v>1698</v>
      </c>
      <c r="AG17" s="117">
        <f t="shared" si="13"/>
        <v>11849</v>
      </c>
      <c r="AH17" s="205">
        <f t="shared" si="13"/>
        <v>5059</v>
      </c>
      <c r="AI17" s="204">
        <f t="shared" si="13"/>
        <v>0</v>
      </c>
      <c r="AJ17" s="205">
        <f t="shared" si="13"/>
        <v>20200</v>
      </c>
      <c r="AK17" s="117">
        <f t="shared" si="13"/>
        <v>0</v>
      </c>
      <c r="AL17" s="213">
        <f>SUMPRODUCT(($D$123:$D$139=$AL$6)*($E$123:$E$139=AL$10)*$S$123:$S$139)</f>
        <v>5000</v>
      </c>
      <c r="AM17" s="208">
        <f>SUMPRODUCT(($D$123:$D$139=$AL$6)*($E$123:$E$139=AM$10)*$S$123:$S$139)</f>
        <v>8000</v>
      </c>
      <c r="AN17" s="208">
        <f>SUMPRODUCT(($D$123:$D$139=$AL$6)*($E$123:$E$139=AN$10)*$S$123:$S$139)</f>
        <v>2204</v>
      </c>
      <c r="AO17" s="208">
        <f>SUMPRODUCT(($D$123:$D$139=$AL$6)*($E$123:$E$139=AO$10)*$S$123:$S$139)</f>
        <v>1504</v>
      </c>
      <c r="AP17" s="214">
        <f>SUMPRODUCT(($D$123:$D$139=$AL$6)*($E$123:$E$139=AP$10)*$S$123:$S$139)</f>
        <v>577</v>
      </c>
      <c r="AQ17" s="213">
        <f>SUMPRODUCT(($D$123:$D$139=$AQ$6)*($E$123:$E$139=AQ$10)*$S$123:$S$139)</f>
        <v>57070</v>
      </c>
      <c r="AR17" s="208">
        <f>SUMPRODUCT(($D$123:$D$139=$AQ$6)*($E$123:$E$139=AR$10)*$S$123:$S$139)</f>
        <v>1540</v>
      </c>
      <c r="AS17" s="208">
        <f>SUMPRODUCT(($D$123:$D$139=$AQ$6)*($E$123:$E$139=AS$10)*$S$123:$S$139)</f>
        <v>73722</v>
      </c>
      <c r="AT17" s="208">
        <f>SUMPRODUCT(($D$123:$D$139=$AQ$6)*($E$123:$E$139=AT$10)*$S$123:$S$139)</f>
        <v>0</v>
      </c>
      <c r="AU17" s="214">
        <f>SUMPRODUCT(($D$123:$D$139=$AQ$6)*($E$123:$E$139=AU$10)*$S$123:$S$139)</f>
        <v>861</v>
      </c>
      <c r="AV17" s="159">
        <f t="shared" si="8"/>
        <v>213276</v>
      </c>
    </row>
    <row r="18" spans="1:48" ht="15" customHeight="1" x14ac:dyDescent="0.25">
      <c r="C18" s="275"/>
      <c r="D18" s="97" t="s">
        <v>152</v>
      </c>
      <c r="E18" s="97" t="s">
        <v>146</v>
      </c>
      <c r="F18" s="86"/>
      <c r="G18" s="46"/>
      <c r="H18" s="87"/>
      <c r="I18" s="87"/>
      <c r="J18" s="46"/>
      <c r="K18" s="46"/>
      <c r="L18" s="46"/>
      <c r="M18" s="46"/>
      <c r="N18" s="46"/>
      <c r="O18" s="46"/>
      <c r="P18" s="46"/>
      <c r="Q18" s="46"/>
      <c r="R18" s="46"/>
      <c r="S18" s="83">
        <f t="shared" si="3"/>
        <v>0</v>
      </c>
      <c r="T18" s="281"/>
      <c r="V18" s="259">
        <f>$C$161</f>
        <v>202509</v>
      </c>
      <c r="W18" s="260">
        <f>T161</f>
        <v>98000</v>
      </c>
      <c r="X18" s="260">
        <f>T168</f>
        <v>1666</v>
      </c>
      <c r="Y18" s="260">
        <f>T173</f>
        <v>0</v>
      </c>
      <c r="Z18" s="260">
        <f t="shared" si="5"/>
        <v>99666</v>
      </c>
      <c r="AD18" s="200">
        <f t="shared" si="6"/>
        <v>202508</v>
      </c>
      <c r="AE18" s="116">
        <f t="shared" ref="AE18:AK18" si="14">SUMPRODUCT(($D$142:$D$158=$AE$6)*($E$142:$E$158=AE$10)*$S$142:$S$158)</f>
        <v>22845</v>
      </c>
      <c r="AF18" s="204">
        <f t="shared" si="14"/>
        <v>0</v>
      </c>
      <c r="AG18" s="117">
        <f t="shared" si="14"/>
        <v>10798</v>
      </c>
      <c r="AH18" s="205">
        <f t="shared" si="14"/>
        <v>9588</v>
      </c>
      <c r="AI18" s="204">
        <f t="shared" si="14"/>
        <v>87880</v>
      </c>
      <c r="AJ18" s="205">
        <f t="shared" si="14"/>
        <v>13687</v>
      </c>
      <c r="AK18" s="117">
        <f t="shared" si="14"/>
        <v>1564</v>
      </c>
      <c r="AL18" s="213">
        <f>SUMPRODUCT(($D$142:$D$158=$AL$6)*($E$142:$E$158=AL$10)*$S$142:$S$158)</f>
        <v>400</v>
      </c>
      <c r="AM18" s="208">
        <f>SUMPRODUCT(($D$142:$D$158=$AL$6)*($E$142:$E$158=AM$10)*$S$142:$S$158)</f>
        <v>0</v>
      </c>
      <c r="AN18" s="208">
        <f>SUMPRODUCT(($D$142:$D$158=$AL$6)*($E$142:$E$158=AN$10)*$S$142:$S$158)</f>
        <v>1250</v>
      </c>
      <c r="AO18" s="208">
        <f>SUMPRODUCT(($D$142:$D$158=$AL$6)*($E$142:$E$158=AO$10)*$S$142:$S$158)</f>
        <v>750</v>
      </c>
      <c r="AP18" s="214">
        <f>SUMPRODUCT(($D$142:$D$158=$AL$6)*($E$142:$E$158=AP$10)*$S$142:$S$158)</f>
        <v>0</v>
      </c>
      <c r="AQ18" s="213">
        <f>SUMPRODUCT(($D$142:$D$158=$AQ$6)*($E$142:$E$158=AQ$10)*$S$142:$S$158)</f>
        <v>15474</v>
      </c>
      <c r="AR18" s="208">
        <f>SUMPRODUCT(($D$142:$D$158=$AQ$6)*($E$142:$E$158=AR$10)*$S$142:$S$158)</f>
        <v>1340</v>
      </c>
      <c r="AS18" s="208">
        <f>SUMPRODUCT(($D$142:$D$158=$AQ$6)*($E$142:$E$158=AS$10)*$S$142:$S$158)</f>
        <v>0</v>
      </c>
      <c r="AT18" s="208">
        <f>SUMPRODUCT(($D$142:$D$158=$AQ$6)*($E$142:$E$158=AT$10)*$S$142:$S$158)</f>
        <v>11655</v>
      </c>
      <c r="AU18" s="214">
        <f>SUMPRODUCT(($D$142:$D$158=$AQ$6)*($E$142:$E$158=AU$10)*$S$142:$S$158)</f>
        <v>600</v>
      </c>
      <c r="AV18" s="159">
        <f t="shared" si="8"/>
        <v>177831</v>
      </c>
    </row>
    <row r="19" spans="1:48" ht="15" customHeight="1" x14ac:dyDescent="0.25">
      <c r="C19" s="275"/>
      <c r="D19" s="97" t="s">
        <v>152</v>
      </c>
      <c r="E19" s="97" t="s">
        <v>147</v>
      </c>
      <c r="F19" s="86"/>
      <c r="G19" s="46"/>
      <c r="H19" s="87"/>
      <c r="I19" s="87"/>
      <c r="J19" s="46"/>
      <c r="K19" s="46"/>
      <c r="L19" s="46"/>
      <c r="M19" s="46"/>
      <c r="N19" s="46"/>
      <c r="O19" s="46"/>
      <c r="P19" s="46"/>
      <c r="Q19" s="46"/>
      <c r="R19" s="46"/>
      <c r="S19" s="83">
        <f t="shared" si="3"/>
        <v>0</v>
      </c>
      <c r="T19" s="281"/>
      <c r="V19" s="259">
        <f>$C$180</f>
        <v>202510</v>
      </c>
      <c r="W19" s="260">
        <f>T180</f>
        <v>78884</v>
      </c>
      <c r="X19" s="260">
        <f>T187</f>
        <v>3443</v>
      </c>
      <c r="Y19" s="260">
        <f>T192</f>
        <v>172924.96299999999</v>
      </c>
      <c r="Z19" s="260">
        <f t="shared" si="5"/>
        <v>255251.96299999999</v>
      </c>
      <c r="AD19" s="200">
        <f t="shared" si="6"/>
        <v>202509</v>
      </c>
      <c r="AE19" s="116">
        <f t="shared" ref="AE19:AK19" si="15">SUMPRODUCT(($D$161:$D$177=$AE$6)*($E$161:$E$177=AE$10)*$S$161:$S$177)</f>
        <v>24452</v>
      </c>
      <c r="AF19" s="204">
        <f t="shared" si="15"/>
        <v>2480</v>
      </c>
      <c r="AG19" s="117">
        <f t="shared" si="15"/>
        <v>20887</v>
      </c>
      <c r="AH19" s="205">
        <f t="shared" si="15"/>
        <v>8039</v>
      </c>
      <c r="AI19" s="204">
        <f t="shared" si="15"/>
        <v>29648</v>
      </c>
      <c r="AJ19" s="205">
        <f t="shared" si="15"/>
        <v>9000</v>
      </c>
      <c r="AK19" s="117">
        <f t="shared" si="15"/>
        <v>3494</v>
      </c>
      <c r="AL19" s="213">
        <f>SUMPRODUCT(($D$161:$D$177=$AL$6)*($E$161:$E$177=AL$10)*$S$161:$S$177)</f>
        <v>0</v>
      </c>
      <c r="AM19" s="208">
        <f>SUMPRODUCT(($D$161:$D$177=$AL$6)*($E$161:$E$177=AM$10)*$S$161:$S$177)</f>
        <v>0</v>
      </c>
      <c r="AN19" s="208">
        <f>SUMPRODUCT(($D$161:$D$177=$AL$6)*($E$161:$E$177=AN$10)*$S$161:$S$177)</f>
        <v>697</v>
      </c>
      <c r="AO19" s="208">
        <f>SUMPRODUCT(($D$161:$D$177=$AL$6)*($E$161:$E$177=AO$10)*$S$161:$S$177)</f>
        <v>614</v>
      </c>
      <c r="AP19" s="214">
        <f>SUMPRODUCT(($D$161:$D$177=$AL$6)*($E$161:$E$177=AP$10)*$S$161:$S$177)</f>
        <v>355</v>
      </c>
      <c r="AQ19" s="213">
        <f>SUMPRODUCT(($D$161:$D$177=$AQ$6)*($E$161:$E$177=AQ$10)*$S$161:$S$177)</f>
        <v>0</v>
      </c>
      <c r="AR19" s="208">
        <f>SUMPRODUCT(($D$161:$D$177=$AQ$6)*($E$161:$E$177=AR$10)*$S$161:$S$177)</f>
        <v>0</v>
      </c>
      <c r="AS19" s="208">
        <f>SUMPRODUCT(($D$161:$D$177=$AQ$6)*($E$161:$E$177=AS$10)*$S$161:$S$177)</f>
        <v>0</v>
      </c>
      <c r="AT19" s="208">
        <f>SUMPRODUCT(($D$161:$D$177=$AQ$6)*($E$161:$E$177=AT$10)*$S$161:$S$177)</f>
        <v>0</v>
      </c>
      <c r="AU19" s="214">
        <f>SUMPRODUCT(($D$161:$D$177=$AQ$6)*($E$161:$E$177=AU$10)*$S$161:$S$177)</f>
        <v>0</v>
      </c>
      <c r="AV19" s="159">
        <f t="shared" si="8"/>
        <v>99666</v>
      </c>
    </row>
    <row r="20" spans="1:48" ht="15" customHeight="1" x14ac:dyDescent="0.25">
      <c r="B20" s="52"/>
      <c r="C20" s="275"/>
      <c r="D20" s="97" t="s">
        <v>152</v>
      </c>
      <c r="E20" s="97" t="s">
        <v>168</v>
      </c>
      <c r="F20" s="85">
        <v>120</v>
      </c>
      <c r="G20" s="85"/>
      <c r="H20" s="87"/>
      <c r="I20" s="87"/>
      <c r="J20" s="46"/>
      <c r="K20" s="46"/>
      <c r="L20" s="46"/>
      <c r="M20" s="46"/>
      <c r="N20" s="46"/>
      <c r="O20" s="46"/>
      <c r="P20" s="46"/>
      <c r="Q20" s="86"/>
      <c r="R20" s="46"/>
      <c r="S20" s="83">
        <f t="shared" si="3"/>
        <v>120</v>
      </c>
      <c r="T20" s="281"/>
      <c r="V20" s="259">
        <f>$C$199</f>
        <v>202511</v>
      </c>
      <c r="W20" s="260">
        <f>T199</f>
        <v>80754</v>
      </c>
      <c r="X20" s="260">
        <f>T206</f>
        <v>2776</v>
      </c>
      <c r="Y20" s="260">
        <f>T211</f>
        <v>42641</v>
      </c>
      <c r="Z20" s="260">
        <f t="shared" si="5"/>
        <v>126171</v>
      </c>
      <c r="AD20" s="200">
        <f t="shared" si="6"/>
        <v>202510</v>
      </c>
      <c r="AE20" s="116">
        <f t="shared" ref="AE20:AK20" si="16">SUMPRODUCT(($D$180:$D$196=$AE$6)*($E$180:$E$196=AE$10)*$S$180:$S$196)</f>
        <v>22896</v>
      </c>
      <c r="AF20" s="204">
        <f t="shared" si="16"/>
        <v>1670</v>
      </c>
      <c r="AG20" s="117">
        <f t="shared" si="16"/>
        <v>29037</v>
      </c>
      <c r="AH20" s="205">
        <f t="shared" si="16"/>
        <v>4769</v>
      </c>
      <c r="AI20" s="204">
        <f t="shared" si="16"/>
        <v>11512</v>
      </c>
      <c r="AJ20" s="205">
        <f t="shared" si="16"/>
        <v>9000</v>
      </c>
      <c r="AK20" s="117">
        <f t="shared" si="16"/>
        <v>0</v>
      </c>
      <c r="AL20" s="213">
        <f>SUMPRODUCT(($D$180:$D$196=$AL$6)*($E$180:$E$196=AL$10)*$S$180:$S$196)</f>
        <v>0</v>
      </c>
      <c r="AM20" s="208">
        <f>SUMPRODUCT(($D$180:$D$196=$AL$6)*($E$180:$E$196=AM$10)*$S$180:$S$196)</f>
        <v>0</v>
      </c>
      <c r="AN20" s="208">
        <f>SUMPRODUCT(($D$180:$D$196=$AL$6)*($E$180:$E$196=AN$10)*$S$180:$S$196)</f>
        <v>1480</v>
      </c>
      <c r="AO20" s="208">
        <f>SUMPRODUCT(($D$180:$D$196=$AL$6)*($E$180:$E$196=AO$10)*$S$180:$S$196)</f>
        <v>1963</v>
      </c>
      <c r="AP20" s="214">
        <f>SUMPRODUCT(($D$180:$D$196=$AL$6)*($E$180:$E$196=AP$10)*$S$180:$S$196)</f>
        <v>0</v>
      </c>
      <c r="AQ20" s="213">
        <f>SUMPRODUCT(($D$180:$D$196=$AQ$6)*($E$180:$E$196=AQ$10)*$S$180:$S$196)</f>
        <v>156234.96299999999</v>
      </c>
      <c r="AR20" s="208">
        <f>SUMPRODUCT(($D$180:$D$196=$AQ$6)*($E$180:$E$196=AR$10)*$S$180:$S$196)</f>
        <v>5530</v>
      </c>
      <c r="AS20" s="208">
        <f>SUMPRODUCT(($D$180:$D$196=$AQ$6)*($E$180:$E$196=AS$10)*$S$180:$S$196)</f>
        <v>5242</v>
      </c>
      <c r="AT20" s="208">
        <f>SUMPRODUCT(($D$180:$D$196=$AQ$6)*($E$180:$E$196=AT$10)*$S$180:$S$196)</f>
        <v>5918</v>
      </c>
      <c r="AU20" s="214">
        <f>SUMPRODUCT(($D$180:$D$196=$AQ$6)*($E$180:$E$196=AU$10)*$S$180:$S$196)</f>
        <v>0</v>
      </c>
      <c r="AV20" s="159">
        <f t="shared" si="8"/>
        <v>255251.96299999999</v>
      </c>
    </row>
    <row r="21" spans="1:48" ht="15" customHeight="1" x14ac:dyDescent="0.25">
      <c r="C21" s="275"/>
      <c r="D21" s="98" t="s">
        <v>153</v>
      </c>
      <c r="E21" s="178" t="s">
        <v>258</v>
      </c>
      <c r="F21" s="81">
        <f>4240+2031+120+1000+1199+50+685+80+475+1260+165</f>
        <v>11305</v>
      </c>
      <c r="G21" s="81">
        <f>188+1000</f>
        <v>1188</v>
      </c>
      <c r="H21" s="81">
        <f>45+500</f>
        <v>545</v>
      </c>
      <c r="I21" s="81">
        <v>35</v>
      </c>
      <c r="J21" s="81"/>
      <c r="K21" s="81"/>
      <c r="L21" s="81">
        <v>258</v>
      </c>
      <c r="M21" s="81">
        <f>68+720+315+796+140+100+110</f>
        <v>2249</v>
      </c>
      <c r="N21" s="81">
        <f>100+1156</f>
        <v>1256</v>
      </c>
      <c r="O21" s="81">
        <v>400</v>
      </c>
      <c r="P21" s="81">
        <v>610</v>
      </c>
      <c r="Q21" s="81"/>
      <c r="R21" s="81"/>
      <c r="S21" s="82">
        <f t="shared" si="3"/>
        <v>17846</v>
      </c>
      <c r="T21" s="282">
        <f>SUM(S21:S25)</f>
        <v>38997.333333333328</v>
      </c>
      <c r="V21" s="259">
        <f>$C$218</f>
        <v>202512</v>
      </c>
      <c r="W21" s="260">
        <f>T218</f>
        <v>70460</v>
      </c>
      <c r="X21" s="260">
        <f>T225</f>
        <v>14317</v>
      </c>
      <c r="Y21" s="260">
        <f>T230</f>
        <v>5724.6666666666661</v>
      </c>
      <c r="Z21" s="260">
        <f t="shared" si="5"/>
        <v>90501.666666666672</v>
      </c>
      <c r="AD21" s="200">
        <f t="shared" si="6"/>
        <v>202511</v>
      </c>
      <c r="AE21" s="116">
        <f t="shared" ref="AE21:AK21" si="17">SUMPRODUCT(($D$199:$D$215=$AE$6)*($E$199:$E$215=AE$10)*$S$199:$S$215)</f>
        <v>25564</v>
      </c>
      <c r="AF21" s="204">
        <f t="shared" si="17"/>
        <v>2783</v>
      </c>
      <c r="AG21" s="117">
        <f t="shared" si="17"/>
        <v>21906</v>
      </c>
      <c r="AH21" s="205">
        <f t="shared" si="17"/>
        <v>4773</v>
      </c>
      <c r="AI21" s="204">
        <f t="shared" si="17"/>
        <v>17186</v>
      </c>
      <c r="AJ21" s="205">
        <f t="shared" si="17"/>
        <v>7867</v>
      </c>
      <c r="AK21" s="117">
        <f t="shared" si="17"/>
        <v>675</v>
      </c>
      <c r="AL21" s="213">
        <f>SUMPRODUCT(($D$199:$D$215=$AL$6)*($E$199:$E$215=AL$10)*$S$199:$S$215)</f>
        <v>320</v>
      </c>
      <c r="AM21" s="208">
        <f>SUMPRODUCT(($D$199:$D$215=$AL$6)*($E$199:$E$215=AM$10)*$S$199:$S$215)</f>
        <v>0</v>
      </c>
      <c r="AN21" s="208">
        <f>SUMPRODUCT(($D$199:$D$215=$AL$6)*($E$199:$E$215=AN$10)*$S$199:$S$215)</f>
        <v>334</v>
      </c>
      <c r="AO21" s="208">
        <f>SUMPRODUCT(($D$199:$D$215=$AL$6)*($E$199:$E$215=AO$10)*$S$199:$S$215)</f>
        <v>424</v>
      </c>
      <c r="AP21" s="214">
        <f>SUMPRODUCT(($D$199:$D$215=$AL$6)*($E$199:$E$215=AP$10)*$S$199:$S$215)</f>
        <v>1698</v>
      </c>
      <c r="AQ21" s="213">
        <f>SUMPRODUCT(($D$199:$D$215=$AQ$6)*($E$199:$E$215=AQ$10)*$S$199:$S$215)</f>
        <v>11320</v>
      </c>
      <c r="AR21" s="208">
        <f>SUMPRODUCT(($D$199:$D$215=$AQ$6)*($E$199:$E$215=AR$10)*$S$199:$S$215)</f>
        <v>11919</v>
      </c>
      <c r="AS21" s="208">
        <f>SUMPRODUCT(($D$199:$D$215=$AQ$6)*($E$199:$E$215=AS$10)*$S$199:$S$215)</f>
        <v>16019</v>
      </c>
      <c r="AT21" s="208">
        <f>SUMPRODUCT(($D$199:$D$215=$AQ$6)*($E$199:$E$215=AT$10)*$S$199:$S$215)</f>
        <v>3383</v>
      </c>
      <c r="AU21" s="214">
        <f>SUMPRODUCT(($D$199:$D$215=$AQ$6)*($E$199:$E$215=AU$10)*$S$199:$S$215)</f>
        <v>0</v>
      </c>
      <c r="AV21" s="159">
        <f t="shared" si="8"/>
        <v>126171</v>
      </c>
    </row>
    <row r="22" spans="1:48" ht="15" customHeight="1" thickBot="1" x14ac:dyDescent="0.3">
      <c r="C22" s="275"/>
      <c r="D22" s="99" t="s">
        <v>153</v>
      </c>
      <c r="E22" s="137" t="s">
        <v>143</v>
      </c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>
        <f t="shared" si="3"/>
        <v>0</v>
      </c>
      <c r="T22" s="283"/>
      <c r="AD22" s="200">
        <f t="shared" si="6"/>
        <v>202512</v>
      </c>
      <c r="AE22" s="268">
        <f t="shared" ref="AE22:AK22" si="18">SUMPRODUCT(($D$218:$D$234=$AE$6)*($E$218:$E$234=AE$10)*$S$218:$S$234)</f>
        <v>26735</v>
      </c>
      <c r="AF22" s="269">
        <f t="shared" si="18"/>
        <v>8943</v>
      </c>
      <c r="AG22" s="270">
        <f t="shared" si="18"/>
        <v>18452</v>
      </c>
      <c r="AH22" s="271">
        <f t="shared" si="18"/>
        <v>3060</v>
      </c>
      <c r="AI22" s="269">
        <f t="shared" si="18"/>
        <v>11200</v>
      </c>
      <c r="AJ22" s="271">
        <f t="shared" si="18"/>
        <v>1800</v>
      </c>
      <c r="AK22" s="270">
        <f t="shared" si="18"/>
        <v>270</v>
      </c>
      <c r="AL22" s="272">
        <f>SUMPRODUCT(($D$218:$D$234=$AL$6)*($E$218:$E$234=AL$10)*$S$218:$S$234)</f>
        <v>6101</v>
      </c>
      <c r="AM22" s="273">
        <f>SUMPRODUCT(($D$218:$D$234=$AL$6)*($E$218:$E$234=AM$10)*$S$218:$S$234)</f>
        <v>4990</v>
      </c>
      <c r="AN22" s="273">
        <f>SUMPRODUCT(($D$218:$D$234=$AL$6)*($E$218:$E$234=AN$10)*$S$218:$S$234)</f>
        <v>484</v>
      </c>
      <c r="AO22" s="273">
        <f>SUMPRODUCT(($D$218:$D$234=$AL$6)*($E$218:$E$234=AO$10)*$S$218:$S$234)</f>
        <v>2742</v>
      </c>
      <c r="AP22" s="274">
        <f>SUMPRODUCT(($D$218:$D$234=$AL$6)*($E$218:$E$234=AP$10)*$S$218:$S$234)</f>
        <v>0</v>
      </c>
      <c r="AQ22" s="272">
        <f>SUMPRODUCT(($D$218:$D$234=$AQ$6)*($E$218:$E$234=AQ$10)*$S$218:$S$234)</f>
        <v>0</v>
      </c>
      <c r="AR22" s="273">
        <f>SUMPRODUCT(($D$218:$D$234=$AQ$6)*($E$218:$E$234=AR$10)*$S$218:$S$234)</f>
        <v>2349</v>
      </c>
      <c r="AS22" s="273">
        <f>SUMPRODUCT(($D$218:$D$234=$AQ$6)*($E$218:$E$234=AS$10)*$S$218:$S$234)</f>
        <v>0</v>
      </c>
      <c r="AT22" s="273">
        <f>SUMPRODUCT(($D$218:$D$234=$AQ$6)*($E$218:$E$234=AT$10)*$S$218:$S$234)</f>
        <v>3375.6666666666665</v>
      </c>
      <c r="AU22" s="274">
        <f>SUMPRODUCT(($D$218:$D$234=$AQ$6)*($E$218:$E$234=AU$10)*$S$218:$S$234)</f>
        <v>0</v>
      </c>
      <c r="AV22" s="159">
        <f t="shared" si="8"/>
        <v>90501.666666666672</v>
      </c>
    </row>
    <row r="23" spans="1:48" ht="15" customHeight="1" x14ac:dyDescent="0.25">
      <c r="C23" s="275"/>
      <c r="D23" s="99" t="s">
        <v>153</v>
      </c>
      <c r="E23" s="99" t="s">
        <v>172</v>
      </c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>
        <f t="shared" si="3"/>
        <v>0</v>
      </c>
      <c r="T23" s="283"/>
      <c r="AD23" s="90"/>
      <c r="AF23" s="52"/>
    </row>
    <row r="24" spans="1:48" s="41" customFormat="1" ht="15" customHeight="1" x14ac:dyDescent="0.25">
      <c r="B24" s="45"/>
      <c r="C24" s="276"/>
      <c r="D24" s="99" t="s">
        <v>153</v>
      </c>
      <c r="E24" s="99" t="s">
        <v>173</v>
      </c>
      <c r="F24" s="82"/>
      <c r="G24" s="82"/>
      <c r="H24" s="82"/>
      <c r="I24" s="82"/>
      <c r="J24" s="82"/>
      <c r="K24" s="180"/>
      <c r="L24" s="82"/>
      <c r="M24" s="82"/>
      <c r="N24" s="82"/>
      <c r="O24" s="82"/>
      <c r="P24" s="82"/>
      <c r="Q24" s="82">
        <f>40508/6</f>
        <v>6751.333333333333</v>
      </c>
      <c r="R24" s="82"/>
      <c r="S24" s="82">
        <f t="shared" si="3"/>
        <v>6751.333333333333</v>
      </c>
      <c r="T24" s="283"/>
      <c r="AD24" s="45"/>
      <c r="AE24" s="45"/>
      <c r="AF24" s="52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</row>
    <row r="25" spans="1:48" ht="15.75" customHeight="1" thickBot="1" x14ac:dyDescent="0.3">
      <c r="C25" s="276"/>
      <c r="D25" s="100" t="s">
        <v>153</v>
      </c>
      <c r="E25" s="100" t="s">
        <v>168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>
        <f>12000*2-3600*4+12000-2000*2+2000*2-2600*2-1000*2</f>
        <v>14400</v>
      </c>
      <c r="R25" s="48"/>
      <c r="S25" s="48">
        <f t="shared" si="3"/>
        <v>14400</v>
      </c>
      <c r="T25" s="283"/>
      <c r="AD25" s="41"/>
      <c r="AE25" s="41"/>
      <c r="AF25" s="52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</row>
    <row r="26" spans="1:48" ht="15" customHeight="1" x14ac:dyDescent="0.25">
      <c r="D26" s="101" t="s">
        <v>120</v>
      </c>
      <c r="E26" s="101" t="s">
        <v>120</v>
      </c>
      <c r="F26" s="64">
        <f t="shared" ref="F26:S26" si="19">SUM(F9:F25)</f>
        <v>66421</v>
      </c>
      <c r="G26" s="64">
        <f t="shared" si="19"/>
        <v>16037</v>
      </c>
      <c r="H26" s="64">
        <f t="shared" si="19"/>
        <v>3052</v>
      </c>
      <c r="I26" s="64">
        <f t="shared" si="19"/>
        <v>462</v>
      </c>
      <c r="J26" s="64">
        <f t="shared" si="19"/>
        <v>0</v>
      </c>
      <c r="K26" s="64">
        <f t="shared" si="19"/>
        <v>181</v>
      </c>
      <c r="L26" s="64">
        <f t="shared" si="19"/>
        <v>258</v>
      </c>
      <c r="M26" s="64">
        <f t="shared" si="19"/>
        <v>13783</v>
      </c>
      <c r="N26" s="64">
        <f t="shared" si="19"/>
        <v>1256</v>
      </c>
      <c r="O26" s="64">
        <f t="shared" si="19"/>
        <v>2025</v>
      </c>
      <c r="P26" s="64">
        <f t="shared" si="19"/>
        <v>610</v>
      </c>
      <c r="Q26" s="64">
        <f t="shared" si="19"/>
        <v>75738.333333333343</v>
      </c>
      <c r="R26" s="64">
        <f t="shared" si="19"/>
        <v>0</v>
      </c>
      <c r="S26" s="54">
        <f t="shared" si="19"/>
        <v>179823.33333333334</v>
      </c>
      <c r="AF26" s="52"/>
    </row>
    <row r="27" spans="1:48" ht="15.75" customHeight="1" thickBot="1" x14ac:dyDescent="0.3">
      <c r="D27" s="101"/>
      <c r="E27" s="101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50"/>
      <c r="AF27" s="52"/>
    </row>
    <row r="28" spans="1:48" ht="17.25" x14ac:dyDescent="0.25">
      <c r="A28" s="166" t="s">
        <v>188</v>
      </c>
      <c r="B28" s="167">
        <f>B9+1</f>
        <v>202502</v>
      </c>
      <c r="C28" s="275">
        <f>B28</f>
        <v>202502</v>
      </c>
      <c r="D28" s="94" t="s">
        <v>151</v>
      </c>
      <c r="E28" s="177" t="s">
        <v>252</v>
      </c>
      <c r="F28" s="60">
        <f>645+1395-1260+115+594+210+100+160+45+49+1155+125+200</f>
        <v>3533</v>
      </c>
      <c r="G28" s="59">
        <f>500+262+168+58+204</f>
        <v>1192</v>
      </c>
      <c r="H28" s="59"/>
      <c r="I28" s="60">
        <f>60+95+150+75</f>
        <v>380</v>
      </c>
      <c r="J28" s="59"/>
      <c r="K28" s="60"/>
      <c r="L28" s="60"/>
      <c r="M28" s="60">
        <f>1175+114+160+402+258+107+560+254+146+100+175+600+71+486+122+119+118+305+99+31+129</f>
        <v>5531</v>
      </c>
      <c r="N28" s="60">
        <f>288+139</f>
        <v>427</v>
      </c>
      <c r="O28" s="60"/>
      <c r="P28" s="60"/>
      <c r="Q28" s="60">
        <f>2000+2000+2000+2000</f>
        <v>8000</v>
      </c>
      <c r="R28" s="60"/>
      <c r="S28" s="44">
        <f t="shared" ref="S28:S44" si="20">SUM(F28:R28)</f>
        <v>19063</v>
      </c>
      <c r="T28" s="277">
        <f>SUM(S28:S34)</f>
        <v>74309</v>
      </c>
      <c r="AE28" s="52"/>
    </row>
    <row r="29" spans="1:48" ht="15" customHeight="1" thickBot="1" x14ac:dyDescent="0.3">
      <c r="A29" s="164" t="s">
        <v>247</v>
      </c>
      <c r="B29" s="162">
        <f>$J$2</f>
        <v>166666.66666666666</v>
      </c>
      <c r="C29" s="275"/>
      <c r="D29" s="95" t="s">
        <v>151</v>
      </c>
      <c r="E29" s="176" t="s">
        <v>251</v>
      </c>
      <c r="F29" s="79"/>
      <c r="G29" s="78"/>
      <c r="H29" s="78"/>
      <c r="I29" s="79"/>
      <c r="J29" s="78"/>
      <c r="K29" s="79"/>
      <c r="L29" s="79"/>
      <c r="M29" s="79"/>
      <c r="N29" s="79"/>
      <c r="O29" s="79"/>
      <c r="P29" s="79"/>
      <c r="Q29" s="79"/>
      <c r="R29" s="79"/>
      <c r="S29" s="80">
        <f t="shared" si="20"/>
        <v>0</v>
      </c>
      <c r="T29" s="278"/>
    </row>
    <row r="30" spans="1:48" ht="15" customHeight="1" thickTop="1" x14ac:dyDescent="0.25">
      <c r="A30" s="165" t="s">
        <v>237</v>
      </c>
      <c r="B30" s="182">
        <f>SUMPRODUCT((($V$10:$V$21)&lt;=VALUE(B28))*($Z$10:$Z$21))</f>
        <v>363757.66666666663</v>
      </c>
      <c r="C30" s="275"/>
      <c r="D30" s="95" t="s">
        <v>151</v>
      </c>
      <c r="E30" s="176" t="s">
        <v>254</v>
      </c>
      <c r="F30" s="79">
        <v>3326</v>
      </c>
      <c r="G30" s="78"/>
      <c r="H30" s="78"/>
      <c r="I30" s="79">
        <v>1051</v>
      </c>
      <c r="J30" s="78"/>
      <c r="K30" s="79"/>
      <c r="L30" s="79"/>
      <c r="M30" s="79">
        <f>613+99</f>
        <v>712</v>
      </c>
      <c r="N30" s="79"/>
      <c r="O30" s="79"/>
      <c r="P30" s="79"/>
      <c r="Q30" s="79">
        <f>9374-7000+2283+2480-1240+688</f>
        <v>6585</v>
      </c>
      <c r="R30" s="79"/>
      <c r="S30" s="80">
        <f t="shared" si="20"/>
        <v>11674</v>
      </c>
      <c r="T30" s="278"/>
    </row>
    <row r="31" spans="1:48" ht="15" customHeight="1" x14ac:dyDescent="0.25">
      <c r="A31" s="165" t="s">
        <v>264</v>
      </c>
      <c r="B31" s="181">
        <f>B30/SUMPRODUCT(('2025'!$V$10:$V$21&lt;='2025'!B28)*'2024'!$Z$10:$Z$21)-1</f>
        <v>-0.14742964733823971</v>
      </c>
      <c r="C31" s="275"/>
      <c r="D31" s="95" t="s">
        <v>151</v>
      </c>
      <c r="E31" s="176" t="s">
        <v>255</v>
      </c>
      <c r="F31" s="79">
        <f>45+150+100+140+150</f>
        <v>585</v>
      </c>
      <c r="G31" s="78"/>
      <c r="H31" s="78">
        <v>527</v>
      </c>
      <c r="I31" s="79">
        <f>280+280</f>
        <v>560</v>
      </c>
      <c r="J31" s="78"/>
      <c r="K31" s="79"/>
      <c r="L31" s="79"/>
      <c r="M31" s="79">
        <f>150+60+105+83+20</f>
        <v>418</v>
      </c>
      <c r="N31" s="79"/>
      <c r="O31" s="79">
        <v>1450</v>
      </c>
      <c r="P31" s="79"/>
      <c r="Q31" s="79">
        <f>597+981</f>
        <v>1578</v>
      </c>
      <c r="R31" s="79"/>
      <c r="S31" s="80">
        <f t="shared" si="20"/>
        <v>5118</v>
      </c>
      <c r="T31" s="278"/>
    </row>
    <row r="32" spans="1:48" ht="15" customHeight="1" x14ac:dyDescent="0.25">
      <c r="A32" s="165" t="s">
        <v>236</v>
      </c>
      <c r="B32" s="186">
        <f>B30-$K$2*VALUE(RIGHT(B28,2))/9</f>
        <v>363757.66666666663</v>
      </c>
      <c r="C32" s="275"/>
      <c r="D32" s="96" t="s">
        <v>151</v>
      </c>
      <c r="E32" s="176" t="s">
        <v>256</v>
      </c>
      <c r="F32" s="79">
        <v>29730</v>
      </c>
      <c r="G32" s="78"/>
      <c r="H32" s="78"/>
      <c r="I32" s="78"/>
      <c r="J32" s="78"/>
      <c r="K32" s="79"/>
      <c r="L32" s="79"/>
      <c r="M32" s="79"/>
      <c r="N32" s="79"/>
      <c r="O32" s="79"/>
      <c r="P32" s="79"/>
      <c r="Q32" s="79"/>
      <c r="R32" s="79"/>
      <c r="S32" s="80">
        <f t="shared" si="20"/>
        <v>29730</v>
      </c>
      <c r="T32" s="278"/>
    </row>
    <row r="33" spans="1:48" ht="15" customHeight="1" x14ac:dyDescent="0.25">
      <c r="A33" s="164" t="s">
        <v>242</v>
      </c>
      <c r="B33" s="157">
        <f>B32/($J$2*12)</f>
        <v>0.18187883333333332</v>
      </c>
      <c r="C33" s="275"/>
      <c r="D33" s="95" t="s">
        <v>151</v>
      </c>
      <c r="E33" s="176" t="s">
        <v>257</v>
      </c>
      <c r="F33" s="79"/>
      <c r="G33" s="78"/>
      <c r="H33" s="78"/>
      <c r="I33" s="79">
        <f>5867+2857</f>
        <v>8724</v>
      </c>
      <c r="J33" s="78"/>
      <c r="K33" s="79"/>
      <c r="L33" s="79"/>
      <c r="M33" s="79"/>
      <c r="N33" s="79"/>
      <c r="O33" s="79"/>
      <c r="P33" s="79"/>
      <c r="Q33" s="79"/>
      <c r="R33" s="79"/>
      <c r="S33" s="80">
        <f t="shared" si="20"/>
        <v>8724</v>
      </c>
      <c r="T33" s="278"/>
    </row>
    <row r="34" spans="1:48" ht="15" customHeight="1" x14ac:dyDescent="0.25">
      <c r="A34" s="164" t="s">
        <v>241</v>
      </c>
      <c r="B34" s="126">
        <f>VALUE(RIGHT(B28,2))/12</f>
        <v>0.16666666666666666</v>
      </c>
      <c r="C34" s="275"/>
      <c r="D34" s="95" t="s">
        <v>151</v>
      </c>
      <c r="E34" s="176" t="s">
        <v>263</v>
      </c>
      <c r="F34" s="78"/>
      <c r="G34" s="78"/>
      <c r="H34" s="78"/>
      <c r="I34" s="79"/>
      <c r="J34" s="78"/>
      <c r="K34" s="79"/>
      <c r="L34" s="79"/>
      <c r="M34" s="79"/>
      <c r="N34" s="79"/>
      <c r="O34" s="79"/>
      <c r="P34" s="79"/>
      <c r="Q34" s="79"/>
      <c r="R34" s="79"/>
      <c r="S34" s="80">
        <f t="shared" si="20"/>
        <v>0</v>
      </c>
      <c r="T34" s="276"/>
    </row>
    <row r="35" spans="1:48" ht="15" customHeight="1" x14ac:dyDescent="0.25">
      <c r="A35" s="164" t="s">
        <v>243</v>
      </c>
      <c r="B35" s="161">
        <f>B29*VALUE(RIGHT(B28,2))-B32</f>
        <v>-30424.333333333314</v>
      </c>
      <c r="C35" s="275"/>
      <c r="D35" s="97" t="s">
        <v>152</v>
      </c>
      <c r="E35" s="97" t="s">
        <v>144</v>
      </c>
      <c r="F35" s="85"/>
      <c r="G35" s="46"/>
      <c r="H35" s="85"/>
      <c r="I35" s="146"/>
      <c r="J35" s="46"/>
      <c r="K35" s="46"/>
      <c r="L35" s="89"/>
      <c r="M35" s="89">
        <v>671</v>
      </c>
      <c r="N35" s="46"/>
      <c r="O35" s="46"/>
      <c r="P35" s="46"/>
      <c r="Q35" s="46"/>
      <c r="R35" s="46"/>
      <c r="S35" s="83">
        <f t="shared" si="20"/>
        <v>671</v>
      </c>
      <c r="T35" s="280">
        <f>SUM(S35:S39)</f>
        <v>1183</v>
      </c>
    </row>
    <row r="36" spans="1:48" ht="15" customHeight="1" x14ac:dyDescent="0.25">
      <c r="A36" s="164" t="s">
        <v>265</v>
      </c>
      <c r="B36" s="184">
        <f>$J$2-(S45)</f>
        <v>-17267.666666666686</v>
      </c>
      <c r="C36" s="275"/>
      <c r="D36" s="97" t="s">
        <v>152</v>
      </c>
      <c r="E36" s="97" t="s">
        <v>145</v>
      </c>
      <c r="F36" s="46"/>
      <c r="G36" s="46"/>
      <c r="H36" s="85"/>
      <c r="I36" s="85"/>
      <c r="J36" s="46"/>
      <c r="K36" s="46"/>
      <c r="L36" s="46"/>
      <c r="M36" s="89"/>
      <c r="N36" s="46"/>
      <c r="O36" s="46"/>
      <c r="P36" s="46"/>
      <c r="Q36" s="46"/>
      <c r="R36" s="46"/>
      <c r="S36" s="83">
        <f>SUM(G36:R36)</f>
        <v>0</v>
      </c>
      <c r="T36" s="281"/>
    </row>
    <row r="37" spans="1:48" ht="15" customHeight="1" x14ac:dyDescent="0.25">
      <c r="C37" s="275"/>
      <c r="D37" s="97" t="s">
        <v>152</v>
      </c>
      <c r="E37" s="97" t="s">
        <v>146</v>
      </c>
      <c r="F37" s="86"/>
      <c r="G37" s="46"/>
      <c r="H37" s="87"/>
      <c r="I37" s="46"/>
      <c r="J37" s="46"/>
      <c r="K37" s="46"/>
      <c r="L37" s="46"/>
      <c r="M37" s="46"/>
      <c r="N37" s="46"/>
      <c r="O37" s="89"/>
      <c r="P37" s="46"/>
      <c r="Q37" s="46"/>
      <c r="R37" s="46"/>
      <c r="S37" s="83">
        <f t="shared" si="20"/>
        <v>0</v>
      </c>
      <c r="T37" s="281"/>
    </row>
    <row r="38" spans="1:48" ht="15" customHeight="1" x14ac:dyDescent="0.25">
      <c r="C38" s="275"/>
      <c r="D38" s="97" t="s">
        <v>152</v>
      </c>
      <c r="E38" s="97" t="s">
        <v>147</v>
      </c>
      <c r="F38" s="85"/>
      <c r="G38" s="46"/>
      <c r="H38" s="87"/>
      <c r="I38" s="85"/>
      <c r="J38" s="46"/>
      <c r="K38" s="46"/>
      <c r="L38" s="46"/>
      <c r="M38" s="46"/>
      <c r="N38" s="46"/>
      <c r="O38" s="89"/>
      <c r="P38" s="46"/>
      <c r="Q38" s="46"/>
      <c r="R38" s="46"/>
      <c r="S38" s="83">
        <f t="shared" si="20"/>
        <v>0</v>
      </c>
      <c r="T38" s="281"/>
    </row>
    <row r="39" spans="1:48" ht="15" customHeight="1" x14ac:dyDescent="0.25">
      <c r="C39" s="275"/>
      <c r="D39" s="97" t="s">
        <v>152</v>
      </c>
      <c r="E39" s="97" t="s">
        <v>168</v>
      </c>
      <c r="F39" s="85"/>
      <c r="G39" s="46"/>
      <c r="H39" s="46"/>
      <c r="I39" s="46"/>
      <c r="J39" s="46"/>
      <c r="K39" s="46"/>
      <c r="L39" s="46"/>
      <c r="M39" s="89"/>
      <c r="N39" s="46"/>
      <c r="O39" s="89">
        <f>512</f>
        <v>512</v>
      </c>
      <c r="P39" s="46"/>
      <c r="Q39" s="46"/>
      <c r="R39" s="46"/>
      <c r="S39" s="83">
        <f t="shared" si="20"/>
        <v>512</v>
      </c>
      <c r="T39" s="281"/>
    </row>
    <row r="40" spans="1:48" ht="15" customHeight="1" x14ac:dyDescent="0.25">
      <c r="C40" s="275"/>
      <c r="D40" s="98" t="s">
        <v>153</v>
      </c>
      <c r="E40" s="98" t="s">
        <v>170</v>
      </c>
      <c r="F40" s="81">
        <f>2658+68+299+1200*32.8</f>
        <v>42385</v>
      </c>
      <c r="G40" s="81"/>
      <c r="H40" s="81">
        <f>3757+57+90+94+14+75+273+7</f>
        <v>4367</v>
      </c>
      <c r="I40" s="81">
        <f>1350+600+3168+47</f>
        <v>5165</v>
      </c>
      <c r="J40" s="82"/>
      <c r="K40" s="81"/>
      <c r="L40" s="81"/>
      <c r="M40" s="81">
        <f>26734+401+1350+1250+1250+1234+68+959+1236*2+7617+114+4219+63+490+796+157</f>
        <v>49174</v>
      </c>
      <c r="N40" s="81"/>
      <c r="O40" s="81"/>
      <c r="P40" s="81"/>
      <c r="Q40" s="81"/>
      <c r="R40" s="81"/>
      <c r="S40" s="81">
        <f>SUM(F40:R40)</f>
        <v>101091</v>
      </c>
      <c r="T40" s="282">
        <f>SUM(S40:S44)</f>
        <v>108442.33333333333</v>
      </c>
    </row>
    <row r="41" spans="1:48" ht="15" customHeight="1" x14ac:dyDescent="0.25">
      <c r="C41" s="275"/>
      <c r="D41" s="99" t="s">
        <v>153</v>
      </c>
      <c r="E41" s="99" t="s">
        <v>171</v>
      </c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>
        <f t="shared" si="20"/>
        <v>0</v>
      </c>
      <c r="T41" s="283"/>
      <c r="AE41" s="52"/>
    </row>
    <row r="42" spans="1:48" ht="15" customHeight="1" x14ac:dyDescent="0.25">
      <c r="C42" s="275"/>
      <c r="D42" s="99" t="s">
        <v>153</v>
      </c>
      <c r="E42" s="99" t="s">
        <v>172</v>
      </c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>
        <f t="shared" si="20"/>
        <v>0</v>
      </c>
      <c r="T42" s="283"/>
      <c r="AE42" s="52"/>
    </row>
    <row r="43" spans="1:48" s="41" customFormat="1" ht="15" customHeight="1" x14ac:dyDescent="0.25">
      <c r="C43" s="276"/>
      <c r="D43" s="99" t="s">
        <v>153</v>
      </c>
      <c r="E43" s="99" t="s">
        <v>173</v>
      </c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>
        <f>40508/6</f>
        <v>6751.333333333333</v>
      </c>
      <c r="R43" s="82"/>
      <c r="S43" s="82">
        <f t="shared" si="20"/>
        <v>6751.333333333333</v>
      </c>
      <c r="T43" s="283"/>
      <c r="AD43" s="45"/>
      <c r="AE43" s="52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</row>
    <row r="44" spans="1:48" ht="15.75" customHeight="1" thickBot="1" x14ac:dyDescent="0.3">
      <c r="B44" s="74"/>
      <c r="C44" s="276"/>
      <c r="D44" s="100" t="s">
        <v>153</v>
      </c>
      <c r="E44" s="100" t="s">
        <v>168</v>
      </c>
      <c r="F44" s="48">
        <v>600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>
        <f t="shared" si="20"/>
        <v>600</v>
      </c>
      <c r="T44" s="283"/>
      <c r="AD44" s="41"/>
      <c r="AE44" s="52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</row>
    <row r="45" spans="1:48" ht="15" customHeight="1" x14ac:dyDescent="0.25">
      <c r="D45" s="101" t="s">
        <v>120</v>
      </c>
      <c r="E45" s="101" t="s">
        <v>120</v>
      </c>
      <c r="F45" s="64">
        <f t="shared" ref="F45:S45" si="21">SUM(F28:F44)</f>
        <v>80159</v>
      </c>
      <c r="G45" s="64">
        <f t="shared" si="21"/>
        <v>1192</v>
      </c>
      <c r="H45" s="64">
        <f t="shared" si="21"/>
        <v>4894</v>
      </c>
      <c r="I45" s="64">
        <f t="shared" si="21"/>
        <v>15880</v>
      </c>
      <c r="J45" s="64">
        <f t="shared" si="21"/>
        <v>0</v>
      </c>
      <c r="K45" s="64">
        <f t="shared" si="21"/>
        <v>0</v>
      </c>
      <c r="L45" s="64">
        <f t="shared" si="21"/>
        <v>0</v>
      </c>
      <c r="M45" s="64">
        <f t="shared" si="21"/>
        <v>56506</v>
      </c>
      <c r="N45" s="64">
        <f t="shared" si="21"/>
        <v>427</v>
      </c>
      <c r="O45" s="64">
        <f t="shared" si="21"/>
        <v>1962</v>
      </c>
      <c r="P45" s="64">
        <f t="shared" si="21"/>
        <v>0</v>
      </c>
      <c r="Q45" s="64">
        <f t="shared" si="21"/>
        <v>22914.333333333332</v>
      </c>
      <c r="R45" s="64">
        <f t="shared" si="21"/>
        <v>0</v>
      </c>
      <c r="S45" s="54">
        <f t="shared" si="21"/>
        <v>183934.33333333334</v>
      </c>
      <c r="AE45" s="52"/>
    </row>
    <row r="46" spans="1:48" ht="15.75" customHeight="1" thickBot="1" x14ac:dyDescent="0.3">
      <c r="AE46" s="52"/>
    </row>
    <row r="47" spans="1:48" ht="17.25" x14ac:dyDescent="0.25">
      <c r="A47" s="166" t="s">
        <v>188</v>
      </c>
      <c r="B47" s="167">
        <f>B28+1</f>
        <v>202503</v>
      </c>
      <c r="C47" s="275">
        <f>B47</f>
        <v>202503</v>
      </c>
      <c r="D47" s="94" t="s">
        <v>151</v>
      </c>
      <c r="E47" s="177" t="s">
        <v>252</v>
      </c>
      <c r="F47" s="60">
        <f>70+165+145+90+130+380+105+130+135+160+200+110+115+393+340+110+220+209+600+475+215+1000+5+1188</f>
        <v>6690</v>
      </c>
      <c r="G47" s="59">
        <f>1408+237+35+500</f>
        <v>2180</v>
      </c>
      <c r="H47" s="59">
        <f>638+86+123+219+139+230+49+35+90+208+62+18+45+399+62+130</f>
        <v>2533</v>
      </c>
      <c r="I47" s="60">
        <f>60+880+760+126+157+65+266</f>
        <v>2314</v>
      </c>
      <c r="J47" s="59"/>
      <c r="K47" s="60"/>
      <c r="L47" s="60"/>
      <c r="M47" s="60">
        <f>14+70+100+130+180+150+173+55+75+31+5+89+96+10+305+105+265+60+128+240+165+122+129+500+400</f>
        <v>3597</v>
      </c>
      <c r="N47" s="60">
        <v>135</v>
      </c>
      <c r="O47" s="60">
        <f>79+360+1710+55+30+320+400</f>
        <v>2954</v>
      </c>
      <c r="P47" s="60">
        <v>200</v>
      </c>
      <c r="Q47" s="60">
        <f>2000+2000+2000+2000+110</f>
        <v>8110</v>
      </c>
      <c r="R47" s="60"/>
      <c r="S47" s="44">
        <f t="shared" ref="S47:S63" si="22">SUM(F47:R47)</f>
        <v>28713</v>
      </c>
      <c r="T47" s="277">
        <f>SUM(S47:S53)</f>
        <v>128566</v>
      </c>
      <c r="AE47" s="52"/>
    </row>
    <row r="48" spans="1:48" ht="15" customHeight="1" thickBot="1" x14ac:dyDescent="0.3">
      <c r="A48" s="164" t="s">
        <v>247</v>
      </c>
      <c r="B48" s="162">
        <f>$J$2</f>
        <v>166666.66666666666</v>
      </c>
      <c r="C48" s="275"/>
      <c r="D48" s="95" t="s">
        <v>151</v>
      </c>
      <c r="E48" s="176" t="s">
        <v>251</v>
      </c>
      <c r="F48" s="79">
        <v>1200</v>
      </c>
      <c r="G48" s="78"/>
      <c r="H48" s="78"/>
      <c r="I48" s="79"/>
      <c r="J48" s="78"/>
      <c r="K48" s="79"/>
      <c r="L48" s="79"/>
      <c r="M48" s="79"/>
      <c r="N48" s="79"/>
      <c r="O48" s="79"/>
      <c r="P48" s="79"/>
      <c r="Q48" s="79"/>
      <c r="R48" s="79"/>
      <c r="S48" s="80">
        <f t="shared" si="22"/>
        <v>1200</v>
      </c>
      <c r="T48" s="277"/>
      <c r="AE48" s="52"/>
    </row>
    <row r="49" spans="1:48" ht="15" customHeight="1" thickTop="1" x14ac:dyDescent="0.25">
      <c r="A49" s="165" t="s">
        <v>237</v>
      </c>
      <c r="B49" s="182">
        <f>SUMPRODUCT((($V$10:$V$21)&lt;=VALUE(B47))*($Z$10:$Z$21))</f>
        <v>510077</v>
      </c>
      <c r="C49" s="275"/>
      <c r="D49" s="95" t="s">
        <v>151</v>
      </c>
      <c r="E49" s="176" t="s">
        <v>254</v>
      </c>
      <c r="F49" s="79">
        <f>3326+417</f>
        <v>3743</v>
      </c>
      <c r="G49" s="78"/>
      <c r="H49" s="78">
        <v>324</v>
      </c>
      <c r="I49" s="79"/>
      <c r="J49" s="78"/>
      <c r="K49" s="79"/>
      <c r="L49" s="79"/>
      <c r="M49" s="79">
        <v>99</v>
      </c>
      <c r="N49" s="79"/>
      <c r="O49" s="79"/>
      <c r="P49" s="79"/>
      <c r="Q49" s="79">
        <f>9374-7000+2283+159+100+100+1965</f>
        <v>6981</v>
      </c>
      <c r="R49" s="79"/>
      <c r="S49" s="80">
        <f t="shared" si="22"/>
        <v>11147</v>
      </c>
      <c r="T49" s="277"/>
      <c r="AE49" s="52"/>
    </row>
    <row r="50" spans="1:48" ht="15" customHeight="1" x14ac:dyDescent="0.25">
      <c r="A50" s="165" t="s">
        <v>264</v>
      </c>
      <c r="B50" s="181">
        <f>B49/SUMPRODUCT(('2025'!$V$10:$V$21&lt;='2025'!B47)*'2024'!$Z$10:$Z$21)-1</f>
        <v>-0.1353938364581585</v>
      </c>
      <c r="C50" s="275"/>
      <c r="D50" s="95" t="s">
        <v>151</v>
      </c>
      <c r="E50" s="176" t="s">
        <v>255</v>
      </c>
      <c r="F50" s="79">
        <f>100+100+50</f>
        <v>250</v>
      </c>
      <c r="G50" s="78"/>
      <c r="H50" s="78"/>
      <c r="I50" s="79"/>
      <c r="J50" s="78"/>
      <c r="K50" s="79"/>
      <c r="L50" s="79"/>
      <c r="M50" s="79">
        <f>599+25+400+1412</f>
        <v>2436</v>
      </c>
      <c r="N50" s="79"/>
      <c r="O50" s="79"/>
      <c r="P50" s="79"/>
      <c r="Q50" s="79">
        <f>694+599+495</f>
        <v>1788</v>
      </c>
      <c r="R50" s="79"/>
      <c r="S50" s="80">
        <f t="shared" si="22"/>
        <v>4474</v>
      </c>
      <c r="T50" s="277"/>
      <c r="AE50" s="52"/>
    </row>
    <row r="51" spans="1:48" ht="15" customHeight="1" x14ac:dyDescent="0.25">
      <c r="A51" s="165" t="s">
        <v>236</v>
      </c>
      <c r="B51" s="186">
        <f>B49-$K$2*VALUE(RIGHT(B47,2))/9</f>
        <v>510077</v>
      </c>
      <c r="C51" s="275"/>
      <c r="D51" s="96" t="s">
        <v>151</v>
      </c>
      <c r="E51" s="176" t="s">
        <v>256</v>
      </c>
      <c r="F51" s="79">
        <f>31100+9000+4200+600+20+400+1471+4614+280</f>
        <v>51685</v>
      </c>
      <c r="G51" s="78">
        <v>264</v>
      </c>
      <c r="H51" s="78"/>
      <c r="I51" s="78">
        <f>1472+1531</f>
        <v>3003</v>
      </c>
      <c r="J51" s="78"/>
      <c r="K51" s="79"/>
      <c r="L51" s="79"/>
      <c r="M51" s="79"/>
      <c r="N51" s="79"/>
      <c r="O51" s="79"/>
      <c r="P51" s="79"/>
      <c r="Q51" s="79"/>
      <c r="R51" s="79"/>
      <c r="S51" s="80">
        <f t="shared" si="22"/>
        <v>54952</v>
      </c>
      <c r="T51" s="277"/>
      <c r="AE51" s="52"/>
    </row>
    <row r="52" spans="1:48" ht="15" customHeight="1" x14ac:dyDescent="0.25">
      <c r="A52" s="164" t="s">
        <v>242</v>
      </c>
      <c r="B52" s="157">
        <f>B51/($J$2*12)</f>
        <v>0.2550385</v>
      </c>
      <c r="C52" s="275"/>
      <c r="D52" s="95" t="s">
        <v>151</v>
      </c>
      <c r="E52" s="176" t="s">
        <v>257</v>
      </c>
      <c r="F52" s="79">
        <f>8000+450+18000</f>
        <v>26450</v>
      </c>
      <c r="G52" s="78"/>
      <c r="H52" s="78"/>
      <c r="I52" s="79"/>
      <c r="J52" s="78"/>
      <c r="K52" s="79"/>
      <c r="L52" s="79"/>
      <c r="M52" s="79"/>
      <c r="N52" s="79"/>
      <c r="O52" s="79"/>
      <c r="P52" s="79"/>
      <c r="Q52" s="79"/>
      <c r="R52" s="79"/>
      <c r="S52" s="80">
        <f t="shared" si="22"/>
        <v>26450</v>
      </c>
      <c r="T52" s="277"/>
    </row>
    <row r="53" spans="1:48" ht="15" customHeight="1" x14ac:dyDescent="0.25">
      <c r="A53" s="164" t="s">
        <v>241</v>
      </c>
      <c r="B53" s="126">
        <f>VALUE(RIGHT(B47,2))/12</f>
        <v>0.25</v>
      </c>
      <c r="C53" s="275"/>
      <c r="D53" s="95" t="s">
        <v>151</v>
      </c>
      <c r="E53" s="176" t="s">
        <v>263</v>
      </c>
      <c r="F53" s="78">
        <f>200+200+50+50+500</f>
        <v>1000</v>
      </c>
      <c r="G53" s="78"/>
      <c r="H53" s="78"/>
      <c r="I53" s="79"/>
      <c r="J53" s="78"/>
      <c r="K53" s="79"/>
      <c r="L53" s="79"/>
      <c r="M53" s="79">
        <v>630</v>
      </c>
      <c r="N53" s="79"/>
      <c r="O53" s="79"/>
      <c r="P53" s="79"/>
      <c r="Q53" s="79"/>
      <c r="R53" s="79"/>
      <c r="S53" s="80">
        <f t="shared" si="22"/>
        <v>1630</v>
      </c>
      <c r="T53" s="277"/>
    </row>
    <row r="54" spans="1:48" ht="15" customHeight="1" x14ac:dyDescent="0.25">
      <c r="A54" s="164" t="s">
        <v>243</v>
      </c>
      <c r="B54" s="161">
        <f>B48*VALUE(RIGHT(B47,2))-B51</f>
        <v>-10077</v>
      </c>
      <c r="C54" s="275"/>
      <c r="D54" s="97" t="s">
        <v>152</v>
      </c>
      <c r="E54" s="97" t="s">
        <v>144</v>
      </c>
      <c r="F54" s="85">
        <v>100</v>
      </c>
      <c r="G54" s="46"/>
      <c r="H54" s="85"/>
      <c r="I54" s="46"/>
      <c r="J54" s="46"/>
      <c r="K54" s="46"/>
      <c r="L54" s="46"/>
      <c r="M54" s="46"/>
      <c r="N54" s="46"/>
      <c r="O54" s="89">
        <v>1357</v>
      </c>
      <c r="P54" s="46"/>
      <c r="Q54" s="46"/>
      <c r="R54" s="46"/>
      <c r="S54" s="83">
        <f t="shared" si="22"/>
        <v>1457</v>
      </c>
      <c r="T54" s="280">
        <f>SUM(S54:S58)</f>
        <v>2922</v>
      </c>
    </row>
    <row r="55" spans="1:48" ht="15" customHeight="1" x14ac:dyDescent="0.25">
      <c r="A55" s="164" t="s">
        <v>265</v>
      </c>
      <c r="B55" s="184">
        <f>$J$2-(S64)</f>
        <v>20347.333333333314</v>
      </c>
      <c r="C55" s="275"/>
      <c r="D55" s="97" t="s">
        <v>152</v>
      </c>
      <c r="E55" s="97" t="s">
        <v>145</v>
      </c>
      <c r="F55" s="85">
        <v>501</v>
      </c>
      <c r="G55" s="46"/>
      <c r="H55" s="85"/>
      <c r="I55" s="46"/>
      <c r="J55" s="89"/>
      <c r="K55" s="46"/>
      <c r="L55" s="46"/>
      <c r="M55" s="86">
        <f>89</f>
        <v>89</v>
      </c>
      <c r="N55" s="46"/>
      <c r="O55" s="46"/>
      <c r="P55" s="46"/>
      <c r="Q55" s="46"/>
      <c r="R55" s="46"/>
      <c r="S55" s="83">
        <f t="shared" si="22"/>
        <v>590</v>
      </c>
      <c r="T55" s="281"/>
    </row>
    <row r="56" spans="1:48" ht="15" customHeight="1" x14ac:dyDescent="0.25">
      <c r="C56" s="275"/>
      <c r="D56" s="97" t="s">
        <v>152</v>
      </c>
      <c r="E56" s="97" t="s">
        <v>146</v>
      </c>
      <c r="F56" s="86"/>
      <c r="G56" s="46"/>
      <c r="H56" s="86"/>
      <c r="I56" s="46"/>
      <c r="J56" s="46"/>
      <c r="K56" s="46"/>
      <c r="L56" s="46"/>
      <c r="M56" s="89"/>
      <c r="N56" s="46"/>
      <c r="O56" s="89">
        <v>76</v>
      </c>
      <c r="P56" s="46"/>
      <c r="Q56" s="46"/>
      <c r="R56" s="46"/>
      <c r="S56" s="83">
        <f t="shared" si="22"/>
        <v>76</v>
      </c>
      <c r="T56" s="281"/>
    </row>
    <row r="57" spans="1:48" ht="15" customHeight="1" x14ac:dyDescent="0.25">
      <c r="C57" s="275"/>
      <c r="D57" s="97" t="s">
        <v>152</v>
      </c>
      <c r="E57" s="97" t="s">
        <v>147</v>
      </c>
      <c r="F57" s="86"/>
      <c r="G57" s="89">
        <v>250</v>
      </c>
      <c r="H57" s="87"/>
      <c r="I57" s="46"/>
      <c r="J57" s="46"/>
      <c r="K57" s="46"/>
      <c r="L57" s="46"/>
      <c r="M57" s="89">
        <f>170+3</f>
        <v>173</v>
      </c>
      <c r="N57" s="46"/>
      <c r="O57" s="89">
        <f>76+100</f>
        <v>176</v>
      </c>
      <c r="P57" s="46"/>
      <c r="Q57" s="46"/>
      <c r="R57" s="46"/>
      <c r="S57" s="83">
        <f t="shared" si="22"/>
        <v>599</v>
      </c>
      <c r="T57" s="281"/>
    </row>
    <row r="58" spans="1:48" ht="15" customHeight="1" x14ac:dyDescent="0.25">
      <c r="C58" s="275"/>
      <c r="D58" s="97" t="s">
        <v>152</v>
      </c>
      <c r="E58" s="97" t="s">
        <v>168</v>
      </c>
      <c r="F58" s="85"/>
      <c r="G58" s="46"/>
      <c r="H58" s="89"/>
      <c r="I58" s="46"/>
      <c r="J58" s="46"/>
      <c r="K58" s="46"/>
      <c r="L58" s="46"/>
      <c r="M58" s="89"/>
      <c r="N58" s="46"/>
      <c r="O58" s="89">
        <f>100+100</f>
        <v>200</v>
      </c>
      <c r="P58" s="46"/>
      <c r="Q58" s="46"/>
      <c r="R58" s="46"/>
      <c r="S58" s="83">
        <f t="shared" si="22"/>
        <v>200</v>
      </c>
      <c r="T58" s="281"/>
    </row>
    <row r="59" spans="1:48" ht="15" customHeight="1" x14ac:dyDescent="0.25">
      <c r="C59" s="275"/>
      <c r="D59" s="98" t="s">
        <v>153</v>
      </c>
      <c r="E59" s="98" t="s">
        <v>170</v>
      </c>
      <c r="F59" s="81">
        <v>1200</v>
      </c>
      <c r="G59" s="81"/>
      <c r="H59" s="81"/>
      <c r="I59" s="82">
        <f>3000</f>
        <v>3000</v>
      </c>
      <c r="J59" s="81"/>
      <c r="K59" s="81"/>
      <c r="L59" s="81"/>
      <c r="M59" s="81"/>
      <c r="N59" s="81"/>
      <c r="O59" s="81"/>
      <c r="P59" s="81"/>
      <c r="Q59" s="81"/>
      <c r="R59" s="81"/>
      <c r="S59" s="81">
        <f>SUM(F59:R59)</f>
        <v>4200</v>
      </c>
      <c r="T59" s="282">
        <f>SUM(S59:S63)</f>
        <v>14831.333333333332</v>
      </c>
    </row>
    <row r="60" spans="1:48" ht="15" customHeight="1" x14ac:dyDescent="0.25">
      <c r="C60" s="275"/>
      <c r="D60" s="99" t="s">
        <v>153</v>
      </c>
      <c r="E60" s="99" t="s">
        <v>171</v>
      </c>
      <c r="F60" s="82"/>
      <c r="G60" s="82"/>
      <c r="H60" s="82"/>
      <c r="I60" s="82">
        <v>880</v>
      </c>
      <c r="J60" s="82"/>
      <c r="K60" s="82"/>
      <c r="L60" s="82"/>
      <c r="M60" s="82"/>
      <c r="N60" s="82"/>
      <c r="O60" s="82"/>
      <c r="P60" s="82"/>
      <c r="Q60" s="82"/>
      <c r="R60" s="82"/>
      <c r="S60" s="82">
        <f t="shared" si="22"/>
        <v>880</v>
      </c>
      <c r="T60" s="283"/>
    </row>
    <row r="61" spans="1:48" ht="15" customHeight="1" x14ac:dyDescent="0.25">
      <c r="B61" s="52"/>
      <c r="C61" s="275"/>
      <c r="D61" s="99" t="s">
        <v>153</v>
      </c>
      <c r="E61" s="99" t="s">
        <v>172</v>
      </c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>
        <f t="shared" si="22"/>
        <v>0</v>
      </c>
      <c r="T61" s="283"/>
    </row>
    <row r="62" spans="1:48" s="41" customFormat="1" ht="15" customHeight="1" x14ac:dyDescent="0.25">
      <c r="A62" s="45"/>
      <c r="B62" s="45"/>
      <c r="C62" s="275"/>
      <c r="D62" s="99" t="s">
        <v>153</v>
      </c>
      <c r="E62" s="99" t="s">
        <v>173</v>
      </c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>
        <f>40508/6</f>
        <v>6751.333333333333</v>
      </c>
      <c r="R62" s="82"/>
      <c r="S62" s="82">
        <f t="shared" si="22"/>
        <v>6751.333333333333</v>
      </c>
      <c r="T62" s="283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</row>
    <row r="63" spans="1:48" ht="15.75" customHeight="1" thickBot="1" x14ac:dyDescent="0.3">
      <c r="A63" s="41"/>
      <c r="B63" s="41"/>
      <c r="C63" s="275"/>
      <c r="D63" s="100" t="s">
        <v>153</v>
      </c>
      <c r="E63" s="100" t="s">
        <v>168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>
        <v>3000</v>
      </c>
      <c r="R63" s="48"/>
      <c r="S63" s="48">
        <f t="shared" si="22"/>
        <v>3000</v>
      </c>
      <c r="T63" s="283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</row>
    <row r="64" spans="1:48" ht="15" customHeight="1" x14ac:dyDescent="0.25">
      <c r="D64" s="101" t="s">
        <v>120</v>
      </c>
      <c r="E64" s="101" t="s">
        <v>120</v>
      </c>
      <c r="F64" s="64">
        <f t="shared" ref="F64:S64" si="23">SUM(F47:F63)</f>
        <v>92819</v>
      </c>
      <c r="G64" s="64">
        <f t="shared" si="23"/>
        <v>2694</v>
      </c>
      <c r="H64" s="64">
        <f t="shared" si="23"/>
        <v>2857</v>
      </c>
      <c r="I64" s="64">
        <f t="shared" si="23"/>
        <v>9197</v>
      </c>
      <c r="J64" s="64">
        <f t="shared" si="23"/>
        <v>0</v>
      </c>
      <c r="K64" s="64">
        <f t="shared" si="23"/>
        <v>0</v>
      </c>
      <c r="L64" s="64">
        <f t="shared" si="23"/>
        <v>0</v>
      </c>
      <c r="M64" s="64">
        <f t="shared" si="23"/>
        <v>7024</v>
      </c>
      <c r="N64" s="64">
        <f t="shared" si="23"/>
        <v>135</v>
      </c>
      <c r="O64" s="64">
        <f t="shared" si="23"/>
        <v>4763</v>
      </c>
      <c r="P64" s="64">
        <f t="shared" si="23"/>
        <v>200</v>
      </c>
      <c r="Q64" s="64">
        <f t="shared" si="23"/>
        <v>26630.333333333332</v>
      </c>
      <c r="R64" s="64">
        <f t="shared" si="23"/>
        <v>0</v>
      </c>
      <c r="S64" s="54">
        <f t="shared" si="23"/>
        <v>146319.33333333334</v>
      </c>
    </row>
    <row r="65" spans="1:20" ht="15.75" customHeight="1" thickBot="1" x14ac:dyDescent="0.3">
      <c r="D65" s="101"/>
      <c r="E65" s="101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</row>
    <row r="66" spans="1:20" ht="17.25" x14ac:dyDescent="0.25">
      <c r="A66" s="166" t="s">
        <v>188</v>
      </c>
      <c r="B66" s="167">
        <f>B47+1</f>
        <v>202504</v>
      </c>
      <c r="C66" s="275">
        <f>B66</f>
        <v>202504</v>
      </c>
      <c r="D66" s="94" t="s">
        <v>151</v>
      </c>
      <c r="E66" s="177" t="s">
        <v>252</v>
      </c>
      <c r="F66" s="60">
        <f>160+180+446+90+176+215+425+10+240+650+300+320+330+600</f>
        <v>4142</v>
      </c>
      <c r="G66" s="59">
        <f>300+300</f>
        <v>600</v>
      </c>
      <c r="H66" s="59">
        <f>172+235+28+323+120+225+510+500+500</f>
        <v>2613</v>
      </c>
      <c r="I66" s="60">
        <f>45+900-305+170</f>
        <v>810</v>
      </c>
      <c r="J66" s="59"/>
      <c r="K66" s="60">
        <v>60</v>
      </c>
      <c r="L66" s="60"/>
      <c r="M66" s="60">
        <f>635+170+122+120+283+216+40+500+205+920+255+399+40+202+3+420</f>
        <v>4530</v>
      </c>
      <c r="N66" s="60"/>
      <c r="O66" s="60">
        <f>417+49+35+35+295</f>
        <v>831</v>
      </c>
      <c r="P66" s="60">
        <v>960</v>
      </c>
      <c r="Q66" s="60">
        <f>2000+2000+2000+2000</f>
        <v>8000</v>
      </c>
      <c r="R66" s="60"/>
      <c r="S66" s="44">
        <f t="shared" ref="S66:S82" si="24">SUM(F66:R66)</f>
        <v>22546</v>
      </c>
      <c r="T66" s="277">
        <f>SUM(S66:S72)</f>
        <v>63201</v>
      </c>
    </row>
    <row r="67" spans="1:20" ht="15" customHeight="1" thickBot="1" x14ac:dyDescent="0.3">
      <c r="A67" s="164" t="s">
        <v>247</v>
      </c>
      <c r="B67" s="162">
        <f>$J$2</f>
        <v>166666.66666666666</v>
      </c>
      <c r="C67" s="275"/>
      <c r="D67" s="95" t="s">
        <v>151</v>
      </c>
      <c r="E67" s="176" t="s">
        <v>251</v>
      </c>
      <c r="F67" s="79"/>
      <c r="G67" s="78"/>
      <c r="H67" s="78"/>
      <c r="I67" s="79"/>
      <c r="J67" s="78"/>
      <c r="K67" s="79"/>
      <c r="L67" s="79"/>
      <c r="M67" s="79">
        <v>358</v>
      </c>
      <c r="N67" s="79"/>
      <c r="O67" s="79"/>
      <c r="P67" s="79"/>
      <c r="Q67" s="79"/>
      <c r="R67" s="79"/>
      <c r="S67" s="80">
        <f t="shared" si="24"/>
        <v>358</v>
      </c>
      <c r="T67" s="278"/>
    </row>
    <row r="68" spans="1:20" ht="15" customHeight="1" thickTop="1" x14ac:dyDescent="0.25">
      <c r="A68" s="165" t="s">
        <v>237</v>
      </c>
      <c r="B68" s="182">
        <f>SUMPRODUCT((($V$10:$V$21)&lt;=VALUE(B66))*($Z$10:$Z$21))</f>
        <v>607360.33333333337</v>
      </c>
      <c r="C68" s="275"/>
      <c r="D68" s="95" t="s">
        <v>151</v>
      </c>
      <c r="E68" s="176" t="s">
        <v>254</v>
      </c>
      <c r="F68" s="79">
        <f>3326+821</f>
        <v>4147</v>
      </c>
      <c r="G68" s="78"/>
      <c r="H68" s="78">
        <f>1767+538</f>
        <v>2305</v>
      </c>
      <c r="I68" s="79"/>
      <c r="J68" s="78"/>
      <c r="K68" s="79"/>
      <c r="L68" s="79"/>
      <c r="M68" s="79">
        <f>480+280</f>
        <v>760</v>
      </c>
      <c r="N68" s="79"/>
      <c r="O68" s="79"/>
      <c r="P68" s="79"/>
      <c r="Q68" s="79">
        <f>9460-7000+1500+514</f>
        <v>4474</v>
      </c>
      <c r="R68" s="79"/>
      <c r="S68" s="80">
        <f t="shared" si="24"/>
        <v>11686</v>
      </c>
      <c r="T68" s="278"/>
    </row>
    <row r="69" spans="1:20" ht="15" customHeight="1" x14ac:dyDescent="0.25">
      <c r="A69" s="165" t="s">
        <v>264</v>
      </c>
      <c r="B69" s="181">
        <f>B68/SUMPRODUCT(('2025'!$V$10:$V$21&lt;='2025'!B66)*'2024'!$Z$10:$Z$21)-1</f>
        <v>-0.1673094368163569</v>
      </c>
      <c r="C69" s="275"/>
      <c r="D69" s="95" t="s">
        <v>151</v>
      </c>
      <c r="E69" s="176" t="s">
        <v>255</v>
      </c>
      <c r="F69" s="79">
        <f>90+20+15</f>
        <v>125</v>
      </c>
      <c r="G69" s="78"/>
      <c r="H69" s="78">
        <f>53+1003+785+65</f>
        <v>1906</v>
      </c>
      <c r="I69" s="79">
        <v>1198</v>
      </c>
      <c r="J69" s="78"/>
      <c r="K69" s="79"/>
      <c r="L69" s="79"/>
      <c r="M69" s="79">
        <f>60+1382+90+379+50+98</f>
        <v>2059</v>
      </c>
      <c r="N69" s="79"/>
      <c r="O69" s="79">
        <v>2400</v>
      </c>
      <c r="P69" s="79"/>
      <c r="Q69" s="79">
        <v>1376</v>
      </c>
      <c r="R69" s="79"/>
      <c r="S69" s="80">
        <f t="shared" si="24"/>
        <v>9064</v>
      </c>
      <c r="T69" s="278"/>
    </row>
    <row r="70" spans="1:20" ht="15" customHeight="1" x14ac:dyDescent="0.25">
      <c r="A70" s="165" t="s">
        <v>236</v>
      </c>
      <c r="B70" s="186">
        <f>B68-$K$2*VALUE(RIGHT(B66,2))/9</f>
        <v>607360.33333333337</v>
      </c>
      <c r="C70" s="275"/>
      <c r="D70" s="96" t="s">
        <v>151</v>
      </c>
      <c r="E70" s="176" t="s">
        <v>256</v>
      </c>
      <c r="F70" s="79">
        <f>4700+6500</f>
        <v>11200</v>
      </c>
      <c r="G70" s="78"/>
      <c r="H70" s="78">
        <f>1015-338</f>
        <v>677</v>
      </c>
      <c r="I70" s="78"/>
      <c r="J70" s="78"/>
      <c r="K70" s="79"/>
      <c r="L70" s="79"/>
      <c r="M70" s="79"/>
      <c r="N70" s="79"/>
      <c r="O70" s="79"/>
      <c r="P70" s="79"/>
      <c r="Q70" s="79"/>
      <c r="R70" s="79"/>
      <c r="S70" s="80">
        <f t="shared" si="24"/>
        <v>11877</v>
      </c>
      <c r="T70" s="278"/>
    </row>
    <row r="71" spans="1:20" ht="15" customHeight="1" x14ac:dyDescent="0.25">
      <c r="A71" s="164" t="s">
        <v>242</v>
      </c>
      <c r="B71" s="157">
        <f>B70/($J$2*12)</f>
        <v>0.3036801666666667</v>
      </c>
      <c r="C71" s="275"/>
      <c r="D71" s="95" t="s">
        <v>151</v>
      </c>
      <c r="E71" s="176" t="s">
        <v>257</v>
      </c>
      <c r="F71" s="79"/>
      <c r="G71" s="78"/>
      <c r="H71" s="78"/>
      <c r="I71" s="79">
        <f>1850+1650</f>
        <v>3500</v>
      </c>
      <c r="J71" s="78"/>
      <c r="K71" s="79"/>
      <c r="L71" s="79"/>
      <c r="M71" s="79"/>
      <c r="N71" s="79"/>
      <c r="O71" s="79"/>
      <c r="P71" s="79"/>
      <c r="Q71" s="79"/>
      <c r="R71" s="79"/>
      <c r="S71" s="80">
        <f t="shared" si="24"/>
        <v>3500</v>
      </c>
      <c r="T71" s="278"/>
    </row>
    <row r="72" spans="1:20" ht="15" customHeight="1" x14ac:dyDescent="0.25">
      <c r="A72" s="164" t="s">
        <v>241</v>
      </c>
      <c r="B72" s="126">
        <f>VALUE(RIGHT(B66,2))/12</f>
        <v>0.33333333333333331</v>
      </c>
      <c r="C72" s="275"/>
      <c r="D72" s="95" t="s">
        <v>151</v>
      </c>
      <c r="E72" s="176" t="s">
        <v>263</v>
      </c>
      <c r="F72" s="78"/>
      <c r="G72" s="78"/>
      <c r="H72" s="78">
        <f>1170+660</f>
        <v>1830</v>
      </c>
      <c r="I72" s="79"/>
      <c r="J72" s="78"/>
      <c r="K72" s="79"/>
      <c r="L72" s="79"/>
      <c r="M72" s="79"/>
      <c r="N72" s="79"/>
      <c r="O72" s="78"/>
      <c r="P72" s="79"/>
      <c r="Q72" s="79">
        <f>340+1300+700</f>
        <v>2340</v>
      </c>
      <c r="R72" s="79"/>
      <c r="S72" s="80">
        <f t="shared" si="24"/>
        <v>4170</v>
      </c>
      <c r="T72" s="279"/>
    </row>
    <row r="73" spans="1:20" ht="15" customHeight="1" x14ac:dyDescent="0.25">
      <c r="A73" s="164" t="s">
        <v>243</v>
      </c>
      <c r="B73" s="161">
        <f>B67*VALUE(RIGHT(B66,2))-B70</f>
        <v>59306.333333333256</v>
      </c>
      <c r="C73" s="275"/>
      <c r="D73" s="97" t="s">
        <v>152</v>
      </c>
      <c r="E73" s="97" t="s">
        <v>144</v>
      </c>
      <c r="F73" s="85"/>
      <c r="G73" s="89">
        <v>1990</v>
      </c>
      <c r="H73" s="85"/>
      <c r="I73" s="46"/>
      <c r="J73" s="46"/>
      <c r="K73" s="46"/>
      <c r="L73" s="46"/>
      <c r="M73" s="46"/>
      <c r="N73" s="46"/>
      <c r="O73" s="89"/>
      <c r="P73" s="46"/>
      <c r="Q73" s="46"/>
      <c r="R73" s="46"/>
      <c r="S73" s="83">
        <f t="shared" si="24"/>
        <v>1990</v>
      </c>
      <c r="T73" s="280">
        <f>SUM(S73:S77)</f>
        <v>3916</v>
      </c>
    </row>
    <row r="74" spans="1:20" ht="15" customHeight="1" x14ac:dyDescent="0.25">
      <c r="A74" s="164" t="s">
        <v>265</v>
      </c>
      <c r="B74" s="184">
        <f>$J$2-(S83)</f>
        <v>69383.333333333328</v>
      </c>
      <c r="C74" s="275"/>
      <c r="D74" s="97" t="s">
        <v>152</v>
      </c>
      <c r="E74" s="97" t="s">
        <v>145</v>
      </c>
      <c r="F74" s="85"/>
      <c r="G74" s="46"/>
      <c r="H74" s="85"/>
      <c r="I74" s="46"/>
      <c r="J74" s="46"/>
      <c r="K74" s="46"/>
      <c r="L74" s="46"/>
      <c r="M74" s="46"/>
      <c r="N74" s="46"/>
      <c r="O74" s="89"/>
      <c r="P74" s="46"/>
      <c r="Q74" s="46"/>
      <c r="R74" s="46"/>
      <c r="S74" s="83">
        <f t="shared" si="24"/>
        <v>0</v>
      </c>
      <c r="T74" s="281"/>
    </row>
    <row r="75" spans="1:20" ht="15" customHeight="1" x14ac:dyDescent="0.25">
      <c r="C75" s="275"/>
      <c r="D75" s="97" t="s">
        <v>152</v>
      </c>
      <c r="E75" s="97" t="s">
        <v>146</v>
      </c>
      <c r="F75" s="86"/>
      <c r="G75" s="46"/>
      <c r="H75" s="87"/>
      <c r="I75" s="142">
        <v>788</v>
      </c>
      <c r="J75" s="46"/>
      <c r="K75" s="46"/>
      <c r="L75" s="46"/>
      <c r="M75" s="89"/>
      <c r="N75" s="46"/>
      <c r="O75" s="185"/>
      <c r="P75" s="46"/>
      <c r="Q75" s="46"/>
      <c r="R75" s="46"/>
      <c r="S75" s="83">
        <f t="shared" si="24"/>
        <v>788</v>
      </c>
      <c r="T75" s="281"/>
    </row>
    <row r="76" spans="1:20" ht="15" customHeight="1" x14ac:dyDescent="0.25">
      <c r="C76" s="275"/>
      <c r="D76" s="97" t="s">
        <v>152</v>
      </c>
      <c r="E76" s="97" t="s">
        <v>147</v>
      </c>
      <c r="F76" s="85"/>
      <c r="G76" s="46"/>
      <c r="H76" s="87"/>
      <c r="I76" s="142">
        <v>788</v>
      </c>
      <c r="J76" s="46"/>
      <c r="K76" s="46"/>
      <c r="L76" s="46"/>
      <c r="M76" s="46"/>
      <c r="N76" s="46"/>
      <c r="O76" s="89"/>
      <c r="P76" s="46"/>
      <c r="Q76" s="46"/>
      <c r="R76" s="46"/>
      <c r="S76" s="83">
        <f t="shared" si="24"/>
        <v>788</v>
      </c>
      <c r="T76" s="281"/>
    </row>
    <row r="77" spans="1:20" ht="15" customHeight="1" x14ac:dyDescent="0.25">
      <c r="C77" s="275"/>
      <c r="D77" s="97" t="s">
        <v>152</v>
      </c>
      <c r="E77" s="97" t="s">
        <v>168</v>
      </c>
      <c r="F77" s="85"/>
      <c r="G77" s="46"/>
      <c r="H77" s="46"/>
      <c r="I77" s="46"/>
      <c r="J77" s="46"/>
      <c r="K77" s="46"/>
      <c r="L77" s="46"/>
      <c r="M77" s="46"/>
      <c r="N77" s="46"/>
      <c r="O77" s="185">
        <v>350</v>
      </c>
      <c r="P77" s="46"/>
      <c r="Q77" s="46"/>
      <c r="R77" s="46"/>
      <c r="S77" s="83">
        <f t="shared" si="24"/>
        <v>350</v>
      </c>
      <c r="T77" s="281"/>
    </row>
    <row r="78" spans="1:20" ht="15" customHeight="1" x14ac:dyDescent="0.25">
      <c r="C78" s="275"/>
      <c r="D78" s="98" t="s">
        <v>153</v>
      </c>
      <c r="E78" s="98" t="s">
        <v>170</v>
      </c>
      <c r="F78" s="81">
        <f>600+180</f>
        <v>780</v>
      </c>
      <c r="G78" s="81"/>
      <c r="H78" s="81"/>
      <c r="I78" s="81"/>
      <c r="J78" s="81"/>
      <c r="K78" s="81"/>
      <c r="L78" s="81"/>
      <c r="M78" s="81">
        <f>460+560+1516</f>
        <v>2536</v>
      </c>
      <c r="N78" s="81"/>
      <c r="O78" s="81"/>
      <c r="P78" s="81"/>
      <c r="Q78" s="81"/>
      <c r="R78" s="81"/>
      <c r="S78" s="81">
        <f t="shared" si="24"/>
        <v>3316</v>
      </c>
      <c r="T78" s="282">
        <f>SUM(S78:S82)</f>
        <v>30166.333333333332</v>
      </c>
    </row>
    <row r="79" spans="1:20" ht="15" customHeight="1" x14ac:dyDescent="0.25">
      <c r="C79" s="275"/>
      <c r="D79" s="99" t="s">
        <v>153</v>
      </c>
      <c r="E79" s="99" t="s">
        <v>171</v>
      </c>
      <c r="F79" s="82"/>
      <c r="G79" s="82">
        <f>12919-2793-4048-2530+1518</f>
        <v>5066</v>
      </c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>
        <f t="shared" si="24"/>
        <v>5066</v>
      </c>
      <c r="T79" s="283"/>
    </row>
    <row r="80" spans="1:20" ht="15" customHeight="1" x14ac:dyDescent="0.25">
      <c r="C80" s="275"/>
      <c r="D80" s="99" t="s">
        <v>153</v>
      </c>
      <c r="E80" s="99" t="s">
        <v>172</v>
      </c>
      <c r="F80" s="82">
        <v>2413</v>
      </c>
      <c r="G80" s="82"/>
      <c r="H80" s="82">
        <v>11230</v>
      </c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>
        <f t="shared" si="24"/>
        <v>13643</v>
      </c>
      <c r="T80" s="283"/>
    </row>
    <row r="81" spans="1:48" s="41" customFormat="1" ht="15" customHeight="1" x14ac:dyDescent="0.25">
      <c r="A81" s="45"/>
      <c r="B81" s="45"/>
      <c r="C81" s="276"/>
      <c r="D81" s="99" t="s">
        <v>153</v>
      </c>
      <c r="E81" s="99" t="s">
        <v>173</v>
      </c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>
        <f>40508/6</f>
        <v>6751.333333333333</v>
      </c>
      <c r="R81" s="82"/>
      <c r="S81" s="82">
        <f t="shared" si="24"/>
        <v>6751.333333333333</v>
      </c>
      <c r="T81" s="283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</row>
    <row r="82" spans="1:48" ht="15.75" customHeight="1" thickBot="1" x14ac:dyDescent="0.3">
      <c r="A82" s="41"/>
      <c r="B82" s="41"/>
      <c r="C82" s="276"/>
      <c r="D82" s="100" t="s">
        <v>153</v>
      </c>
      <c r="E82" s="100" t="s">
        <v>168</v>
      </c>
      <c r="F82" s="48">
        <v>1350</v>
      </c>
      <c r="G82" s="48"/>
      <c r="H82" s="48"/>
      <c r="I82" s="48"/>
      <c r="J82" s="48"/>
      <c r="K82" s="48"/>
      <c r="L82" s="48"/>
      <c r="M82" s="48">
        <v>40</v>
      </c>
      <c r="N82" s="48"/>
      <c r="O82" s="48"/>
      <c r="P82" s="48"/>
      <c r="Q82" s="48"/>
      <c r="R82" s="48"/>
      <c r="S82" s="48">
        <f t="shared" si="24"/>
        <v>1390</v>
      </c>
      <c r="T82" s="283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</row>
    <row r="83" spans="1:48" ht="15" customHeight="1" x14ac:dyDescent="0.25">
      <c r="D83" s="101" t="s">
        <v>120</v>
      </c>
      <c r="E83" s="101" t="s">
        <v>120</v>
      </c>
      <c r="F83" s="64">
        <f t="shared" ref="F83:S83" si="25">SUM(F66:F82)</f>
        <v>24157</v>
      </c>
      <c r="G83" s="64">
        <f t="shared" si="25"/>
        <v>7656</v>
      </c>
      <c r="H83" s="64">
        <f t="shared" si="25"/>
        <v>20561</v>
      </c>
      <c r="I83" s="64">
        <f t="shared" si="25"/>
        <v>7084</v>
      </c>
      <c r="J83" s="64">
        <f t="shared" si="25"/>
        <v>0</v>
      </c>
      <c r="K83" s="64">
        <f t="shared" si="25"/>
        <v>60</v>
      </c>
      <c r="L83" s="64">
        <f t="shared" si="25"/>
        <v>0</v>
      </c>
      <c r="M83" s="64">
        <f t="shared" si="25"/>
        <v>10283</v>
      </c>
      <c r="N83" s="64">
        <f t="shared" si="25"/>
        <v>0</v>
      </c>
      <c r="O83" s="64">
        <f t="shared" si="25"/>
        <v>3581</v>
      </c>
      <c r="P83" s="64">
        <f t="shared" si="25"/>
        <v>960</v>
      </c>
      <c r="Q83" s="64">
        <f t="shared" si="25"/>
        <v>22941.333333333332</v>
      </c>
      <c r="R83" s="64">
        <f t="shared" si="25"/>
        <v>0</v>
      </c>
      <c r="S83" s="54">
        <f t="shared" si="25"/>
        <v>97283.333333333328</v>
      </c>
    </row>
    <row r="84" spans="1:48" ht="15.75" customHeight="1" thickBot="1" x14ac:dyDescent="0.3"/>
    <row r="85" spans="1:48" ht="17.25" x14ac:dyDescent="0.25">
      <c r="A85" s="166" t="s">
        <v>188</v>
      </c>
      <c r="B85" s="167">
        <f>B66+1</f>
        <v>202505</v>
      </c>
      <c r="C85" s="275">
        <f>B85</f>
        <v>202505</v>
      </c>
      <c r="D85" s="94" t="s">
        <v>151</v>
      </c>
      <c r="E85" s="177" t="s">
        <v>252</v>
      </c>
      <c r="F85" s="60">
        <f>310+187+1485+1040+90+60+85+218+275+1881+100+100+375+205</f>
        <v>6411</v>
      </c>
      <c r="G85" s="59">
        <f>210+300</f>
        <v>510</v>
      </c>
      <c r="H85" s="59">
        <f>1000+165+500+500+130+65</f>
        <v>2360</v>
      </c>
      <c r="I85" s="60"/>
      <c r="J85" s="59"/>
      <c r="K85" s="60">
        <f>500+500+65</f>
        <v>1065</v>
      </c>
      <c r="L85" s="60"/>
      <c r="M85" s="60">
        <f>347+60+62+80+321+246</f>
        <v>1116</v>
      </c>
      <c r="N85" s="60">
        <f>50+100+179+136</f>
        <v>465</v>
      </c>
      <c r="O85" s="60">
        <f>29+65+1395+594+638+676+199</f>
        <v>3596</v>
      </c>
      <c r="P85" s="60"/>
      <c r="Q85" s="60">
        <f>2000+2000+2000+2000</f>
        <v>8000</v>
      </c>
      <c r="R85" s="60"/>
      <c r="S85" s="44">
        <f t="shared" ref="S85:S101" si="26">SUM(F85:R85)</f>
        <v>23523</v>
      </c>
      <c r="T85" s="277">
        <f>SUM(S85:S91)</f>
        <v>52893</v>
      </c>
    </row>
    <row r="86" spans="1:48" ht="18" thickBot="1" x14ac:dyDescent="0.3">
      <c r="A86" s="164" t="s">
        <v>247</v>
      </c>
      <c r="B86" s="162">
        <f>$J$2</f>
        <v>166666.66666666666</v>
      </c>
      <c r="C86" s="275"/>
      <c r="D86" s="95" t="s">
        <v>151</v>
      </c>
      <c r="E86" s="176" t="s">
        <v>251</v>
      </c>
      <c r="F86" s="79"/>
      <c r="G86" s="78"/>
      <c r="H86" s="78"/>
      <c r="I86" s="79"/>
      <c r="J86" s="78"/>
      <c r="K86" s="79"/>
      <c r="L86" s="79"/>
      <c r="M86" s="79"/>
      <c r="N86" s="79"/>
      <c r="O86" s="79"/>
      <c r="P86" s="79"/>
      <c r="Q86" s="79"/>
      <c r="R86" s="79"/>
      <c r="S86" s="80">
        <f t="shared" si="26"/>
        <v>0</v>
      </c>
      <c r="T86" s="278"/>
    </row>
    <row r="87" spans="1:48" ht="15" customHeight="1" thickTop="1" x14ac:dyDescent="0.25">
      <c r="A87" s="165" t="s">
        <v>237</v>
      </c>
      <c r="B87" s="182">
        <f>SUMPRODUCT((($V$10:$V$21)&lt;=VALUE(B85))*($Z$10:$Z$21))</f>
        <v>888312.1333333333</v>
      </c>
      <c r="C87" s="275"/>
      <c r="D87" s="95" t="s">
        <v>151</v>
      </c>
      <c r="E87" s="176" t="s">
        <v>254</v>
      </c>
      <c r="F87" s="79">
        <f>3326+500</f>
        <v>3826</v>
      </c>
      <c r="G87" s="78"/>
      <c r="H87" s="78">
        <v>378</v>
      </c>
      <c r="I87" s="79"/>
      <c r="J87" s="78"/>
      <c r="K87" s="79"/>
      <c r="L87" s="79"/>
      <c r="M87" s="79"/>
      <c r="N87" s="79"/>
      <c r="O87" s="79"/>
      <c r="P87" s="79"/>
      <c r="Q87" s="79">
        <f>9374-7000+336+1513</f>
        <v>4223</v>
      </c>
      <c r="R87" s="79"/>
      <c r="S87" s="80">
        <f t="shared" si="26"/>
        <v>8427</v>
      </c>
      <c r="T87" s="278"/>
    </row>
    <row r="88" spans="1:48" ht="15" customHeight="1" x14ac:dyDescent="0.25">
      <c r="A88" s="165" t="s">
        <v>264</v>
      </c>
      <c r="B88" s="181">
        <f>B87/SUMPRODUCT(('2025'!$V$10:$V$21&lt;='2025'!B85)*'2024'!$Z$10:$Z$21)-1</f>
        <v>-1.6417037318360417E-2</v>
      </c>
      <c r="C88" s="275"/>
      <c r="D88" s="95" t="s">
        <v>151</v>
      </c>
      <c r="E88" s="176" t="s">
        <v>255</v>
      </c>
      <c r="F88" s="79">
        <f>100+100+240+100+100</f>
        <v>640</v>
      </c>
      <c r="G88" s="78"/>
      <c r="H88" s="78"/>
      <c r="I88" s="79"/>
      <c r="J88" s="78"/>
      <c r="K88" s="79"/>
      <c r="L88" s="79"/>
      <c r="M88" s="79">
        <f>166+150+520</f>
        <v>836</v>
      </c>
      <c r="N88" s="79"/>
      <c r="O88" s="79"/>
      <c r="P88" s="79"/>
      <c r="Q88" s="79"/>
      <c r="R88" s="79"/>
      <c r="S88" s="80">
        <f t="shared" si="26"/>
        <v>1476</v>
      </c>
      <c r="T88" s="278"/>
    </row>
    <row r="89" spans="1:48" ht="15" customHeight="1" x14ac:dyDescent="0.25">
      <c r="A89" s="165" t="s">
        <v>236</v>
      </c>
      <c r="B89" s="186">
        <f>B87-$K$2*VALUE(RIGHT(B85,2))/9</f>
        <v>888312.1333333333</v>
      </c>
      <c r="C89" s="275"/>
      <c r="D89" s="96" t="s">
        <v>151</v>
      </c>
      <c r="E89" s="176" t="s">
        <v>256</v>
      </c>
      <c r="F89" s="79">
        <f>6500+4700+2000</f>
        <v>13200</v>
      </c>
      <c r="G89" s="78"/>
      <c r="H89" s="78"/>
      <c r="I89" s="78"/>
      <c r="J89" s="78"/>
      <c r="K89" s="79"/>
      <c r="L89" s="79"/>
      <c r="M89" s="79"/>
      <c r="N89" s="79"/>
      <c r="O89" s="79"/>
      <c r="P89" s="79"/>
      <c r="Q89" s="79"/>
      <c r="R89" s="79"/>
      <c r="S89" s="80">
        <f t="shared" si="26"/>
        <v>13200</v>
      </c>
      <c r="T89" s="278"/>
    </row>
    <row r="90" spans="1:48" ht="15" customHeight="1" x14ac:dyDescent="0.25">
      <c r="A90" s="164" t="s">
        <v>242</v>
      </c>
      <c r="B90" s="157">
        <f>B89/($J$2*12)</f>
        <v>0.44415606666666663</v>
      </c>
      <c r="C90" s="275"/>
      <c r="D90" s="95" t="s">
        <v>151</v>
      </c>
      <c r="E90" s="176" t="s">
        <v>257</v>
      </c>
      <c r="F90" s="78">
        <f>5867</f>
        <v>5867</v>
      </c>
      <c r="G90" s="78"/>
      <c r="H90" s="78"/>
      <c r="I90" s="79"/>
      <c r="J90" s="78"/>
      <c r="K90" s="79"/>
      <c r="L90" s="79"/>
      <c r="M90" s="79"/>
      <c r="N90" s="79"/>
      <c r="O90" s="79"/>
      <c r="P90" s="79"/>
      <c r="Q90" s="79"/>
      <c r="R90" s="79"/>
      <c r="S90" s="80">
        <f t="shared" si="26"/>
        <v>5867</v>
      </c>
      <c r="T90" s="278"/>
    </row>
    <row r="91" spans="1:48" ht="15" customHeight="1" x14ac:dyDescent="0.25">
      <c r="A91" s="164" t="s">
        <v>241</v>
      </c>
      <c r="B91" s="126">
        <f>VALUE(RIGHT(B85,2))/12</f>
        <v>0.41666666666666669</v>
      </c>
      <c r="C91" s="275"/>
      <c r="D91" s="95" t="s">
        <v>151</v>
      </c>
      <c r="E91" s="176" t="s">
        <v>263</v>
      </c>
      <c r="F91" s="78"/>
      <c r="G91" s="78"/>
      <c r="H91" s="78"/>
      <c r="I91" s="79"/>
      <c r="J91" s="78"/>
      <c r="K91" s="79"/>
      <c r="L91" s="79"/>
      <c r="M91" s="79"/>
      <c r="N91" s="79"/>
      <c r="O91" s="79"/>
      <c r="P91" s="79"/>
      <c r="Q91" s="79">
        <f>320+80</f>
        <v>400</v>
      </c>
      <c r="R91" s="79"/>
      <c r="S91" s="80">
        <f t="shared" si="26"/>
        <v>400</v>
      </c>
      <c r="T91" s="279"/>
    </row>
    <row r="92" spans="1:48" ht="15" customHeight="1" x14ac:dyDescent="0.25">
      <c r="A92" s="164" t="s">
        <v>243</v>
      </c>
      <c r="B92" s="161">
        <f>B86*VALUE(RIGHT(B85,2))-B89</f>
        <v>-54978.800000000047</v>
      </c>
      <c r="C92" s="275"/>
      <c r="D92" s="97" t="s">
        <v>152</v>
      </c>
      <c r="E92" s="97" t="s">
        <v>144</v>
      </c>
      <c r="F92" s="85"/>
      <c r="G92" s="46"/>
      <c r="H92" s="85"/>
      <c r="I92" s="46"/>
      <c r="J92" s="46"/>
      <c r="K92" s="46"/>
      <c r="L92" s="46"/>
      <c r="M92" s="46"/>
      <c r="N92" s="46"/>
      <c r="O92" s="109"/>
      <c r="P92" s="46"/>
      <c r="Q92" s="46"/>
      <c r="R92" s="46"/>
      <c r="S92" s="83">
        <f t="shared" si="26"/>
        <v>0</v>
      </c>
      <c r="T92" s="280">
        <f>SUM(S92:S96)</f>
        <v>1445</v>
      </c>
    </row>
    <row r="93" spans="1:48" ht="15" customHeight="1" x14ac:dyDescent="0.25">
      <c r="A93" s="164" t="s">
        <v>265</v>
      </c>
      <c r="B93" s="184">
        <f>$J$2-(S102)</f>
        <v>-114285.13333333333</v>
      </c>
      <c r="C93" s="275"/>
      <c r="D93" s="97" t="s">
        <v>152</v>
      </c>
      <c r="E93" s="97" t="s">
        <v>145</v>
      </c>
      <c r="F93" s="85"/>
      <c r="G93" s="46"/>
      <c r="H93" s="85"/>
      <c r="I93" s="46"/>
      <c r="J93" s="46"/>
      <c r="K93" s="46"/>
      <c r="L93" s="46"/>
      <c r="M93" s="86"/>
      <c r="N93" s="46"/>
      <c r="O93" s="89">
        <v>590</v>
      </c>
      <c r="P93" s="46"/>
      <c r="Q93" s="46"/>
      <c r="R93" s="46"/>
      <c r="S93" s="83">
        <f t="shared" si="26"/>
        <v>590</v>
      </c>
      <c r="T93" s="281"/>
    </row>
    <row r="94" spans="1:48" ht="15" customHeight="1" x14ac:dyDescent="0.25">
      <c r="C94" s="275"/>
      <c r="D94" s="97" t="s">
        <v>152</v>
      </c>
      <c r="E94" s="97" t="s">
        <v>146</v>
      </c>
      <c r="F94" s="86"/>
      <c r="G94" s="46"/>
      <c r="H94" s="87"/>
      <c r="I94" s="46"/>
      <c r="J94" s="46"/>
      <c r="K94" s="46"/>
      <c r="L94" s="46"/>
      <c r="M94" s="46"/>
      <c r="N94" s="46"/>
      <c r="O94" s="89"/>
      <c r="P94" s="46"/>
      <c r="Q94" s="46"/>
      <c r="R94" s="46"/>
      <c r="S94" s="83">
        <f t="shared" si="26"/>
        <v>0</v>
      </c>
      <c r="T94" s="281"/>
    </row>
    <row r="95" spans="1:48" ht="15" customHeight="1" x14ac:dyDescent="0.25">
      <c r="C95" s="275"/>
      <c r="D95" s="97" t="s">
        <v>152</v>
      </c>
      <c r="E95" s="97" t="s">
        <v>147</v>
      </c>
      <c r="F95" s="85"/>
      <c r="G95" s="46"/>
      <c r="H95" s="87"/>
      <c r="I95" s="46"/>
      <c r="J95" s="46"/>
      <c r="K95" s="46"/>
      <c r="L95" s="46"/>
      <c r="M95" s="46"/>
      <c r="N95" s="46"/>
      <c r="O95" s="89"/>
      <c r="P95" s="46"/>
      <c r="Q95" s="46"/>
      <c r="R95" s="46"/>
      <c r="S95" s="83">
        <f t="shared" si="26"/>
        <v>0</v>
      </c>
      <c r="T95" s="281"/>
    </row>
    <row r="96" spans="1:48" ht="15" customHeight="1" x14ac:dyDescent="0.25">
      <c r="B96" s="52"/>
      <c r="C96" s="275"/>
      <c r="D96" s="97" t="s">
        <v>152</v>
      </c>
      <c r="E96" s="97" t="s">
        <v>168</v>
      </c>
      <c r="F96" s="85">
        <v>405</v>
      </c>
      <c r="G96" s="46"/>
      <c r="H96" s="46"/>
      <c r="I96" s="46"/>
      <c r="J96" s="46"/>
      <c r="K96" s="46"/>
      <c r="L96" s="46"/>
      <c r="M96" s="46"/>
      <c r="N96" s="46"/>
      <c r="O96" s="89">
        <v>450</v>
      </c>
      <c r="P96" s="46"/>
      <c r="Q96" s="86"/>
      <c r="R96" s="46"/>
      <c r="S96" s="83">
        <f t="shared" si="26"/>
        <v>855</v>
      </c>
      <c r="T96" s="281"/>
    </row>
    <row r="97" spans="1:48" ht="15" customHeight="1" x14ac:dyDescent="0.25">
      <c r="C97" s="275"/>
      <c r="D97" s="98" t="s">
        <v>153</v>
      </c>
      <c r="E97" s="98" t="s">
        <v>170</v>
      </c>
      <c r="F97" s="81">
        <f>3000+450+250+410+110+245+93+490+800+410+500+55+60+80+(4070+105+350+200)*0.208+778+1016+410</f>
        <v>10139.799999999999</v>
      </c>
      <c r="G97" s="81">
        <f>605+1201+2400-1200+4502</f>
        <v>7508</v>
      </c>
      <c r="H97" s="81">
        <f>10475+157+27765+636*5+9*5-43*5+885*2+13*2+915*2+2083+1185+773+251+521+2883+1826+6124</f>
        <v>60679</v>
      </c>
      <c r="I97" s="81">
        <f>10588+158+4532+67+6124+25000+480+280+885*2+13*2+915*2+13*2+599+625+9+1299+7809+3668+55+8712+130+1600+24+5296+79+25+3814+57+13641+204+2326+34+4804+72+636+2055+30+2026+30+859+12+639+9</f>
        <v>112059</v>
      </c>
      <c r="J97" s="81"/>
      <c r="K97" s="81"/>
      <c r="L97" s="81">
        <f>909+885*3+10800-3450*3</f>
        <v>4014</v>
      </c>
      <c r="M97" s="81">
        <f>885*2+13*2+915*2+13*2+1331+280</f>
        <v>5263</v>
      </c>
      <c r="N97" s="81"/>
      <c r="O97" s="81">
        <f>1150+7478+850*6</f>
        <v>13728</v>
      </c>
      <c r="P97" s="81"/>
      <c r="Q97" s="81"/>
      <c r="R97" s="81"/>
      <c r="S97" s="81">
        <f t="shared" si="26"/>
        <v>213390.8</v>
      </c>
      <c r="T97" s="282">
        <f>SUM(S97:S101)</f>
        <v>226613.8</v>
      </c>
    </row>
    <row r="98" spans="1:48" ht="15" customHeight="1" x14ac:dyDescent="0.25">
      <c r="C98" s="275"/>
      <c r="D98" s="99" t="s">
        <v>153</v>
      </c>
      <c r="E98" s="99" t="s">
        <v>171</v>
      </c>
      <c r="F98" s="81">
        <f>410+100+150+150</f>
        <v>810</v>
      </c>
      <c r="G98" s="82">
        <f>1400+1500</f>
        <v>2900</v>
      </c>
      <c r="H98" s="82"/>
      <c r="I98" s="82"/>
      <c r="J98" s="82"/>
      <c r="K98" s="82"/>
      <c r="L98" s="82"/>
      <c r="M98" s="82">
        <v>760</v>
      </c>
      <c r="N98" s="82"/>
      <c r="O98" s="82"/>
      <c r="P98" s="82"/>
      <c r="Q98" s="82"/>
      <c r="R98" s="82"/>
      <c r="S98" s="82">
        <f t="shared" si="26"/>
        <v>4470</v>
      </c>
      <c r="T98" s="283"/>
    </row>
    <row r="99" spans="1:48" ht="15" customHeight="1" x14ac:dyDescent="0.25">
      <c r="C99" s="275"/>
      <c r="D99" s="99" t="s">
        <v>153</v>
      </c>
      <c r="E99" s="99" t="s">
        <v>172</v>
      </c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>
        <f t="shared" si="26"/>
        <v>0</v>
      </c>
      <c r="T99" s="283"/>
    </row>
    <row r="100" spans="1:48" s="41" customFormat="1" ht="15" customHeight="1" x14ac:dyDescent="0.25">
      <c r="A100" s="45"/>
      <c r="B100" s="45"/>
      <c r="C100" s="276"/>
      <c r="D100" s="99" t="s">
        <v>153</v>
      </c>
      <c r="E100" s="99" t="s">
        <v>173</v>
      </c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>
        <v>6753</v>
      </c>
      <c r="R100" s="82"/>
      <c r="S100" s="82">
        <f t="shared" si="26"/>
        <v>6753</v>
      </c>
      <c r="T100" s="283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</row>
    <row r="101" spans="1:48" ht="15.75" customHeight="1" thickBot="1" x14ac:dyDescent="0.3">
      <c r="A101" s="41"/>
      <c r="B101" s="41"/>
      <c r="C101" s="276"/>
      <c r="D101" s="100" t="s">
        <v>153</v>
      </c>
      <c r="E101" s="100" t="s">
        <v>168</v>
      </c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>
        <v>2000</v>
      </c>
      <c r="R101" s="48"/>
      <c r="S101" s="48">
        <f t="shared" si="26"/>
        <v>2000</v>
      </c>
      <c r="T101" s="283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</row>
    <row r="102" spans="1:48" ht="14.25" customHeight="1" x14ac:dyDescent="0.25">
      <c r="D102" s="101" t="s">
        <v>120</v>
      </c>
      <c r="E102" s="101" t="s">
        <v>120</v>
      </c>
      <c r="F102" s="64">
        <f t="shared" ref="F102:O102" si="27">SUM(F85:F101)</f>
        <v>41298.800000000003</v>
      </c>
      <c r="G102" s="64">
        <f t="shared" si="27"/>
        <v>10918</v>
      </c>
      <c r="H102" s="64">
        <f t="shared" si="27"/>
        <v>63417</v>
      </c>
      <c r="I102" s="64">
        <f t="shared" si="27"/>
        <v>112059</v>
      </c>
      <c r="J102" s="64">
        <f t="shared" si="27"/>
        <v>0</v>
      </c>
      <c r="K102" s="64">
        <f t="shared" si="27"/>
        <v>1065</v>
      </c>
      <c r="L102" s="64">
        <f t="shared" si="27"/>
        <v>4014</v>
      </c>
      <c r="M102" s="64">
        <f t="shared" si="27"/>
        <v>7975</v>
      </c>
      <c r="N102" s="64">
        <f t="shared" si="27"/>
        <v>465</v>
      </c>
      <c r="O102" s="64">
        <f t="shared" si="27"/>
        <v>18364</v>
      </c>
      <c r="P102" s="64">
        <f>SUM(P85:P101)</f>
        <v>0</v>
      </c>
      <c r="Q102" s="64">
        <f>SUM(Q85:Q101)</f>
        <v>21376</v>
      </c>
      <c r="R102" s="64">
        <f>SUM(R85:R101)</f>
        <v>0</v>
      </c>
      <c r="S102" s="54">
        <f>SUM(S85:S101)</f>
        <v>280951.8</v>
      </c>
    </row>
    <row r="103" spans="1:48" ht="15.75" customHeight="1" thickBot="1" x14ac:dyDescent="0.3"/>
    <row r="104" spans="1:48" ht="17.25" x14ac:dyDescent="0.25">
      <c r="A104" s="166" t="s">
        <v>188</v>
      </c>
      <c r="B104" s="167">
        <f>B85+1</f>
        <v>202506</v>
      </c>
      <c r="C104" s="275">
        <f>B104</f>
        <v>202506</v>
      </c>
      <c r="D104" s="94" t="s">
        <v>151</v>
      </c>
      <c r="E104" s="177" t="s">
        <v>252</v>
      </c>
      <c r="F104" s="60">
        <f>250+594+420+219+55+360+90+130+390+60+200+1310+254+65+240+100+280+60+110+200+80+80+880</f>
        <v>6427</v>
      </c>
      <c r="G104" s="59">
        <v>820</v>
      </c>
      <c r="H104" s="59">
        <f>49+30+454+60+471+500+500</f>
        <v>2064</v>
      </c>
      <c r="I104" s="60"/>
      <c r="J104" s="59"/>
      <c r="K104" s="60">
        <v>1000</v>
      </c>
      <c r="L104" s="60">
        <f>100+60+60+85+60+35+60</f>
        <v>460</v>
      </c>
      <c r="M104" s="148">
        <f>289+338+123+601+402+17+402+351+310+65+38+2020+299+228+99+380+500</f>
        <v>6462</v>
      </c>
      <c r="N104" s="60">
        <f>79+77+134+429+190+129+0+60+18+143+100+131+60+130</f>
        <v>1680</v>
      </c>
      <c r="O104" s="60">
        <f>55+135+150+35+35</f>
        <v>410</v>
      </c>
      <c r="P104" s="60">
        <v>1020</v>
      </c>
      <c r="Q104" s="60">
        <f>2000+2000+2000+2000</f>
        <v>8000</v>
      </c>
      <c r="R104" s="60"/>
      <c r="S104" s="44">
        <f t="shared" ref="S104:S120" si="28">SUM(F104:R104)</f>
        <v>28343</v>
      </c>
      <c r="T104" s="277">
        <f>SUM(S104:S110)</f>
        <v>57540</v>
      </c>
    </row>
    <row r="105" spans="1:48" ht="15" customHeight="1" thickBot="1" x14ac:dyDescent="0.3">
      <c r="A105" s="164" t="s">
        <v>247</v>
      </c>
      <c r="B105" s="162">
        <f>$J$2</f>
        <v>166666.66666666666</v>
      </c>
      <c r="C105" s="275"/>
      <c r="D105" s="95" t="s">
        <v>151</v>
      </c>
      <c r="E105" s="176" t="s">
        <v>251</v>
      </c>
      <c r="F105" s="79"/>
      <c r="G105" s="78"/>
      <c r="H105" s="78"/>
      <c r="I105" s="79"/>
      <c r="J105" s="78"/>
      <c r="K105" s="79"/>
      <c r="L105" s="79"/>
      <c r="M105" s="149"/>
      <c r="N105" s="79"/>
      <c r="O105" s="79"/>
      <c r="P105" s="79"/>
      <c r="Q105" s="79"/>
      <c r="R105" s="79"/>
      <c r="S105" s="80">
        <f t="shared" si="28"/>
        <v>0</v>
      </c>
      <c r="T105" s="278"/>
    </row>
    <row r="106" spans="1:48" ht="15" customHeight="1" thickTop="1" x14ac:dyDescent="0.25">
      <c r="A106" s="165" t="s">
        <v>237</v>
      </c>
      <c r="B106" s="182">
        <f>SUMPRODUCT((($V$10:$V$21)&lt;=VALUE(B104))*($Z$10:$Z$21))</f>
        <v>1003578.1333333333</v>
      </c>
      <c r="C106" s="275"/>
      <c r="D106" s="95" t="s">
        <v>151</v>
      </c>
      <c r="E106" s="176" t="s">
        <v>254</v>
      </c>
      <c r="F106" s="79">
        <v>3326</v>
      </c>
      <c r="G106" s="78"/>
      <c r="H106" s="78">
        <f>1077+0+538</f>
        <v>1615</v>
      </c>
      <c r="I106" s="79"/>
      <c r="J106" s="78"/>
      <c r="K106" s="79"/>
      <c r="L106" s="79"/>
      <c r="M106" s="149">
        <v>1198</v>
      </c>
      <c r="N106" s="79"/>
      <c r="O106" s="79"/>
      <c r="P106" s="79"/>
      <c r="Q106" s="79">
        <f>9374-7000+402</f>
        <v>2776</v>
      </c>
      <c r="R106" s="79"/>
      <c r="S106" s="80">
        <f t="shared" si="28"/>
        <v>8915</v>
      </c>
      <c r="T106" s="278"/>
    </row>
    <row r="107" spans="1:48" ht="15" customHeight="1" x14ac:dyDescent="0.25">
      <c r="A107" s="165" t="s">
        <v>264</v>
      </c>
      <c r="B107" s="181">
        <f>B106/SUMPRODUCT(('2025'!$V$10:$V$21&lt;='2025'!B104)*'2024'!$Z$10:$Z$21)-1</f>
        <v>-1.0884710430748346E-2</v>
      </c>
      <c r="C107" s="275"/>
      <c r="D107" s="95" t="s">
        <v>151</v>
      </c>
      <c r="E107" s="176" t="s">
        <v>255</v>
      </c>
      <c r="F107" s="79"/>
      <c r="G107" s="78"/>
      <c r="H107" s="78">
        <f>65+50+21+120-93</f>
        <v>163</v>
      </c>
      <c r="I107" s="79"/>
      <c r="J107" s="78"/>
      <c r="K107" s="79"/>
      <c r="L107" s="79"/>
      <c r="M107" s="149">
        <f>120+529</f>
        <v>649</v>
      </c>
      <c r="N107" s="79"/>
      <c r="O107" s="79">
        <f>100+220+220+220+220</f>
        <v>980</v>
      </c>
      <c r="P107" s="79"/>
      <c r="Q107" s="79"/>
      <c r="R107" s="79"/>
      <c r="S107" s="80">
        <f t="shared" si="28"/>
        <v>1792</v>
      </c>
      <c r="T107" s="278"/>
    </row>
    <row r="108" spans="1:48" ht="15" customHeight="1" x14ac:dyDescent="0.25">
      <c r="A108" s="165" t="s">
        <v>236</v>
      </c>
      <c r="B108" s="186">
        <f>B106-$K$2*VALUE(RIGHT(B104,2))/9</f>
        <v>1003578.1333333333</v>
      </c>
      <c r="C108" s="275"/>
      <c r="D108" s="96" t="s">
        <v>151</v>
      </c>
      <c r="E108" s="176" t="s">
        <v>256</v>
      </c>
      <c r="F108" s="79">
        <f>6500+4700+3000+3000</f>
        <v>17200</v>
      </c>
      <c r="G108" s="78"/>
      <c r="H108" s="78"/>
      <c r="I108" s="78"/>
      <c r="J108" s="78"/>
      <c r="K108" s="79"/>
      <c r="L108" s="79"/>
      <c r="M108" s="149"/>
      <c r="N108" s="79"/>
      <c r="O108" s="79"/>
      <c r="P108" s="79"/>
      <c r="Q108" s="79"/>
      <c r="R108" s="79"/>
      <c r="S108" s="80">
        <f t="shared" si="28"/>
        <v>17200</v>
      </c>
      <c r="T108" s="278"/>
    </row>
    <row r="109" spans="1:48" ht="15" customHeight="1" x14ac:dyDescent="0.25">
      <c r="A109" s="164" t="s">
        <v>242</v>
      </c>
      <c r="B109" s="157">
        <f>B108/($J$2*12)</f>
        <v>0.50178906666666667</v>
      </c>
      <c r="C109" s="275"/>
      <c r="D109" s="95" t="s">
        <v>151</v>
      </c>
      <c r="E109" s="176" t="s">
        <v>257</v>
      </c>
      <c r="F109" s="79"/>
      <c r="G109" s="78"/>
      <c r="H109" s="78"/>
      <c r="I109" s="79"/>
      <c r="J109" s="78"/>
      <c r="K109" s="79"/>
      <c r="L109" s="79"/>
      <c r="M109" s="149"/>
      <c r="N109" s="79"/>
      <c r="O109" s="79"/>
      <c r="P109" s="79"/>
      <c r="Q109" s="79"/>
      <c r="R109" s="79"/>
      <c r="S109" s="80">
        <f t="shared" si="28"/>
        <v>0</v>
      </c>
      <c r="T109" s="278"/>
    </row>
    <row r="110" spans="1:48" ht="15" customHeight="1" x14ac:dyDescent="0.25">
      <c r="A110" s="164" t="s">
        <v>241</v>
      </c>
      <c r="B110" s="126">
        <f>VALUE(RIGHT(B104,2))/12</f>
        <v>0.5</v>
      </c>
      <c r="C110" s="275"/>
      <c r="D110" s="95" t="s">
        <v>151</v>
      </c>
      <c r="E110" s="176" t="s">
        <v>263</v>
      </c>
      <c r="F110" s="78">
        <v>250</v>
      </c>
      <c r="G110" s="78"/>
      <c r="H110" s="78">
        <v>500</v>
      </c>
      <c r="I110" s="79"/>
      <c r="J110" s="78"/>
      <c r="K110" s="79"/>
      <c r="L110" s="79"/>
      <c r="M110" s="149">
        <v>540</v>
      </c>
      <c r="N110" s="79"/>
      <c r="O110" s="79"/>
      <c r="P110" s="79"/>
      <c r="Q110" s="79"/>
      <c r="R110" s="79"/>
      <c r="S110" s="80">
        <f>SUM(F110:R110)</f>
        <v>1290</v>
      </c>
      <c r="T110" s="279"/>
    </row>
    <row r="111" spans="1:48" ht="15" customHeight="1" x14ac:dyDescent="0.25">
      <c r="A111" s="164" t="s">
        <v>243</v>
      </c>
      <c r="B111" s="161">
        <f>B105*VALUE(RIGHT(B104,2))-B108</f>
        <v>-3578.1333333333023</v>
      </c>
      <c r="C111" s="275"/>
      <c r="D111" s="97" t="s">
        <v>152</v>
      </c>
      <c r="E111" s="97" t="s">
        <v>144</v>
      </c>
      <c r="F111" s="85"/>
      <c r="G111" s="46"/>
      <c r="H111" s="85"/>
      <c r="I111" s="46"/>
      <c r="J111" s="46"/>
      <c r="K111" s="46"/>
      <c r="L111" s="46"/>
      <c r="M111" s="152"/>
      <c r="N111" s="46"/>
      <c r="O111" s="86"/>
      <c r="P111" s="46"/>
      <c r="Q111" s="46"/>
      <c r="R111" s="46"/>
      <c r="S111" s="83">
        <f t="shared" si="28"/>
        <v>0</v>
      </c>
      <c r="T111" s="280">
        <f>SUM(S111:S115)</f>
        <v>3658</v>
      </c>
    </row>
    <row r="112" spans="1:48" ht="15" customHeight="1" x14ac:dyDescent="0.25">
      <c r="A112" s="164" t="s">
        <v>265</v>
      </c>
      <c r="B112" s="184">
        <f>$J$2-(S121)</f>
        <v>51400.666666666657</v>
      </c>
      <c r="C112" s="275"/>
      <c r="D112" s="97" t="s">
        <v>152</v>
      </c>
      <c r="E112" s="97" t="s">
        <v>145</v>
      </c>
      <c r="F112" s="85"/>
      <c r="G112" s="86">
        <v>1600</v>
      </c>
      <c r="H112" s="85"/>
      <c r="I112" s="46"/>
      <c r="J112" s="46"/>
      <c r="K112" s="46"/>
      <c r="L112" s="46"/>
      <c r="M112" s="152"/>
      <c r="N112" s="46"/>
      <c r="O112" s="89"/>
      <c r="P112" s="46"/>
      <c r="Q112" s="46"/>
      <c r="R112" s="46"/>
      <c r="S112" s="83">
        <f t="shared" si="28"/>
        <v>1600</v>
      </c>
      <c r="T112" s="281"/>
    </row>
    <row r="113" spans="1:48" ht="15" customHeight="1" x14ac:dyDescent="0.25">
      <c r="C113" s="275"/>
      <c r="D113" s="97" t="s">
        <v>152</v>
      </c>
      <c r="E113" s="97" t="s">
        <v>146</v>
      </c>
      <c r="F113" s="86"/>
      <c r="G113" s="46"/>
      <c r="H113" s="87"/>
      <c r="I113" s="152">
        <f>330+4</f>
        <v>334</v>
      </c>
      <c r="J113" s="46"/>
      <c r="K113" s="46"/>
      <c r="L113" s="46"/>
      <c r="M113" s="152"/>
      <c r="N113" s="46"/>
      <c r="O113" s="89">
        <f>710+290</f>
        <v>1000</v>
      </c>
      <c r="P113" s="46"/>
      <c r="Q113" s="46"/>
      <c r="R113" s="46"/>
      <c r="S113" s="83">
        <f t="shared" si="28"/>
        <v>1334</v>
      </c>
      <c r="T113" s="281"/>
    </row>
    <row r="114" spans="1:48" ht="15" customHeight="1" x14ac:dyDescent="0.25">
      <c r="C114" s="275"/>
      <c r="D114" s="97" t="s">
        <v>152</v>
      </c>
      <c r="E114" s="97" t="s">
        <v>147</v>
      </c>
      <c r="F114" s="85"/>
      <c r="G114" s="46"/>
      <c r="H114" s="87"/>
      <c r="I114" s="152">
        <f>330+4</f>
        <v>334</v>
      </c>
      <c r="J114" s="46"/>
      <c r="K114" s="46"/>
      <c r="L114" s="46"/>
      <c r="M114" s="152"/>
      <c r="N114" s="46"/>
      <c r="O114" s="89">
        <v>390</v>
      </c>
      <c r="P114" s="46"/>
      <c r="Q114" s="46"/>
      <c r="R114" s="46"/>
      <c r="S114" s="83">
        <f t="shared" si="28"/>
        <v>724</v>
      </c>
      <c r="T114" s="281"/>
    </row>
    <row r="115" spans="1:48" ht="15" customHeight="1" x14ac:dyDescent="0.25">
      <c r="C115" s="275"/>
      <c r="D115" s="97" t="s">
        <v>152</v>
      </c>
      <c r="E115" s="97" t="s">
        <v>168</v>
      </c>
      <c r="F115" s="85"/>
      <c r="G115" s="46"/>
      <c r="H115" s="85"/>
      <c r="I115" s="46"/>
      <c r="J115" s="46"/>
      <c r="K115" s="46"/>
      <c r="L115" s="46"/>
      <c r="M115" s="152"/>
      <c r="N115" s="46"/>
      <c r="O115" s="46"/>
      <c r="P115" s="46"/>
      <c r="Q115" s="46"/>
      <c r="R115" s="46"/>
      <c r="S115" s="83">
        <f t="shared" si="28"/>
        <v>0</v>
      </c>
      <c r="T115" s="281"/>
    </row>
    <row r="116" spans="1:48" ht="15" customHeight="1" x14ac:dyDescent="0.25">
      <c r="C116" s="275"/>
      <c r="D116" s="98" t="s">
        <v>153</v>
      </c>
      <c r="E116" s="98" t="s">
        <v>170</v>
      </c>
      <c r="F116" s="81"/>
      <c r="G116" s="81"/>
      <c r="H116" s="81"/>
      <c r="I116" s="81"/>
      <c r="J116" s="81"/>
      <c r="K116" s="81"/>
      <c r="L116" s="81">
        <f>809+12+809+12</f>
        <v>1642</v>
      </c>
      <c r="M116" s="81">
        <f>815+12</f>
        <v>827</v>
      </c>
      <c r="N116" s="81"/>
      <c r="O116" s="81"/>
      <c r="P116" s="81"/>
      <c r="Q116" s="81"/>
      <c r="R116" s="81"/>
      <c r="S116" s="81">
        <f t="shared" si="28"/>
        <v>2469</v>
      </c>
      <c r="T116" s="282">
        <f>SUM(S116:S120)</f>
        <v>54068</v>
      </c>
    </row>
    <row r="117" spans="1:48" ht="15" customHeight="1" x14ac:dyDescent="0.25">
      <c r="C117" s="275"/>
      <c r="D117" s="99" t="s">
        <v>153</v>
      </c>
      <c r="E117" s="99" t="s">
        <v>171</v>
      </c>
      <c r="F117" s="82"/>
      <c r="G117" s="82"/>
      <c r="H117" s="82"/>
      <c r="I117" s="82"/>
      <c r="J117" s="82"/>
      <c r="K117" s="82"/>
      <c r="L117" s="82"/>
      <c r="M117" s="140">
        <v>420</v>
      </c>
      <c r="N117" s="82"/>
      <c r="O117" s="82"/>
      <c r="P117" s="82"/>
      <c r="Q117" s="82"/>
      <c r="R117" s="82"/>
      <c r="S117" s="82">
        <f t="shared" si="28"/>
        <v>420</v>
      </c>
      <c r="T117" s="283"/>
    </row>
    <row r="118" spans="1:48" ht="15" customHeight="1" x14ac:dyDescent="0.25">
      <c r="C118" s="275"/>
      <c r="D118" s="99" t="s">
        <v>153</v>
      </c>
      <c r="E118" s="99" t="s">
        <v>172</v>
      </c>
      <c r="F118" s="82"/>
      <c r="G118" s="82"/>
      <c r="H118" s="81"/>
      <c r="I118" s="82"/>
      <c r="J118" s="82"/>
      <c r="K118" s="82"/>
      <c r="L118" s="82"/>
      <c r="M118" s="140"/>
      <c r="N118" s="82"/>
      <c r="O118" s="82">
        <f>34242+6937</f>
        <v>41179</v>
      </c>
      <c r="P118" s="82"/>
      <c r="Q118" s="82"/>
      <c r="R118" s="82"/>
      <c r="S118" s="82">
        <f t="shared" si="28"/>
        <v>41179</v>
      </c>
      <c r="T118" s="283"/>
    </row>
    <row r="119" spans="1:48" s="41" customFormat="1" ht="15" customHeight="1" x14ac:dyDescent="0.25">
      <c r="A119" s="45"/>
      <c r="B119" s="45"/>
      <c r="C119" s="276"/>
      <c r="D119" s="99" t="s">
        <v>153</v>
      </c>
      <c r="E119" s="99" t="s">
        <v>173</v>
      </c>
      <c r="F119" s="82"/>
      <c r="G119" s="82"/>
      <c r="H119" s="82"/>
      <c r="I119" s="82"/>
      <c r="J119" s="82"/>
      <c r="K119" s="82"/>
      <c r="L119" s="82"/>
      <c r="M119" s="140"/>
      <c r="N119" s="82"/>
      <c r="O119" s="82"/>
      <c r="P119" s="82"/>
      <c r="Q119" s="82"/>
      <c r="R119" s="82"/>
      <c r="S119" s="82">
        <f t="shared" si="28"/>
        <v>0</v>
      </c>
      <c r="T119" s="283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</row>
    <row r="120" spans="1:48" ht="15.75" customHeight="1" thickBot="1" x14ac:dyDescent="0.3">
      <c r="A120" s="41"/>
      <c r="B120" s="41"/>
      <c r="C120" s="276"/>
      <c r="D120" s="100" t="s">
        <v>153</v>
      </c>
      <c r="E120" s="100" t="s">
        <v>168</v>
      </c>
      <c r="F120" s="48"/>
      <c r="G120" s="48"/>
      <c r="H120" s="48"/>
      <c r="I120" s="48"/>
      <c r="J120" s="48"/>
      <c r="K120" s="48"/>
      <c r="L120" s="48"/>
      <c r="M120" s="141"/>
      <c r="N120" s="48"/>
      <c r="O120" s="48"/>
      <c r="P120" s="48"/>
      <c r="Q120" s="48">
        <v>10000</v>
      </c>
      <c r="R120" s="48"/>
      <c r="S120" s="48">
        <f t="shared" si="28"/>
        <v>10000</v>
      </c>
      <c r="T120" s="283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</row>
    <row r="121" spans="1:48" ht="15" customHeight="1" x14ac:dyDescent="0.25">
      <c r="D121" s="101" t="s">
        <v>120</v>
      </c>
      <c r="E121" s="101" t="s">
        <v>120</v>
      </c>
      <c r="F121" s="64">
        <f>SUM(F104:F120)</f>
        <v>27203</v>
      </c>
      <c r="G121" s="64">
        <f>SUM(G104:G120)</f>
        <v>2420</v>
      </c>
      <c r="H121" s="64">
        <f>SUM(H104:H120)</f>
        <v>4342</v>
      </c>
      <c r="I121" s="64">
        <f t="shared" ref="I121:P121" si="29">SUM(I104:I120)</f>
        <v>668</v>
      </c>
      <c r="J121" s="64">
        <f t="shared" si="29"/>
        <v>0</v>
      </c>
      <c r="K121" s="64">
        <f t="shared" si="29"/>
        <v>1000</v>
      </c>
      <c r="L121" s="64">
        <f t="shared" si="29"/>
        <v>2102</v>
      </c>
      <c r="M121" s="150">
        <f t="shared" si="29"/>
        <v>10096</v>
      </c>
      <c r="N121" s="64">
        <f t="shared" si="29"/>
        <v>1680</v>
      </c>
      <c r="O121" s="64">
        <f t="shared" si="29"/>
        <v>43959</v>
      </c>
      <c r="P121" s="64">
        <f t="shared" si="29"/>
        <v>1020</v>
      </c>
      <c r="Q121" s="64">
        <f>SUM(Q104:Q120)</f>
        <v>20776</v>
      </c>
      <c r="R121" s="64">
        <f>SUM(R104:R120)</f>
        <v>0</v>
      </c>
      <c r="S121" s="54">
        <f>SUM(S104:S120)</f>
        <v>115266</v>
      </c>
      <c r="T121" s="52"/>
      <c r="U121" s="52"/>
    </row>
    <row r="122" spans="1:48" ht="15.75" customHeight="1" thickBot="1" x14ac:dyDescent="0.3">
      <c r="M122" s="151"/>
    </row>
    <row r="123" spans="1:48" ht="17.25" x14ac:dyDescent="0.25">
      <c r="A123" s="166" t="s">
        <v>188</v>
      </c>
      <c r="B123" s="167">
        <f>B104+1</f>
        <v>202507</v>
      </c>
      <c r="C123" s="275">
        <f>B123</f>
        <v>202507</v>
      </c>
      <c r="D123" s="94" t="s">
        <v>151</v>
      </c>
      <c r="E123" s="177" t="s">
        <v>252</v>
      </c>
      <c r="F123" s="60">
        <f>594+100+50+100+165+25+80+198+218+145+435+211+549+1613+203+260+1000+195</f>
        <v>6141</v>
      </c>
      <c r="G123" s="59">
        <f>760+182</f>
        <v>942</v>
      </c>
      <c r="H123" s="59">
        <f>1000+70+224+288+106+160</f>
        <v>1848</v>
      </c>
      <c r="I123" s="60">
        <f>88+124+156+59+110</f>
        <v>537</v>
      </c>
      <c r="J123" s="59"/>
      <c r="K123" s="60"/>
      <c r="L123" s="60">
        <f>40+12+90+389</f>
        <v>531</v>
      </c>
      <c r="M123" s="148">
        <f>80+70+0+115+833+191+123</f>
        <v>1412</v>
      </c>
      <c r="N123" s="60">
        <f>166+30+98</f>
        <v>294</v>
      </c>
      <c r="O123" s="60">
        <f>248+97+185+575+1002+180</f>
        <v>2287</v>
      </c>
      <c r="P123" s="60"/>
      <c r="Q123" s="60">
        <f>2000+2000+2000+2000+2000</f>
        <v>10000</v>
      </c>
      <c r="R123" s="60"/>
      <c r="S123" s="44">
        <f t="shared" ref="S123:S139" si="30">SUM(F123:R123)</f>
        <v>23992</v>
      </c>
      <c r="T123" s="277">
        <f>SUM(S123:S129)</f>
        <v>62798</v>
      </c>
      <c r="V123" s="52"/>
    </row>
    <row r="124" spans="1:48" ht="15" customHeight="1" thickBot="1" x14ac:dyDescent="0.3">
      <c r="A124" s="164" t="s">
        <v>247</v>
      </c>
      <c r="B124" s="162">
        <f>$J$2</f>
        <v>166666.66666666666</v>
      </c>
      <c r="C124" s="275"/>
      <c r="D124" s="95" t="s">
        <v>151</v>
      </c>
      <c r="E124" s="176" t="s">
        <v>251</v>
      </c>
      <c r="F124" s="149">
        <v>600</v>
      </c>
      <c r="G124" s="78"/>
      <c r="H124" s="78"/>
      <c r="I124" s="79"/>
      <c r="J124" s="78"/>
      <c r="K124" s="79"/>
      <c r="L124" s="79"/>
      <c r="M124" s="149">
        <v>98</v>
      </c>
      <c r="N124" s="79"/>
      <c r="O124" s="79"/>
      <c r="P124" s="79"/>
      <c r="Q124" s="79">
        <v>1000</v>
      </c>
      <c r="R124" s="79"/>
      <c r="S124" s="80">
        <f t="shared" si="30"/>
        <v>1698</v>
      </c>
      <c r="T124" s="278"/>
      <c r="V124" s="52"/>
    </row>
    <row r="125" spans="1:48" ht="15" customHeight="1" thickTop="1" x14ac:dyDescent="0.25">
      <c r="A125" s="165" t="s">
        <v>237</v>
      </c>
      <c r="B125" s="182">
        <f>SUMPRODUCT((($V$10:$V$21)&lt;=VALUE(B123))*($Z$10:$Z$21))</f>
        <v>1216854.1333333333</v>
      </c>
      <c r="C125" s="275"/>
      <c r="D125" s="95" t="s">
        <v>151</v>
      </c>
      <c r="E125" s="176" t="s">
        <v>254</v>
      </c>
      <c r="F125" s="79">
        <v>3326</v>
      </c>
      <c r="G125" s="78"/>
      <c r="H125" s="78">
        <f>2121+1767</f>
        <v>3888</v>
      </c>
      <c r="I125" s="79"/>
      <c r="J125" s="78"/>
      <c r="K125" s="79"/>
      <c r="L125" s="79"/>
      <c r="M125" s="149"/>
      <c r="N125" s="79"/>
      <c r="O125" s="79">
        <f>100+100+100</f>
        <v>300</v>
      </c>
      <c r="P125" s="79"/>
      <c r="Q125" s="79">
        <f>9474-7000+1500+361</f>
        <v>4335</v>
      </c>
      <c r="R125" s="79"/>
      <c r="S125" s="80">
        <f t="shared" si="30"/>
        <v>11849</v>
      </c>
      <c r="T125" s="278"/>
      <c r="V125" s="52"/>
      <c r="W125" s="55"/>
    </row>
    <row r="126" spans="1:48" ht="15" customHeight="1" x14ac:dyDescent="0.25">
      <c r="A126" s="165" t="s">
        <v>264</v>
      </c>
      <c r="B126" s="181">
        <f>B125/SUMPRODUCT(('2025'!$V$10:$V$21&lt;='2025'!B123)*'2024'!$Z$10:$Z$21)-1</f>
        <v>5.476794346159064E-2</v>
      </c>
      <c r="C126" s="275"/>
      <c r="D126" s="95" t="s">
        <v>151</v>
      </c>
      <c r="E126" s="176" t="s">
        <v>255</v>
      </c>
      <c r="F126" s="79">
        <v>30</v>
      </c>
      <c r="G126" s="78"/>
      <c r="H126" s="78">
        <f>24+528+400+500</f>
        <v>1452</v>
      </c>
      <c r="I126" s="79"/>
      <c r="J126" s="78"/>
      <c r="K126" s="79"/>
      <c r="L126" s="79"/>
      <c r="M126" s="149">
        <f>1203+70+1316+528</f>
        <v>3117</v>
      </c>
      <c r="N126" s="79"/>
      <c r="O126" s="79">
        <f>100+60+100+100+100</f>
        <v>460</v>
      </c>
      <c r="P126" s="79"/>
      <c r="Q126" s="79"/>
      <c r="R126" s="79"/>
      <c r="S126" s="80">
        <f t="shared" si="30"/>
        <v>5059</v>
      </c>
      <c r="T126" s="278"/>
      <c r="V126" s="52"/>
    </row>
    <row r="127" spans="1:48" ht="15" customHeight="1" x14ac:dyDescent="0.25">
      <c r="A127" s="165" t="s">
        <v>236</v>
      </c>
      <c r="B127" s="186">
        <f>B125-$K$2*VALUE(RIGHT(B123,2))/9</f>
        <v>1216854.1333333333</v>
      </c>
      <c r="C127" s="275"/>
      <c r="D127" s="96" t="s">
        <v>151</v>
      </c>
      <c r="E127" s="176" t="s">
        <v>256</v>
      </c>
      <c r="F127" s="79"/>
      <c r="G127" s="78"/>
      <c r="H127" s="78"/>
      <c r="I127" s="78"/>
      <c r="J127" s="78"/>
      <c r="K127" s="79"/>
      <c r="L127" s="79"/>
      <c r="M127" s="149"/>
      <c r="N127" s="79"/>
      <c r="O127" s="79"/>
      <c r="P127" s="79"/>
      <c r="Q127" s="79"/>
      <c r="R127" s="79"/>
      <c r="S127" s="80">
        <f t="shared" si="30"/>
        <v>0</v>
      </c>
      <c r="T127" s="278"/>
      <c r="V127" s="52"/>
    </row>
    <row r="128" spans="1:48" ht="15" customHeight="1" x14ac:dyDescent="0.25">
      <c r="A128" s="164" t="s">
        <v>242</v>
      </c>
      <c r="B128" s="157">
        <f>B127/($J$2*12)</f>
        <v>0.60842706666666668</v>
      </c>
      <c r="C128" s="275"/>
      <c r="D128" s="95" t="s">
        <v>151</v>
      </c>
      <c r="E128" s="176" t="s">
        <v>257</v>
      </c>
      <c r="F128" s="79">
        <f>10100*2</f>
        <v>20200</v>
      </c>
      <c r="G128" s="78"/>
      <c r="H128" s="78"/>
      <c r="I128" s="79"/>
      <c r="J128" s="78"/>
      <c r="K128" s="79"/>
      <c r="L128" s="79"/>
      <c r="M128" s="149"/>
      <c r="N128" s="79"/>
      <c r="O128" s="79"/>
      <c r="P128" s="79"/>
      <c r="Q128" s="79"/>
      <c r="R128" s="79"/>
      <c r="S128" s="80">
        <f t="shared" si="30"/>
        <v>20200</v>
      </c>
      <c r="T128" s="278"/>
      <c r="V128" s="52"/>
    </row>
    <row r="129" spans="1:48" ht="15" customHeight="1" x14ac:dyDescent="0.25">
      <c r="A129" s="164" t="s">
        <v>282</v>
      </c>
      <c r="B129" s="126">
        <f>VALUE(RIGHT(B123,2))/12</f>
        <v>0.58333333333333337</v>
      </c>
      <c r="C129" s="275"/>
      <c r="D129" s="95" t="s">
        <v>151</v>
      </c>
      <c r="E129" s="176" t="s">
        <v>263</v>
      </c>
      <c r="F129" s="78"/>
      <c r="G129" s="78"/>
      <c r="H129" s="78"/>
      <c r="I129" s="79"/>
      <c r="J129" s="78"/>
      <c r="K129" s="79"/>
      <c r="L129" s="79"/>
      <c r="M129" s="149"/>
      <c r="N129" s="79"/>
      <c r="O129" s="79"/>
      <c r="P129" s="79"/>
      <c r="Q129" s="79"/>
      <c r="R129" s="79"/>
      <c r="S129" s="80">
        <f t="shared" si="30"/>
        <v>0</v>
      </c>
      <c r="T129" s="279"/>
      <c r="V129" s="52"/>
    </row>
    <row r="130" spans="1:48" ht="15" customHeight="1" x14ac:dyDescent="0.25">
      <c r="A130" s="164" t="s">
        <v>243</v>
      </c>
      <c r="B130" s="161">
        <f>B124*VALUE(RIGHT(B123,2))-B127</f>
        <v>-50187.466666666791</v>
      </c>
      <c r="C130" s="275"/>
      <c r="D130" s="97" t="s">
        <v>152</v>
      </c>
      <c r="E130" s="97" t="s">
        <v>144</v>
      </c>
      <c r="F130" s="85"/>
      <c r="G130" s="46"/>
      <c r="H130" s="85"/>
      <c r="I130" s="89"/>
      <c r="J130" s="46"/>
      <c r="K130" s="46"/>
      <c r="L130" s="46"/>
      <c r="M130" s="152"/>
      <c r="N130" s="46"/>
      <c r="O130" s="86">
        <f>2000+3000</f>
        <v>5000</v>
      </c>
      <c r="P130" s="46"/>
      <c r="Q130" s="46"/>
      <c r="R130" s="46"/>
      <c r="S130" s="83">
        <f t="shared" si="30"/>
        <v>5000</v>
      </c>
      <c r="T130" s="280">
        <f>SUM(S130:S134)</f>
        <v>17285</v>
      </c>
    </row>
    <row r="131" spans="1:48" ht="15" customHeight="1" x14ac:dyDescent="0.25">
      <c r="A131" s="164" t="s">
        <v>265</v>
      </c>
      <c r="B131" s="184">
        <f>$J$2-(S140)</f>
        <v>-46609.333333333343</v>
      </c>
      <c r="C131" s="275"/>
      <c r="D131" s="97" t="s">
        <v>152</v>
      </c>
      <c r="E131" s="97" t="s">
        <v>145</v>
      </c>
      <c r="F131" s="85"/>
      <c r="G131" s="46"/>
      <c r="H131" s="85"/>
      <c r="I131" s="46"/>
      <c r="J131" s="46"/>
      <c r="K131" s="46"/>
      <c r="L131" s="46"/>
      <c r="M131" s="152"/>
      <c r="N131" s="46"/>
      <c r="O131" s="85">
        <f>6000+2000</f>
        <v>8000</v>
      </c>
      <c r="P131" s="46"/>
      <c r="Q131" s="46"/>
      <c r="R131" s="46"/>
      <c r="S131" s="83">
        <f t="shared" si="30"/>
        <v>8000</v>
      </c>
      <c r="T131" s="281"/>
    </row>
    <row r="132" spans="1:48" ht="15" customHeight="1" x14ac:dyDescent="0.25">
      <c r="C132" s="275"/>
      <c r="D132" s="97" t="s">
        <v>152</v>
      </c>
      <c r="E132" s="97" t="s">
        <v>146</v>
      </c>
      <c r="F132" s="86"/>
      <c r="G132" s="46"/>
      <c r="H132" s="87"/>
      <c r="I132" s="46"/>
      <c r="J132" s="46"/>
      <c r="K132" s="46"/>
      <c r="L132" s="46"/>
      <c r="M132" s="152"/>
      <c r="N132" s="46"/>
      <c r="O132" s="85">
        <f>704+1500</f>
        <v>2204</v>
      </c>
      <c r="P132" s="46"/>
      <c r="Q132" s="46"/>
      <c r="R132" s="46"/>
      <c r="S132" s="83">
        <f t="shared" si="30"/>
        <v>2204</v>
      </c>
      <c r="T132" s="281"/>
    </row>
    <row r="133" spans="1:48" ht="15" customHeight="1" x14ac:dyDescent="0.25">
      <c r="C133" s="275"/>
      <c r="D133" s="97" t="s">
        <v>152</v>
      </c>
      <c r="E133" s="97" t="s">
        <v>147</v>
      </c>
      <c r="F133" s="85"/>
      <c r="G133" s="46"/>
      <c r="H133" s="87"/>
      <c r="I133" s="46"/>
      <c r="J133" s="46"/>
      <c r="K133" s="46"/>
      <c r="L133" s="46"/>
      <c r="M133" s="152"/>
      <c r="N133" s="46"/>
      <c r="O133" s="85">
        <f>704+800</f>
        <v>1504</v>
      </c>
      <c r="P133" s="46"/>
      <c r="Q133" s="46"/>
      <c r="R133" s="46"/>
      <c r="S133" s="83">
        <f t="shared" si="30"/>
        <v>1504</v>
      </c>
      <c r="T133" s="281"/>
    </row>
    <row r="134" spans="1:48" ht="15" customHeight="1" x14ac:dyDescent="0.25">
      <c r="C134" s="275"/>
      <c r="D134" s="97" t="s">
        <v>152</v>
      </c>
      <c r="E134" s="97" t="s">
        <v>168</v>
      </c>
      <c r="F134" s="85"/>
      <c r="G134" s="46"/>
      <c r="H134" s="46"/>
      <c r="I134" s="46"/>
      <c r="J134" s="46"/>
      <c r="K134" s="46"/>
      <c r="L134" s="46"/>
      <c r="M134" s="152"/>
      <c r="N134" s="46"/>
      <c r="O134" s="86">
        <f>204+373</f>
        <v>577</v>
      </c>
      <c r="P134" s="46"/>
      <c r="Q134" s="46"/>
      <c r="R134" s="46"/>
      <c r="S134" s="83">
        <f t="shared" si="30"/>
        <v>577</v>
      </c>
      <c r="T134" s="281"/>
    </row>
    <row r="135" spans="1:48" ht="15" customHeight="1" x14ac:dyDescent="0.25">
      <c r="C135" s="275"/>
      <c r="D135" s="98" t="s">
        <v>153</v>
      </c>
      <c r="E135" s="178" t="s">
        <v>258</v>
      </c>
      <c r="F135" s="81">
        <f>14600+790+1000+150+60+110+160+50+195</f>
        <v>17115</v>
      </c>
      <c r="G135" s="81">
        <f>173+193+318+2831</f>
        <v>3515</v>
      </c>
      <c r="H135" s="81">
        <f>391+5+947+14+391+98+1+11917+178+1804+27+1047+15+234+3+3+4554+68+1028+15+1079+16+637+9</f>
        <v>24481</v>
      </c>
      <c r="I135" s="81">
        <f>3013+45</f>
        <v>3058</v>
      </c>
      <c r="J135" s="81"/>
      <c r="K135" s="81"/>
      <c r="L135" s="81">
        <f>1310+809+12+809+12</f>
        <v>2952</v>
      </c>
      <c r="M135" s="81">
        <f>190+787</f>
        <v>977</v>
      </c>
      <c r="N135" s="81"/>
      <c r="O135" s="81">
        <f>1665+900+75+245+955+480+157+325+150+20</f>
        <v>4972</v>
      </c>
      <c r="P135" s="81"/>
      <c r="Q135" s="81"/>
      <c r="R135" s="81"/>
      <c r="S135" s="81">
        <f t="shared" si="30"/>
        <v>57070</v>
      </c>
      <c r="T135" s="282">
        <f>SUM(S135:S139)</f>
        <v>133193</v>
      </c>
      <c r="V135" s="52"/>
    </row>
    <row r="136" spans="1:48" ht="15" customHeight="1" x14ac:dyDescent="0.25">
      <c r="C136" s="275"/>
      <c r="D136" s="99" t="s">
        <v>153</v>
      </c>
      <c r="E136" s="99" t="s">
        <v>171</v>
      </c>
      <c r="F136" s="82"/>
      <c r="G136" s="82"/>
      <c r="H136" s="82"/>
      <c r="I136" s="82"/>
      <c r="J136" s="82"/>
      <c r="K136" s="82"/>
      <c r="L136" s="82"/>
      <c r="M136" s="140">
        <v>1540</v>
      </c>
      <c r="N136" s="82"/>
      <c r="O136" s="82"/>
      <c r="P136" s="82"/>
      <c r="Q136" s="82"/>
      <c r="R136" s="82"/>
      <c r="S136" s="82">
        <f t="shared" si="30"/>
        <v>1540</v>
      </c>
      <c r="T136" s="283"/>
      <c r="V136" s="52"/>
    </row>
    <row r="137" spans="1:48" ht="15" customHeight="1" x14ac:dyDescent="0.25">
      <c r="C137" s="275"/>
      <c r="D137" s="99" t="s">
        <v>153</v>
      </c>
      <c r="E137" s="99" t="s">
        <v>172</v>
      </c>
      <c r="F137" s="82"/>
      <c r="G137" s="82"/>
      <c r="H137" s="82"/>
      <c r="I137" s="82">
        <v>6180</v>
      </c>
      <c r="J137" s="82"/>
      <c r="K137" s="82"/>
      <c r="L137" s="82"/>
      <c r="M137" s="140"/>
      <c r="N137" s="82"/>
      <c r="O137" s="81">
        <v>67542</v>
      </c>
      <c r="P137" s="82"/>
      <c r="Q137" s="82"/>
      <c r="R137" s="82"/>
      <c r="S137" s="82">
        <f t="shared" si="30"/>
        <v>73722</v>
      </c>
      <c r="T137" s="283"/>
      <c r="U137" s="52"/>
      <c r="V137" s="52"/>
      <c r="W137" s="55"/>
    </row>
    <row r="138" spans="1:48" s="41" customFormat="1" ht="15" customHeight="1" x14ac:dyDescent="0.25">
      <c r="A138" s="45"/>
      <c r="B138" s="45"/>
      <c r="C138" s="276"/>
      <c r="D138" s="99" t="s">
        <v>153</v>
      </c>
      <c r="E138" s="99" t="s">
        <v>173</v>
      </c>
      <c r="F138" s="82"/>
      <c r="G138" s="82"/>
      <c r="H138" s="82"/>
      <c r="I138" s="82"/>
      <c r="J138" s="82"/>
      <c r="K138" s="82"/>
      <c r="L138" s="82"/>
      <c r="M138" s="140"/>
      <c r="N138" s="82"/>
      <c r="O138" s="82"/>
      <c r="P138" s="82"/>
      <c r="Q138" s="82"/>
      <c r="R138" s="82"/>
      <c r="S138" s="82">
        <f t="shared" si="30"/>
        <v>0</v>
      </c>
      <c r="T138" s="283"/>
      <c r="V138" s="52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</row>
    <row r="139" spans="1:48" ht="15.75" customHeight="1" thickBot="1" x14ac:dyDescent="0.3">
      <c r="A139" s="41"/>
      <c r="B139" s="41"/>
      <c r="C139" s="276"/>
      <c r="D139" s="100" t="s">
        <v>153</v>
      </c>
      <c r="E139" s="100" t="s">
        <v>168</v>
      </c>
      <c r="F139" s="48"/>
      <c r="G139" s="48"/>
      <c r="H139" s="48"/>
      <c r="I139" s="48"/>
      <c r="J139" s="48"/>
      <c r="K139" s="48"/>
      <c r="L139" s="48"/>
      <c r="M139" s="141">
        <v>861</v>
      </c>
      <c r="N139" s="48"/>
      <c r="O139" s="48"/>
      <c r="P139" s="48"/>
      <c r="Q139" s="48"/>
      <c r="R139" s="48"/>
      <c r="S139" s="48">
        <f t="shared" si="30"/>
        <v>861</v>
      </c>
      <c r="T139" s="283"/>
      <c r="V139" s="52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</row>
    <row r="140" spans="1:48" ht="15" customHeight="1" x14ac:dyDescent="0.25">
      <c r="D140" s="101" t="s">
        <v>120</v>
      </c>
      <c r="E140" s="101" t="s">
        <v>120</v>
      </c>
      <c r="F140" s="64">
        <f>SUM(F123:F139)</f>
        <v>47412</v>
      </c>
      <c r="G140" s="64">
        <f>SUM(G123:G139)</f>
        <v>4457</v>
      </c>
      <c r="H140" s="64">
        <f>SUM(H123:H139)</f>
        <v>31669</v>
      </c>
      <c r="I140" s="64">
        <f t="shared" ref="I140:P140" si="31">SUM(I123:I139)</f>
        <v>9775</v>
      </c>
      <c r="J140" s="64">
        <f t="shared" si="31"/>
        <v>0</v>
      </c>
      <c r="K140" s="64">
        <f t="shared" si="31"/>
        <v>0</v>
      </c>
      <c r="L140" s="64">
        <f t="shared" si="31"/>
        <v>3483</v>
      </c>
      <c r="M140" s="150">
        <f t="shared" si="31"/>
        <v>8005</v>
      </c>
      <c r="N140" s="64">
        <f t="shared" si="31"/>
        <v>294</v>
      </c>
      <c r="O140" s="64">
        <f t="shared" si="31"/>
        <v>92846</v>
      </c>
      <c r="P140" s="64">
        <f t="shared" si="31"/>
        <v>0</v>
      </c>
      <c r="Q140" s="64">
        <f>SUM(Q123:Q139)</f>
        <v>15335</v>
      </c>
      <c r="R140" s="64">
        <f>SUM(R123:R139)</f>
        <v>0</v>
      </c>
      <c r="S140" s="54">
        <f>SUM(S123:S139)</f>
        <v>213276</v>
      </c>
    </row>
    <row r="141" spans="1:48" ht="15.75" customHeight="1" thickBot="1" x14ac:dyDescent="0.3">
      <c r="M141" s="151"/>
    </row>
    <row r="142" spans="1:48" ht="17.25" x14ac:dyDescent="0.25">
      <c r="A142" s="166" t="s">
        <v>188</v>
      </c>
      <c r="B142" s="167">
        <f>B123+1</f>
        <v>202508</v>
      </c>
      <c r="C142" s="275">
        <f>B142</f>
        <v>202508</v>
      </c>
      <c r="D142" s="94" t="s">
        <v>151</v>
      </c>
      <c r="E142" s="177" t="s">
        <v>252</v>
      </c>
      <c r="F142" s="60">
        <f>260+255+11+910+879+160+60+297+2399+799+20+1450+345+255+50+1110+350+105+195+251+100+100+70+80+350+60</f>
        <v>10921</v>
      </c>
      <c r="G142" s="59">
        <v>314</v>
      </c>
      <c r="H142" s="59">
        <v>157</v>
      </c>
      <c r="I142" s="60">
        <f>112+200+171+85+145+190+1150+510+80+60+2+65+50+285+250+59</f>
        <v>3414</v>
      </c>
      <c r="J142" s="59"/>
      <c r="K142" s="60"/>
      <c r="L142" s="60">
        <f>579+165</f>
        <v>744</v>
      </c>
      <c r="M142" s="148">
        <f>118+980+200+160+85+19+220+196</f>
        <v>1978</v>
      </c>
      <c r="N142" s="60">
        <f>55+50+1013</f>
        <v>1118</v>
      </c>
      <c r="O142" s="60">
        <f>90+430+960+118+380+500+70+90+700</f>
        <v>3338</v>
      </c>
      <c r="P142" s="60">
        <f>500+168+193</f>
        <v>861</v>
      </c>
      <c r="Q142" s="60"/>
      <c r="R142" s="60"/>
      <c r="S142" s="44">
        <f t="shared" ref="S142:S158" si="32">SUM(F142:R142)</f>
        <v>22845</v>
      </c>
      <c r="T142" s="277">
        <f>SUM(S142:S148)</f>
        <v>146362</v>
      </c>
    </row>
    <row r="143" spans="1:48" ht="15" customHeight="1" thickBot="1" x14ac:dyDescent="0.3">
      <c r="A143" s="164" t="s">
        <v>247</v>
      </c>
      <c r="B143" s="162">
        <f>$J$2</f>
        <v>166666.66666666666</v>
      </c>
      <c r="C143" s="275"/>
      <c r="D143" s="95" t="s">
        <v>151</v>
      </c>
      <c r="E143" s="176" t="s">
        <v>251</v>
      </c>
      <c r="F143" s="79"/>
      <c r="G143" s="78"/>
      <c r="H143" s="78"/>
      <c r="I143" s="79"/>
      <c r="J143" s="78"/>
      <c r="K143" s="79"/>
      <c r="L143" s="79"/>
      <c r="M143" s="149"/>
      <c r="N143" s="79"/>
      <c r="O143" s="79"/>
      <c r="P143" s="79"/>
      <c r="Q143" s="79"/>
      <c r="R143" s="79"/>
      <c r="S143" s="80">
        <f t="shared" si="32"/>
        <v>0</v>
      </c>
      <c r="T143" s="278"/>
    </row>
    <row r="144" spans="1:48" ht="15" customHeight="1" thickTop="1" x14ac:dyDescent="0.25">
      <c r="A144" s="165" t="s">
        <v>237</v>
      </c>
      <c r="B144" s="182">
        <f>SUMPRODUCT((($V$10:$V$21)&lt;=VALUE(B142))*($Z$10:$Z$21))</f>
        <v>1394685.1333333333</v>
      </c>
      <c r="C144" s="275"/>
      <c r="D144" s="95" t="s">
        <v>151</v>
      </c>
      <c r="E144" s="176" t="s">
        <v>254</v>
      </c>
      <c r="F144" s="79">
        <v>3326</v>
      </c>
      <c r="G144" s="78"/>
      <c r="H144" s="78">
        <f>1949+343</f>
        <v>2292</v>
      </c>
      <c r="I144" s="79">
        <v>617</v>
      </c>
      <c r="J144" s="78"/>
      <c r="K144" s="79"/>
      <c r="L144" s="79"/>
      <c r="M144" s="149">
        <v>1350</v>
      </c>
      <c r="N144" s="79"/>
      <c r="O144" s="79">
        <v>301</v>
      </c>
      <c r="P144" s="79"/>
      <c r="Q144" s="79">
        <f>9374-7000+538</f>
        <v>2912</v>
      </c>
      <c r="R144" s="79"/>
      <c r="S144" s="80">
        <f t="shared" si="32"/>
        <v>10798</v>
      </c>
      <c r="T144" s="278"/>
    </row>
    <row r="145" spans="1:48" ht="15" customHeight="1" x14ac:dyDescent="0.25">
      <c r="A145" s="165" t="s">
        <v>264</v>
      </c>
      <c r="B145" s="181">
        <f>B144/SUMPRODUCT(('2025'!$V$10:$V$21&lt;='2025'!B142)*'2024'!$Z$10:$Z$21)-1</f>
        <v>-0.16327769623642929</v>
      </c>
      <c r="C145" s="275"/>
      <c r="D145" s="95" t="s">
        <v>151</v>
      </c>
      <c r="E145" s="176" t="s">
        <v>255</v>
      </c>
      <c r="F145" s="79">
        <f>100+100+100+100</f>
        <v>400</v>
      </c>
      <c r="G145" s="78"/>
      <c r="H145" s="78">
        <f>177</f>
        <v>177</v>
      </c>
      <c r="I145" s="79">
        <v>40</v>
      </c>
      <c r="J145" s="78"/>
      <c r="K145" s="79"/>
      <c r="L145" s="79"/>
      <c r="M145" s="149">
        <f>125+105+1297+513+10</f>
        <v>2050</v>
      </c>
      <c r="N145" s="79"/>
      <c r="O145" s="79">
        <f>100+100+100+220+195+100+1125</f>
        <v>1940</v>
      </c>
      <c r="P145" s="79"/>
      <c r="Q145" s="79">
        <f>981+1000+3000</f>
        <v>4981</v>
      </c>
      <c r="R145" s="79"/>
      <c r="S145" s="80">
        <f t="shared" si="32"/>
        <v>9588</v>
      </c>
      <c r="T145" s="278"/>
    </row>
    <row r="146" spans="1:48" ht="15" customHeight="1" x14ac:dyDescent="0.25">
      <c r="A146" s="165" t="s">
        <v>236</v>
      </c>
      <c r="B146" s="186">
        <f>B144-$K$2*VALUE(RIGHT(B142,2))/9</f>
        <v>1394685.1333333333</v>
      </c>
      <c r="C146" s="275"/>
      <c r="D146" s="96" t="s">
        <v>151</v>
      </c>
      <c r="E146" s="176" t="s">
        <v>256</v>
      </c>
      <c r="F146" s="79">
        <f>20000+9100+1000+5000+30980+21800</f>
        <v>87880</v>
      </c>
      <c r="G146" s="78"/>
      <c r="H146" s="78"/>
      <c r="I146" s="78"/>
      <c r="J146" s="78"/>
      <c r="K146" s="79"/>
      <c r="L146" s="79"/>
      <c r="M146" s="149"/>
      <c r="N146" s="79"/>
      <c r="O146" s="79"/>
      <c r="P146" s="79"/>
      <c r="Q146" s="79"/>
      <c r="R146" s="79"/>
      <c r="S146" s="80">
        <f t="shared" si="32"/>
        <v>87880</v>
      </c>
      <c r="T146" s="278"/>
    </row>
    <row r="147" spans="1:48" ht="15" customHeight="1" x14ac:dyDescent="0.25">
      <c r="A147" s="164" t="s">
        <v>242</v>
      </c>
      <c r="B147" s="157">
        <f>B146/($J$2*12)</f>
        <v>0.69734256666666661</v>
      </c>
      <c r="C147" s="275"/>
      <c r="D147" s="95" t="s">
        <v>151</v>
      </c>
      <c r="E147" s="176" t="s">
        <v>257</v>
      </c>
      <c r="F147" s="79">
        <f>5867+6120</f>
        <v>11987</v>
      </c>
      <c r="G147" s="78"/>
      <c r="H147" s="78"/>
      <c r="I147" s="79">
        <v>1000</v>
      </c>
      <c r="J147" s="78"/>
      <c r="K147" s="79"/>
      <c r="L147" s="79"/>
      <c r="M147" s="149"/>
      <c r="N147" s="79"/>
      <c r="O147" s="79">
        <v>700</v>
      </c>
      <c r="P147" s="79"/>
      <c r="Q147" s="79"/>
      <c r="R147" s="79"/>
      <c r="S147" s="80">
        <f t="shared" si="32"/>
        <v>13687</v>
      </c>
      <c r="T147" s="278"/>
    </row>
    <row r="148" spans="1:48" ht="15" customHeight="1" x14ac:dyDescent="0.25">
      <c r="A148" s="164" t="s">
        <v>282</v>
      </c>
      <c r="B148" s="126">
        <f>VALUE(RIGHT(B142,2))/12</f>
        <v>0.66666666666666663</v>
      </c>
      <c r="C148" s="275"/>
      <c r="D148" s="95" t="s">
        <v>151</v>
      </c>
      <c r="E148" s="176" t="s">
        <v>263</v>
      </c>
      <c r="F148" s="78">
        <v>140</v>
      </c>
      <c r="G148" s="78"/>
      <c r="H148" s="78"/>
      <c r="I148" s="79">
        <v>159</v>
      </c>
      <c r="J148" s="78"/>
      <c r="K148" s="79"/>
      <c r="L148" s="79"/>
      <c r="M148" s="149">
        <f>310+670</f>
        <v>980</v>
      </c>
      <c r="N148" s="79"/>
      <c r="O148" s="79">
        <v>65</v>
      </c>
      <c r="P148" s="79"/>
      <c r="Q148" s="79">
        <f>220</f>
        <v>220</v>
      </c>
      <c r="R148" s="79"/>
      <c r="S148" s="80">
        <f t="shared" si="32"/>
        <v>1564</v>
      </c>
      <c r="T148" s="279"/>
    </row>
    <row r="149" spans="1:48" ht="15" customHeight="1" x14ac:dyDescent="0.25">
      <c r="A149" s="164" t="s">
        <v>243</v>
      </c>
      <c r="B149" s="161">
        <f>B143*VALUE(RIGHT(B142,2))-B146</f>
        <v>-61351.800000000047</v>
      </c>
      <c r="C149" s="275"/>
      <c r="D149" s="97" t="s">
        <v>152</v>
      </c>
      <c r="E149" s="97" t="s">
        <v>144</v>
      </c>
      <c r="F149" s="85">
        <v>400</v>
      </c>
      <c r="G149" s="46"/>
      <c r="H149" s="85"/>
      <c r="I149" s="46"/>
      <c r="J149" s="46"/>
      <c r="K149" s="46"/>
      <c r="L149" s="46"/>
      <c r="M149" s="152"/>
      <c r="N149" s="46"/>
      <c r="O149" s="86"/>
      <c r="P149" s="46"/>
      <c r="Q149" s="46"/>
      <c r="R149" s="46"/>
      <c r="S149" s="83">
        <f t="shared" si="32"/>
        <v>400</v>
      </c>
      <c r="T149" s="280">
        <f>SUM(S149:S153)</f>
        <v>2400</v>
      </c>
    </row>
    <row r="150" spans="1:48" ht="15" customHeight="1" x14ac:dyDescent="0.25">
      <c r="A150" s="164" t="s">
        <v>265</v>
      </c>
      <c r="B150" s="184">
        <f>$J$2-(S159)</f>
        <v>-11164.333333333343</v>
      </c>
      <c r="C150" s="275"/>
      <c r="D150" s="97" t="s">
        <v>152</v>
      </c>
      <c r="E150" s="97" t="s">
        <v>145</v>
      </c>
      <c r="F150" s="85"/>
      <c r="G150" s="46"/>
      <c r="H150" s="85"/>
      <c r="I150" s="46"/>
      <c r="J150" s="46"/>
      <c r="K150" s="46"/>
      <c r="L150" s="46"/>
      <c r="M150" s="152"/>
      <c r="N150" s="46"/>
      <c r="O150" s="86"/>
      <c r="P150" s="46"/>
      <c r="Q150" s="46"/>
      <c r="R150" s="46"/>
      <c r="S150" s="83">
        <f t="shared" si="32"/>
        <v>0</v>
      </c>
      <c r="T150" s="281"/>
    </row>
    <row r="151" spans="1:48" ht="15" customHeight="1" x14ac:dyDescent="0.25">
      <c r="C151" s="275"/>
      <c r="D151" s="97" t="s">
        <v>152</v>
      </c>
      <c r="E151" s="97" t="s">
        <v>146</v>
      </c>
      <c r="F151" s="86">
        <f>180+200+300+300+270</f>
        <v>1250</v>
      </c>
      <c r="G151" s="46"/>
      <c r="H151" s="87"/>
      <c r="I151" s="46"/>
      <c r="J151" s="46"/>
      <c r="K151" s="46"/>
      <c r="L151" s="46"/>
      <c r="M151" s="152"/>
      <c r="N151" s="46"/>
      <c r="O151" s="86"/>
      <c r="P151" s="46"/>
      <c r="Q151" s="46"/>
      <c r="R151" s="46"/>
      <c r="S151" s="83">
        <f t="shared" si="32"/>
        <v>1250</v>
      </c>
      <c r="T151" s="281"/>
    </row>
    <row r="152" spans="1:48" ht="15" customHeight="1" x14ac:dyDescent="0.25">
      <c r="C152" s="275"/>
      <c r="D152" s="97" t="s">
        <v>152</v>
      </c>
      <c r="E152" s="97" t="s">
        <v>147</v>
      </c>
      <c r="F152" s="85">
        <f>180+300+270</f>
        <v>750</v>
      </c>
      <c r="G152" s="46"/>
      <c r="H152" s="87"/>
      <c r="I152" s="46"/>
      <c r="J152" s="46"/>
      <c r="K152" s="46"/>
      <c r="L152" s="46"/>
      <c r="M152" s="152"/>
      <c r="N152" s="46"/>
      <c r="O152" s="86"/>
      <c r="P152" s="46"/>
      <c r="Q152" s="86"/>
      <c r="R152" s="46"/>
      <c r="S152" s="83">
        <f t="shared" si="32"/>
        <v>750</v>
      </c>
      <c r="T152" s="281"/>
    </row>
    <row r="153" spans="1:48" ht="15" customHeight="1" x14ac:dyDescent="0.25">
      <c r="C153" s="275"/>
      <c r="D153" s="97" t="s">
        <v>152</v>
      </c>
      <c r="E153" s="97" t="s">
        <v>168</v>
      </c>
      <c r="F153" s="85"/>
      <c r="G153" s="46"/>
      <c r="H153" s="46"/>
      <c r="I153" s="46"/>
      <c r="J153" s="46"/>
      <c r="K153" s="46"/>
      <c r="L153" s="46"/>
      <c r="M153" s="152"/>
      <c r="N153" s="46"/>
      <c r="O153" s="86"/>
      <c r="P153" s="46"/>
      <c r="Q153" s="46"/>
      <c r="R153" s="46"/>
      <c r="S153" s="83">
        <f t="shared" si="32"/>
        <v>0</v>
      </c>
      <c r="T153" s="281"/>
    </row>
    <row r="154" spans="1:48" ht="15" customHeight="1" x14ac:dyDescent="0.25">
      <c r="C154" s="275"/>
      <c r="D154" s="98" t="s">
        <v>153</v>
      </c>
      <c r="E154" s="98" t="s">
        <v>170</v>
      </c>
      <c r="F154" s="81">
        <f>2500*4</f>
        <v>10000</v>
      </c>
      <c r="G154" s="81"/>
      <c r="H154" s="81"/>
      <c r="I154" s="81">
        <f>193+25+1637+250</f>
        <v>2105</v>
      </c>
      <c r="J154" s="81"/>
      <c r="K154" s="81"/>
      <c r="L154" s="81"/>
      <c r="M154" s="81">
        <f>140+800+1250+270</f>
        <v>2460</v>
      </c>
      <c r="N154" s="81"/>
      <c r="O154" s="81">
        <v>909</v>
      </c>
      <c r="P154" s="81"/>
      <c r="Q154" s="81"/>
      <c r="R154" s="81"/>
      <c r="S154" s="81">
        <f t="shared" si="32"/>
        <v>15474</v>
      </c>
      <c r="T154" s="282">
        <f>SUM(S154:S158)</f>
        <v>29069</v>
      </c>
    </row>
    <row r="155" spans="1:48" ht="15" customHeight="1" x14ac:dyDescent="0.25">
      <c r="C155" s="275"/>
      <c r="D155" s="99" t="s">
        <v>153</v>
      </c>
      <c r="E155" s="99" t="s">
        <v>171</v>
      </c>
      <c r="F155" s="82"/>
      <c r="G155" s="82"/>
      <c r="H155" s="82"/>
      <c r="I155" s="82"/>
      <c r="J155" s="82"/>
      <c r="K155" s="82"/>
      <c r="L155" s="82"/>
      <c r="M155" s="140">
        <v>1340</v>
      </c>
      <c r="N155" s="82"/>
      <c r="O155" s="82"/>
      <c r="P155" s="82"/>
      <c r="Q155" s="82"/>
      <c r="R155" s="82"/>
      <c r="S155" s="82">
        <f t="shared" si="32"/>
        <v>1340</v>
      </c>
      <c r="T155" s="283"/>
    </row>
    <row r="156" spans="1:48" ht="15" customHeight="1" x14ac:dyDescent="0.25">
      <c r="C156" s="275"/>
      <c r="D156" s="99" t="s">
        <v>153</v>
      </c>
      <c r="E156" s="99" t="s">
        <v>172</v>
      </c>
      <c r="F156" s="82"/>
      <c r="G156" s="82"/>
      <c r="H156" s="82"/>
      <c r="I156" s="82"/>
      <c r="J156" s="82"/>
      <c r="K156" s="82"/>
      <c r="L156" s="82"/>
      <c r="M156" s="140"/>
      <c r="N156" s="82"/>
      <c r="O156" s="82"/>
      <c r="P156" s="82"/>
      <c r="Q156" s="82"/>
      <c r="R156" s="82"/>
      <c r="S156" s="82">
        <f t="shared" si="32"/>
        <v>0</v>
      </c>
      <c r="T156" s="283"/>
    </row>
    <row r="157" spans="1:48" s="41" customFormat="1" ht="15" customHeight="1" x14ac:dyDescent="0.25">
      <c r="A157" s="45"/>
      <c r="B157" s="52"/>
      <c r="C157" s="276"/>
      <c r="D157" s="99" t="s">
        <v>153</v>
      </c>
      <c r="E157" s="99" t="s">
        <v>173</v>
      </c>
      <c r="F157" s="82"/>
      <c r="G157" s="82"/>
      <c r="H157" s="82">
        <v>739</v>
      </c>
      <c r="I157" s="82"/>
      <c r="J157" s="82"/>
      <c r="K157" s="82"/>
      <c r="L157" s="82"/>
      <c r="M157" s="140"/>
      <c r="N157" s="82"/>
      <c r="O157" s="82">
        <v>10916</v>
      </c>
      <c r="P157" s="82"/>
      <c r="Q157" s="82"/>
      <c r="R157" s="82"/>
      <c r="S157" s="82">
        <f t="shared" si="32"/>
        <v>11655</v>
      </c>
      <c r="T157" s="283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</row>
    <row r="158" spans="1:48" ht="15.75" customHeight="1" thickBot="1" x14ac:dyDescent="0.3">
      <c r="A158" s="41"/>
      <c r="B158" s="163"/>
      <c r="C158" s="276"/>
      <c r="D158" s="100" t="s">
        <v>153</v>
      </c>
      <c r="E158" s="100" t="s">
        <v>168</v>
      </c>
      <c r="F158" s="48">
        <v>600</v>
      </c>
      <c r="G158" s="48"/>
      <c r="H158" s="48"/>
      <c r="I158" s="48"/>
      <c r="J158" s="48"/>
      <c r="K158" s="48"/>
      <c r="L158" s="48"/>
      <c r="M158" s="141"/>
      <c r="N158" s="48"/>
      <c r="O158" s="48"/>
      <c r="P158" s="48"/>
      <c r="Q158" s="48"/>
      <c r="R158" s="48"/>
      <c r="S158" s="48">
        <f t="shared" si="32"/>
        <v>600</v>
      </c>
      <c r="T158" s="283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</row>
    <row r="159" spans="1:48" ht="15" customHeight="1" x14ac:dyDescent="0.25">
      <c r="D159" s="101" t="s">
        <v>120</v>
      </c>
      <c r="E159" s="101" t="s">
        <v>120</v>
      </c>
      <c r="F159" s="64">
        <f>SUM(F142:F158)</f>
        <v>127654</v>
      </c>
      <c r="G159" s="64">
        <f>SUM(G142:G158)</f>
        <v>314</v>
      </c>
      <c r="H159" s="64">
        <f>SUM(H142:H158)</f>
        <v>3365</v>
      </c>
      <c r="I159" s="64">
        <f t="shared" ref="I159:P159" si="33">SUM(I142:I158)</f>
        <v>7335</v>
      </c>
      <c r="J159" s="64">
        <f t="shared" si="33"/>
        <v>0</v>
      </c>
      <c r="K159" s="64">
        <f t="shared" si="33"/>
        <v>0</v>
      </c>
      <c r="L159" s="64">
        <f t="shared" si="33"/>
        <v>744</v>
      </c>
      <c r="M159" s="150">
        <f t="shared" si="33"/>
        <v>10158</v>
      </c>
      <c r="N159" s="64">
        <f t="shared" si="33"/>
        <v>1118</v>
      </c>
      <c r="O159" s="64">
        <f t="shared" si="33"/>
        <v>18169</v>
      </c>
      <c r="P159" s="64">
        <f t="shared" si="33"/>
        <v>861</v>
      </c>
      <c r="Q159" s="64">
        <f>SUM(Q142:Q158)</f>
        <v>8113</v>
      </c>
      <c r="R159" s="64">
        <f>SUM(R142:R158)</f>
        <v>0</v>
      </c>
      <c r="S159" s="54">
        <f>SUM(S142:S158)</f>
        <v>177831</v>
      </c>
    </row>
    <row r="160" spans="1:48" ht="15.75" customHeight="1" thickBot="1" x14ac:dyDescent="0.3">
      <c r="M160" s="151"/>
    </row>
    <row r="161" spans="1:48" ht="17.25" x14ac:dyDescent="0.25">
      <c r="A161" s="166" t="s">
        <v>188</v>
      </c>
      <c r="B161" s="167">
        <f>B142+1</f>
        <v>202509</v>
      </c>
      <c r="C161" s="275">
        <f>B161</f>
        <v>202509</v>
      </c>
      <c r="D161" s="94" t="s">
        <v>151</v>
      </c>
      <c r="E161" s="177" t="s">
        <v>252</v>
      </c>
      <c r="F161" s="60">
        <f>100+255+891+300+900+250+90+335+90+180+95+240+1017+20+40+200+100</f>
        <v>5103</v>
      </c>
      <c r="G161" s="59">
        <f>1201+277</f>
        <v>1478</v>
      </c>
      <c r="H161" s="59">
        <f>165+225+198+70</f>
        <v>658</v>
      </c>
      <c r="I161" s="60">
        <f>30+326+62+250+210+70+570+100+55+280</f>
        <v>1953</v>
      </c>
      <c r="J161" s="59"/>
      <c r="K161" s="60"/>
      <c r="L161" s="60"/>
      <c r="M161" s="148">
        <f>330+520+307+240+500+50+99</f>
        <v>2046</v>
      </c>
      <c r="N161" s="60">
        <f>74+143+82+69+0+2450</f>
        <v>2818</v>
      </c>
      <c r="O161" s="60">
        <f>45+35+250</f>
        <v>330</v>
      </c>
      <c r="P161" s="60">
        <f>500+64+0+43+120+473+398+138+70+260</f>
        <v>2066</v>
      </c>
      <c r="Q161" s="60">
        <f>2000+2000+2000+2000</f>
        <v>8000</v>
      </c>
      <c r="R161" s="60"/>
      <c r="S161" s="44">
        <f t="shared" ref="S161:S177" si="34">SUM(F161:R161)</f>
        <v>24452</v>
      </c>
      <c r="T161" s="277">
        <f>SUM(S161:S167)</f>
        <v>98000</v>
      </c>
    </row>
    <row r="162" spans="1:48" ht="15" customHeight="1" thickBot="1" x14ac:dyDescent="0.3">
      <c r="A162" s="164" t="s">
        <v>247</v>
      </c>
      <c r="B162" s="162">
        <f>$J$2</f>
        <v>166666.66666666666</v>
      </c>
      <c r="C162" s="275"/>
      <c r="D162" s="95" t="s">
        <v>151</v>
      </c>
      <c r="E162" s="176" t="s">
        <v>251</v>
      </c>
      <c r="F162" s="79">
        <v>1150</v>
      </c>
      <c r="G162" s="78"/>
      <c r="H162" s="78"/>
      <c r="I162" s="79"/>
      <c r="J162" s="78"/>
      <c r="K162" s="79"/>
      <c r="L162" s="79"/>
      <c r="M162" s="149"/>
      <c r="N162" s="79"/>
      <c r="O162" s="79">
        <v>1330</v>
      </c>
      <c r="P162" s="79"/>
      <c r="Q162" s="79"/>
      <c r="R162" s="79"/>
      <c r="S162" s="80">
        <f t="shared" si="34"/>
        <v>2480</v>
      </c>
      <c r="T162" s="278"/>
    </row>
    <row r="163" spans="1:48" ht="15" customHeight="1" thickTop="1" x14ac:dyDescent="0.25">
      <c r="A163" s="165" t="s">
        <v>237</v>
      </c>
      <c r="B163" s="182">
        <f>SUMPRODUCT((($V$10:$V$21)&lt;=VALUE(B161))*($Z$10:$Z$21))</f>
        <v>1494351.1333333333</v>
      </c>
      <c r="C163" s="275"/>
      <c r="D163" s="95" t="s">
        <v>151</v>
      </c>
      <c r="E163" s="176" t="s">
        <v>254</v>
      </c>
      <c r="F163" s="79">
        <v>3326</v>
      </c>
      <c r="G163" s="78">
        <v>388</v>
      </c>
      <c r="H163" s="78">
        <f>885+688</f>
        <v>1573</v>
      </c>
      <c r="I163" s="79">
        <v>8900</v>
      </c>
      <c r="J163" s="78"/>
      <c r="K163" s="79"/>
      <c r="L163" s="79"/>
      <c r="M163" s="149">
        <v>71</v>
      </c>
      <c r="N163" s="79"/>
      <c r="O163" s="79"/>
      <c r="P163" s="79"/>
      <c r="Q163" s="79">
        <f>9374-7000+1376+2531+348</f>
        <v>6629</v>
      </c>
      <c r="R163" s="79"/>
      <c r="S163" s="80">
        <f t="shared" si="34"/>
        <v>20887</v>
      </c>
      <c r="T163" s="278"/>
    </row>
    <row r="164" spans="1:48" ht="15" customHeight="1" x14ac:dyDescent="0.25">
      <c r="A164" s="165" t="s">
        <v>264</v>
      </c>
      <c r="B164" s="181">
        <f>B163/SUMPRODUCT(('2025'!$V$10:$V$21&lt;='2025'!B161)*'2024'!$Z$10:$Z$21)-1</f>
        <v>-0.22985306826370189</v>
      </c>
      <c r="C164" s="275"/>
      <c r="D164" s="95" t="s">
        <v>151</v>
      </c>
      <c r="E164" s="176" t="s">
        <v>255</v>
      </c>
      <c r="F164" s="79">
        <f>100+100+100+90+60+100+450</f>
        <v>1000</v>
      </c>
      <c r="G164" s="78"/>
      <c r="H164" s="78">
        <v>100</v>
      </c>
      <c r="I164" s="79">
        <f>60+224</f>
        <v>284</v>
      </c>
      <c r="J164" s="78"/>
      <c r="K164" s="79"/>
      <c r="L164" s="79"/>
      <c r="M164" s="149">
        <f>40+150+38+90+1369+114+525+1348</f>
        <v>3674</v>
      </c>
      <c r="N164" s="79"/>
      <c r="O164" s="79"/>
      <c r="P164" s="79"/>
      <c r="Q164" s="79">
        <f>2000+981</f>
        <v>2981</v>
      </c>
      <c r="R164" s="79"/>
      <c r="S164" s="80">
        <f t="shared" si="34"/>
        <v>8039</v>
      </c>
      <c r="T164" s="278"/>
    </row>
    <row r="165" spans="1:48" ht="15" customHeight="1" x14ac:dyDescent="0.25">
      <c r="A165" s="165" t="s">
        <v>236</v>
      </c>
      <c r="B165" s="186">
        <f>B163-$K$2*VALUE(RIGHT(B161,2))/9</f>
        <v>1494351.1333333333</v>
      </c>
      <c r="C165" s="275"/>
      <c r="D165" s="96" t="s">
        <v>151</v>
      </c>
      <c r="E165" s="176" t="s">
        <v>256</v>
      </c>
      <c r="F165" s="79">
        <f>6000+4200</f>
        <v>10200</v>
      </c>
      <c r="G165" s="78"/>
      <c r="H165" s="78">
        <f>5593+3150+1665+1996+5284+1760</f>
        <v>19448</v>
      </c>
      <c r="I165" s="78"/>
      <c r="J165" s="78"/>
      <c r="K165" s="79"/>
      <c r="L165" s="79"/>
      <c r="M165" s="149"/>
      <c r="N165" s="79"/>
      <c r="O165" s="79"/>
      <c r="P165" s="79"/>
      <c r="Q165" s="79"/>
      <c r="R165" s="79"/>
      <c r="S165" s="80">
        <f t="shared" si="34"/>
        <v>29648</v>
      </c>
      <c r="T165" s="278"/>
    </row>
    <row r="166" spans="1:48" ht="15" customHeight="1" x14ac:dyDescent="0.25">
      <c r="A166" s="164" t="s">
        <v>242</v>
      </c>
      <c r="B166" s="157">
        <f>B165/($J$2*12)</f>
        <v>0.74717556666666662</v>
      </c>
      <c r="C166" s="275"/>
      <c r="D166" s="95" t="s">
        <v>151</v>
      </c>
      <c r="E166" s="176" t="s">
        <v>257</v>
      </c>
      <c r="F166" s="79">
        <v>9000</v>
      </c>
      <c r="G166" s="78"/>
      <c r="H166" s="78"/>
      <c r="I166" s="79"/>
      <c r="J166" s="78"/>
      <c r="K166" s="79"/>
      <c r="L166" s="79"/>
      <c r="M166" s="149"/>
      <c r="N166" s="79"/>
      <c r="O166" s="79"/>
      <c r="P166" s="79"/>
      <c r="Q166" s="79"/>
      <c r="R166" s="79"/>
      <c r="S166" s="80">
        <f t="shared" si="34"/>
        <v>9000</v>
      </c>
      <c r="T166" s="278"/>
    </row>
    <row r="167" spans="1:48" ht="15" customHeight="1" x14ac:dyDescent="0.25">
      <c r="A167" s="164" t="s">
        <v>282</v>
      </c>
      <c r="B167" s="126">
        <f>VALUE(RIGHT(B161,2))/12</f>
        <v>0.75</v>
      </c>
      <c r="C167" s="275"/>
      <c r="D167" s="95" t="s">
        <v>151</v>
      </c>
      <c r="E167" s="176" t="s">
        <v>263</v>
      </c>
      <c r="F167" s="78"/>
      <c r="G167" s="78"/>
      <c r="H167" s="78"/>
      <c r="I167" s="79">
        <v>324</v>
      </c>
      <c r="J167" s="78"/>
      <c r="K167" s="79"/>
      <c r="L167" s="79"/>
      <c r="M167" s="149">
        <v>780</v>
      </c>
      <c r="N167" s="79"/>
      <c r="O167" s="79"/>
      <c r="P167" s="79"/>
      <c r="Q167" s="243">
        <f>390+2000</f>
        <v>2390</v>
      </c>
      <c r="R167" s="79"/>
      <c r="S167" s="80">
        <f t="shared" si="34"/>
        <v>3494</v>
      </c>
      <c r="T167" s="279"/>
    </row>
    <row r="168" spans="1:48" ht="15" customHeight="1" x14ac:dyDescent="0.25">
      <c r="A168" s="164" t="s">
        <v>243</v>
      </c>
      <c r="B168" s="161">
        <f>B162*VALUE(RIGHT(B161,2))-B165</f>
        <v>5648.8666666666977</v>
      </c>
      <c r="C168" s="275"/>
      <c r="D168" s="97" t="s">
        <v>152</v>
      </c>
      <c r="E168" s="97" t="s">
        <v>144</v>
      </c>
      <c r="F168" s="85"/>
      <c r="G168" s="46"/>
      <c r="H168" s="85"/>
      <c r="I168" s="46"/>
      <c r="J168" s="46"/>
      <c r="K168" s="46"/>
      <c r="L168" s="46"/>
      <c r="M168" s="152"/>
      <c r="N168" s="46"/>
      <c r="O168" s="89"/>
      <c r="P168" s="46"/>
      <c r="Q168" s="46"/>
      <c r="R168" s="46"/>
      <c r="S168" s="83">
        <f t="shared" si="34"/>
        <v>0</v>
      </c>
      <c r="T168" s="280">
        <f>SUM(S168:S172)</f>
        <v>1666</v>
      </c>
    </row>
    <row r="169" spans="1:48" ht="15" customHeight="1" x14ac:dyDescent="0.25">
      <c r="A169" s="164" t="s">
        <v>265</v>
      </c>
      <c r="B169" s="184">
        <f>$J$2-(S178)</f>
        <v>67000.666666666657</v>
      </c>
      <c r="C169" s="275"/>
      <c r="D169" s="97" t="s">
        <v>152</v>
      </c>
      <c r="E169" s="97" t="s">
        <v>145</v>
      </c>
      <c r="F169" s="85"/>
      <c r="G169" s="46"/>
      <c r="H169" s="85"/>
      <c r="I169" s="46"/>
      <c r="J169" s="46"/>
      <c r="K169" s="46"/>
      <c r="L169" s="46"/>
      <c r="M169" s="152"/>
      <c r="N169" s="46"/>
      <c r="O169" s="46"/>
      <c r="P169" s="46"/>
      <c r="Q169" s="46"/>
      <c r="R169" s="46"/>
      <c r="S169" s="83">
        <f t="shared" si="34"/>
        <v>0</v>
      </c>
      <c r="T169" s="281"/>
    </row>
    <row r="170" spans="1:48" ht="15" customHeight="1" x14ac:dyDescent="0.25">
      <c r="C170" s="275"/>
      <c r="D170" s="97" t="s">
        <v>152</v>
      </c>
      <c r="E170" s="97" t="s">
        <v>146</v>
      </c>
      <c r="F170" s="85">
        <f>225+472</f>
        <v>697</v>
      </c>
      <c r="G170" s="46"/>
      <c r="H170" s="87"/>
      <c r="I170" s="46"/>
      <c r="J170" s="46"/>
      <c r="K170" s="46"/>
      <c r="L170" s="46"/>
      <c r="M170" s="152"/>
      <c r="N170" s="46"/>
      <c r="O170" s="46"/>
      <c r="P170" s="46"/>
      <c r="Q170" s="46"/>
      <c r="R170" s="46"/>
      <c r="S170" s="83">
        <f t="shared" si="34"/>
        <v>697</v>
      </c>
      <c r="T170" s="281"/>
    </row>
    <row r="171" spans="1:48" ht="15" customHeight="1" x14ac:dyDescent="0.25">
      <c r="C171" s="275"/>
      <c r="D171" s="97" t="s">
        <v>152</v>
      </c>
      <c r="E171" s="97" t="s">
        <v>147</v>
      </c>
      <c r="F171" s="85">
        <f>225+389</f>
        <v>614</v>
      </c>
      <c r="G171" s="46"/>
      <c r="H171" s="87"/>
      <c r="I171" s="46"/>
      <c r="J171" s="46"/>
      <c r="K171" s="46"/>
      <c r="L171" s="46"/>
      <c r="M171" s="152"/>
      <c r="N171" s="46"/>
      <c r="O171" s="46"/>
      <c r="P171" s="46"/>
      <c r="Q171" s="46"/>
      <c r="R171" s="46"/>
      <c r="S171" s="83">
        <f t="shared" si="34"/>
        <v>614</v>
      </c>
      <c r="T171" s="281"/>
    </row>
    <row r="172" spans="1:48" ht="15" customHeight="1" x14ac:dyDescent="0.25">
      <c r="C172" s="275"/>
      <c r="D172" s="97" t="s">
        <v>152</v>
      </c>
      <c r="E172" s="97" t="s">
        <v>168</v>
      </c>
      <c r="F172" s="85"/>
      <c r="G172" s="46"/>
      <c r="H172" s="46"/>
      <c r="I172" s="46"/>
      <c r="J172" s="46"/>
      <c r="K172" s="46"/>
      <c r="L172" s="46"/>
      <c r="M172" s="152"/>
      <c r="N172" s="89">
        <v>355</v>
      </c>
      <c r="O172" s="86"/>
      <c r="P172" s="46"/>
      <c r="Q172" s="46"/>
      <c r="R172" s="46"/>
      <c r="S172" s="83">
        <f t="shared" si="34"/>
        <v>355</v>
      </c>
      <c r="T172" s="281"/>
    </row>
    <row r="173" spans="1:48" ht="15" customHeight="1" x14ac:dyDescent="0.25">
      <c r="C173" s="275"/>
      <c r="D173" s="98" t="s">
        <v>153</v>
      </c>
      <c r="E173" s="98" t="s">
        <v>170</v>
      </c>
      <c r="F173" s="81"/>
      <c r="G173" s="81"/>
      <c r="H173" s="81"/>
      <c r="I173" s="81"/>
      <c r="J173" s="81"/>
      <c r="K173" s="81"/>
      <c r="L173" s="81"/>
      <c r="M173" s="91"/>
      <c r="N173" s="81"/>
      <c r="O173" s="81"/>
      <c r="P173" s="81"/>
      <c r="Q173" s="81"/>
      <c r="R173" s="81"/>
      <c r="S173" s="81">
        <f t="shared" si="34"/>
        <v>0</v>
      </c>
      <c r="T173" s="282">
        <f>SUM(S173:S177)</f>
        <v>0</v>
      </c>
    </row>
    <row r="174" spans="1:48" ht="15" customHeight="1" x14ac:dyDescent="0.25">
      <c r="B174" s="52"/>
      <c r="C174" s="275"/>
      <c r="D174" s="99" t="s">
        <v>153</v>
      </c>
      <c r="E174" s="99" t="s">
        <v>171</v>
      </c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>
        <f t="shared" si="34"/>
        <v>0</v>
      </c>
      <c r="T174" s="283"/>
    </row>
    <row r="175" spans="1:48" ht="15" customHeight="1" x14ac:dyDescent="0.25">
      <c r="B175" s="52"/>
      <c r="C175" s="275"/>
      <c r="D175" s="99" t="s">
        <v>153</v>
      </c>
      <c r="E175" s="99" t="s">
        <v>172</v>
      </c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>
        <f t="shared" si="34"/>
        <v>0</v>
      </c>
      <c r="T175" s="283"/>
    </row>
    <row r="176" spans="1:48" s="41" customFormat="1" ht="15" customHeight="1" x14ac:dyDescent="0.25">
      <c r="A176" s="45"/>
      <c r="B176" s="45"/>
      <c r="C176" s="276"/>
      <c r="D176" s="99" t="s">
        <v>153</v>
      </c>
      <c r="E176" s="99" t="s">
        <v>173</v>
      </c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>
        <f t="shared" si="34"/>
        <v>0</v>
      </c>
      <c r="T176" s="283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</row>
    <row r="177" spans="1:48" ht="15.75" customHeight="1" thickBot="1" x14ac:dyDescent="0.3">
      <c r="A177" s="41"/>
      <c r="B177" s="41"/>
      <c r="C177" s="276"/>
      <c r="D177" s="100" t="s">
        <v>153</v>
      </c>
      <c r="E177" s="100" t="s">
        <v>168</v>
      </c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>
        <f t="shared" si="34"/>
        <v>0</v>
      </c>
      <c r="T177" s="283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</row>
    <row r="178" spans="1:48" ht="15" customHeight="1" x14ac:dyDescent="0.25">
      <c r="D178" s="101" t="s">
        <v>120</v>
      </c>
      <c r="E178" s="101" t="s">
        <v>120</v>
      </c>
      <c r="F178" s="64">
        <f>SUM(F161:F177)</f>
        <v>31090</v>
      </c>
      <c r="G178" s="64">
        <f>SUM(G161:G177)</f>
        <v>1866</v>
      </c>
      <c r="H178" s="64">
        <f>SUM(H161:H177)</f>
        <v>21779</v>
      </c>
      <c r="I178" s="64">
        <f t="shared" ref="I178:P178" si="35">SUM(I161:I177)</f>
        <v>11461</v>
      </c>
      <c r="J178" s="64">
        <f t="shared" si="35"/>
        <v>0</v>
      </c>
      <c r="K178" s="64">
        <f t="shared" si="35"/>
        <v>0</v>
      </c>
      <c r="L178" s="64">
        <f t="shared" si="35"/>
        <v>0</v>
      </c>
      <c r="M178" s="64">
        <f t="shared" si="35"/>
        <v>6571</v>
      </c>
      <c r="N178" s="64">
        <f t="shared" si="35"/>
        <v>3173</v>
      </c>
      <c r="O178" s="64">
        <f t="shared" si="35"/>
        <v>1660</v>
      </c>
      <c r="P178" s="64">
        <f t="shared" si="35"/>
        <v>2066</v>
      </c>
      <c r="Q178" s="64">
        <f>SUM(Q161:Q177)</f>
        <v>20000</v>
      </c>
      <c r="R178" s="64">
        <f>SUM(R161:R177)</f>
        <v>0</v>
      </c>
      <c r="S178" s="54">
        <f>SUM(S161:S177)</f>
        <v>99666</v>
      </c>
    </row>
    <row r="179" spans="1:48" ht="15.75" customHeight="1" thickBot="1" x14ac:dyDescent="0.3"/>
    <row r="180" spans="1:48" ht="17.25" x14ac:dyDescent="0.25">
      <c r="A180" s="166" t="s">
        <v>188</v>
      </c>
      <c r="B180" s="167">
        <f>B161+1</f>
        <v>202510</v>
      </c>
      <c r="C180" s="275">
        <f>B180</f>
        <v>202510</v>
      </c>
      <c r="D180" s="94" t="s">
        <v>151</v>
      </c>
      <c r="E180" s="177" t="s">
        <v>252</v>
      </c>
      <c r="F180" s="60">
        <f>295+680+350+400+250+250+120+54+200+120+220+330</f>
        <v>3269</v>
      </c>
      <c r="G180" s="59">
        <f>1029+203+596</f>
        <v>1828</v>
      </c>
      <c r="H180" s="59">
        <v>500</v>
      </c>
      <c r="I180" s="60">
        <f>165+368+119+81+1452+146</f>
        <v>2331</v>
      </c>
      <c r="J180" s="59"/>
      <c r="K180" s="60"/>
      <c r="L180" s="60">
        <v>70</v>
      </c>
      <c r="M180" s="60">
        <f>99+50+500+128+199+368+729+250+74+140+470+110+170+315+60+245+1+66+2</f>
        <v>3976</v>
      </c>
      <c r="N180" s="60"/>
      <c r="O180" s="60">
        <f>1537+75+240</f>
        <v>1852</v>
      </c>
      <c r="P180" s="60">
        <f>45+25</f>
        <v>70</v>
      </c>
      <c r="Q180" s="60">
        <f>2000+2000+2000+2000+1000</f>
        <v>9000</v>
      </c>
      <c r="R180" s="60"/>
      <c r="S180" s="44">
        <f t="shared" ref="S180:S196" si="36">SUM(F180:R180)</f>
        <v>22896</v>
      </c>
      <c r="T180" s="277">
        <f>SUM(S180:S186)</f>
        <v>78884</v>
      </c>
    </row>
    <row r="181" spans="1:48" ht="15" customHeight="1" thickBot="1" x14ac:dyDescent="0.3">
      <c r="A181" s="164" t="s">
        <v>247</v>
      </c>
      <c r="B181" s="162">
        <f>$J$2</f>
        <v>166666.66666666666</v>
      </c>
      <c r="C181" s="275"/>
      <c r="D181" s="95" t="s">
        <v>151</v>
      </c>
      <c r="E181" s="176" t="s">
        <v>251</v>
      </c>
      <c r="F181" s="79"/>
      <c r="G181" s="78"/>
      <c r="H181" s="78"/>
      <c r="I181" s="79"/>
      <c r="J181" s="78"/>
      <c r="K181" s="79"/>
      <c r="L181" s="79"/>
      <c r="M181" s="79"/>
      <c r="N181" s="79"/>
      <c r="O181" s="79">
        <v>1670</v>
      </c>
      <c r="P181" s="79"/>
      <c r="Q181" s="79"/>
      <c r="R181" s="79"/>
      <c r="S181" s="80">
        <f t="shared" si="36"/>
        <v>1670</v>
      </c>
      <c r="T181" s="278"/>
    </row>
    <row r="182" spans="1:48" ht="15" customHeight="1" thickTop="1" x14ac:dyDescent="0.25">
      <c r="A182" s="165" t="s">
        <v>237</v>
      </c>
      <c r="B182" s="182">
        <f>SUMPRODUCT((($V$10:$V$21)&lt;=VALUE(B180))*($Z$10:$Z$21))</f>
        <v>1749603.0963333333</v>
      </c>
      <c r="C182" s="275"/>
      <c r="D182" s="95" t="s">
        <v>151</v>
      </c>
      <c r="E182" s="176" t="s">
        <v>254</v>
      </c>
      <c r="F182" s="79">
        <f>3326+165</f>
        <v>3491</v>
      </c>
      <c r="G182" s="78">
        <v>149</v>
      </c>
      <c r="H182" s="78">
        <v>2174</v>
      </c>
      <c r="I182" s="79">
        <f>589+1974+228+8900+326</f>
        <v>12017</v>
      </c>
      <c r="J182" s="78"/>
      <c r="K182" s="79"/>
      <c r="L182" s="79"/>
      <c r="M182" s="79">
        <f>1115+1000+500+2717</f>
        <v>5332</v>
      </c>
      <c r="N182" s="79"/>
      <c r="O182" s="79">
        <v>2000</v>
      </c>
      <c r="P182" s="79"/>
      <c r="Q182" s="79">
        <f>9374-7000+1500</f>
        <v>3874</v>
      </c>
      <c r="R182" s="79"/>
      <c r="S182" s="80">
        <f t="shared" si="36"/>
        <v>29037</v>
      </c>
      <c r="T182" s="278"/>
    </row>
    <row r="183" spans="1:48" ht="15" customHeight="1" x14ac:dyDescent="0.25">
      <c r="A183" s="165" t="s">
        <v>264</v>
      </c>
      <c r="B183" s="181">
        <f>B182/SUMPRODUCT(('2025'!$V$10:$V$21&lt;='2025'!B180)*'2024'!$Z$10:$Z$21)-1</f>
        <v>-0.13649844900504116</v>
      </c>
      <c r="C183" s="275"/>
      <c r="D183" s="95" t="s">
        <v>151</v>
      </c>
      <c r="E183" s="176" t="s">
        <v>255</v>
      </c>
      <c r="F183" s="79">
        <f>220+140+100</f>
        <v>460</v>
      </c>
      <c r="G183" s="78"/>
      <c r="H183" s="78"/>
      <c r="I183" s="79"/>
      <c r="J183" s="78"/>
      <c r="K183" s="79"/>
      <c r="L183" s="79"/>
      <c r="M183" s="79">
        <f>719+60+29+383+1389</f>
        <v>2580</v>
      </c>
      <c r="N183" s="79"/>
      <c r="O183" s="79">
        <f>30+280+180+452+50+140</f>
        <v>1132</v>
      </c>
      <c r="P183" s="79"/>
      <c r="Q183" s="79">
        <v>597</v>
      </c>
      <c r="R183" s="79"/>
      <c r="S183" s="80">
        <f t="shared" si="36"/>
        <v>4769</v>
      </c>
      <c r="T183" s="278"/>
    </row>
    <row r="184" spans="1:48" ht="15" customHeight="1" x14ac:dyDescent="0.25">
      <c r="A184" s="165" t="s">
        <v>236</v>
      </c>
      <c r="B184" s="186">
        <f>B182-$K$2</f>
        <v>1749603.0963333333</v>
      </c>
      <c r="C184" s="275"/>
      <c r="D184" s="96" t="s">
        <v>151</v>
      </c>
      <c r="E184" s="176" t="s">
        <v>256</v>
      </c>
      <c r="F184" s="79">
        <f>6500+4200+812</f>
        <v>11512</v>
      </c>
      <c r="G184" s="78"/>
      <c r="H184" s="79"/>
      <c r="I184" s="78"/>
      <c r="J184" s="78"/>
      <c r="K184" s="79"/>
      <c r="L184" s="79"/>
      <c r="M184" s="79"/>
      <c r="N184" s="79"/>
      <c r="O184" s="79"/>
      <c r="P184" s="79"/>
      <c r="Q184" s="79"/>
      <c r="R184" s="79"/>
      <c r="S184" s="80">
        <f t="shared" si="36"/>
        <v>11512</v>
      </c>
      <c r="T184" s="278"/>
    </row>
    <row r="185" spans="1:48" ht="15" customHeight="1" x14ac:dyDescent="0.25">
      <c r="A185" s="164" t="s">
        <v>242</v>
      </c>
      <c r="B185" s="157">
        <f>B184/($J$2*12)</f>
        <v>0.87480154816666666</v>
      </c>
      <c r="C185" s="275"/>
      <c r="D185" s="95" t="s">
        <v>151</v>
      </c>
      <c r="E185" s="176" t="s">
        <v>257</v>
      </c>
      <c r="F185" s="79">
        <v>9000</v>
      </c>
      <c r="G185" s="78"/>
      <c r="H185" s="78"/>
      <c r="I185" s="79"/>
      <c r="J185" s="78"/>
      <c r="K185" s="79"/>
      <c r="L185" s="79"/>
      <c r="M185" s="79"/>
      <c r="N185" s="79"/>
      <c r="O185" s="79"/>
      <c r="P185" s="79"/>
      <c r="Q185" s="79"/>
      <c r="R185" s="79"/>
      <c r="S185" s="80">
        <f t="shared" si="36"/>
        <v>9000</v>
      </c>
      <c r="T185" s="278"/>
    </row>
    <row r="186" spans="1:48" ht="15" customHeight="1" x14ac:dyDescent="0.25">
      <c r="A186" s="164" t="s">
        <v>282</v>
      </c>
      <c r="B186" s="126">
        <f>VALUE(RIGHT(B180,2))/12</f>
        <v>0.83333333333333337</v>
      </c>
      <c r="C186" s="275"/>
      <c r="D186" s="95" t="s">
        <v>151</v>
      </c>
      <c r="E186" s="176" t="s">
        <v>263</v>
      </c>
      <c r="F186" s="78"/>
      <c r="G186" s="78"/>
      <c r="H186" s="78"/>
      <c r="I186" s="79"/>
      <c r="J186" s="78"/>
      <c r="K186" s="79"/>
      <c r="L186" s="79"/>
      <c r="M186" s="79"/>
      <c r="N186" s="79"/>
      <c r="O186" s="79"/>
      <c r="P186" s="79"/>
      <c r="Q186" s="79"/>
      <c r="R186" s="79"/>
      <c r="S186" s="80">
        <f t="shared" si="36"/>
        <v>0</v>
      </c>
      <c r="T186" s="279"/>
    </row>
    <row r="187" spans="1:48" ht="15" customHeight="1" x14ac:dyDescent="0.25">
      <c r="A187" s="164" t="s">
        <v>243</v>
      </c>
      <c r="B187" s="161">
        <f>B181*VALUE(RIGHT(B180,2))-B184</f>
        <v>-82936.42966666678</v>
      </c>
      <c r="C187" s="275"/>
      <c r="D187" s="97" t="s">
        <v>152</v>
      </c>
      <c r="E187" s="97" t="s">
        <v>144</v>
      </c>
      <c r="F187" s="85"/>
      <c r="G187" s="46"/>
      <c r="H187" s="85"/>
      <c r="I187" s="46"/>
      <c r="J187" s="46"/>
      <c r="K187" s="46"/>
      <c r="L187" s="46"/>
      <c r="M187" s="152"/>
      <c r="N187" s="46"/>
      <c r="O187" s="46"/>
      <c r="P187" s="46"/>
      <c r="Q187" s="46"/>
      <c r="R187" s="46"/>
      <c r="S187" s="83">
        <f t="shared" si="36"/>
        <v>0</v>
      </c>
      <c r="T187" s="280">
        <f>SUM(S187:S191)</f>
        <v>3443</v>
      </c>
    </row>
    <row r="188" spans="1:48" ht="15" customHeight="1" x14ac:dyDescent="0.25">
      <c r="A188" s="164" t="s">
        <v>265</v>
      </c>
      <c r="B188" s="184">
        <f>$J$2-(S197)</f>
        <v>-88585.296333333332</v>
      </c>
      <c r="C188" s="275"/>
      <c r="D188" s="97" t="s">
        <v>152</v>
      </c>
      <c r="E188" s="97" t="s">
        <v>145</v>
      </c>
      <c r="F188" s="85"/>
      <c r="G188" s="46"/>
      <c r="H188" s="85"/>
      <c r="I188" s="46"/>
      <c r="J188" s="46"/>
      <c r="K188" s="46"/>
      <c r="L188" s="46"/>
      <c r="M188" s="152"/>
      <c r="N188" s="46"/>
      <c r="O188" s="85"/>
      <c r="P188" s="46"/>
      <c r="Q188" s="46"/>
      <c r="R188" s="46"/>
      <c r="S188" s="83">
        <f t="shared" si="36"/>
        <v>0</v>
      </c>
      <c r="T188" s="281"/>
    </row>
    <row r="189" spans="1:48" ht="15" customHeight="1" x14ac:dyDescent="0.25">
      <c r="C189" s="275"/>
      <c r="D189" s="97" t="s">
        <v>152</v>
      </c>
      <c r="E189" s="97" t="s">
        <v>146</v>
      </c>
      <c r="F189" s="86"/>
      <c r="G189" s="46"/>
      <c r="H189" s="87"/>
      <c r="I189" s="46"/>
      <c r="J189" s="46"/>
      <c r="K189" s="46"/>
      <c r="L189" s="46"/>
      <c r="M189" s="152"/>
      <c r="N189" s="46"/>
      <c r="O189" s="87">
        <v>1480</v>
      </c>
      <c r="P189" s="46"/>
      <c r="Q189" s="46"/>
      <c r="R189" s="46"/>
      <c r="S189" s="83">
        <f t="shared" si="36"/>
        <v>1480</v>
      </c>
      <c r="T189" s="281"/>
    </row>
    <row r="190" spans="1:48" ht="15" customHeight="1" x14ac:dyDescent="0.25">
      <c r="C190" s="275"/>
      <c r="D190" s="97" t="s">
        <v>152</v>
      </c>
      <c r="E190" s="97" t="s">
        <v>147</v>
      </c>
      <c r="F190" s="86"/>
      <c r="G190" s="46"/>
      <c r="H190" s="87"/>
      <c r="I190" s="46"/>
      <c r="J190" s="46"/>
      <c r="K190" s="46"/>
      <c r="L190" s="46"/>
      <c r="M190" s="152"/>
      <c r="N190" s="46"/>
      <c r="O190" s="87">
        <f>1164+799</f>
        <v>1963</v>
      </c>
      <c r="P190" s="46"/>
      <c r="Q190" s="46"/>
      <c r="R190" s="46"/>
      <c r="S190" s="83">
        <f t="shared" si="36"/>
        <v>1963</v>
      </c>
      <c r="T190" s="281"/>
    </row>
    <row r="191" spans="1:48" ht="15" customHeight="1" x14ac:dyDescent="0.25">
      <c r="C191" s="275"/>
      <c r="D191" s="97" t="s">
        <v>152</v>
      </c>
      <c r="E191" s="97" t="s">
        <v>168</v>
      </c>
      <c r="F191" s="85"/>
      <c r="G191" s="46"/>
      <c r="H191" s="46"/>
      <c r="I191" s="89"/>
      <c r="J191" s="46"/>
      <c r="K191" s="46"/>
      <c r="L191" s="46"/>
      <c r="M191" s="152"/>
      <c r="N191" s="46"/>
      <c r="O191" s="86"/>
      <c r="P191" s="46"/>
      <c r="Q191" s="46"/>
      <c r="R191" s="46"/>
      <c r="S191" s="83">
        <f t="shared" si="36"/>
        <v>0</v>
      </c>
      <c r="T191" s="281"/>
    </row>
    <row r="192" spans="1:48" ht="15" customHeight="1" x14ac:dyDescent="0.25">
      <c r="C192" s="275"/>
      <c r="D192" s="98" t="s">
        <v>153</v>
      </c>
      <c r="E192" s="98" t="s">
        <v>170</v>
      </c>
      <c r="F192" s="81">
        <f>14311*0.208</f>
        <v>2976.6879999999996</v>
      </c>
      <c r="G192" s="81"/>
      <c r="H192" s="81"/>
      <c r="I192" s="81">
        <f>44338+42090+(1400+6876)*0.21+1152+3038+133+715+974+14+390+5+19143*0.205</f>
        <v>98511.275000000009</v>
      </c>
      <c r="J192" s="81"/>
      <c r="K192" s="81"/>
      <c r="L192" s="81"/>
      <c r="M192" s="81">
        <f>222+3+204+3+405+6+2855+43+197+3+312+5+561+8+730+32+11+345+1863+28+1863+28+2644+1041+502+8+1790+27+2928+44+856+13+238+4+489+7+287+1+67</f>
        <v>20673</v>
      </c>
      <c r="N192" s="81"/>
      <c r="O192" s="81">
        <f>1512+2199+2515+20600</f>
        <v>26826</v>
      </c>
      <c r="P192" s="81">
        <f>6470+97+671+10</f>
        <v>7248</v>
      </c>
      <c r="Q192" s="81"/>
      <c r="R192" s="81"/>
      <c r="S192" s="81">
        <f t="shared" si="36"/>
        <v>156234.96299999999</v>
      </c>
      <c r="T192" s="282">
        <f>SUM(S192:S196)</f>
        <v>172924.96299999999</v>
      </c>
    </row>
    <row r="193" spans="1:48" ht="15" customHeight="1" x14ac:dyDescent="0.25">
      <c r="C193" s="275"/>
      <c r="D193" s="99" t="s">
        <v>153</v>
      </c>
      <c r="E193" s="99" t="s">
        <v>171</v>
      </c>
      <c r="F193" s="82">
        <f>4200+1330</f>
        <v>5530</v>
      </c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>
        <f t="shared" si="36"/>
        <v>5530</v>
      </c>
      <c r="T193" s="283"/>
    </row>
    <row r="194" spans="1:48" ht="15" customHeight="1" x14ac:dyDescent="0.25">
      <c r="C194" s="275"/>
      <c r="D194" s="99" t="s">
        <v>153</v>
      </c>
      <c r="E194" s="99" t="s">
        <v>172</v>
      </c>
      <c r="F194" s="82"/>
      <c r="G194" s="82"/>
      <c r="H194" s="82"/>
      <c r="I194" s="82">
        <v>5242</v>
      </c>
      <c r="J194" s="82"/>
      <c r="K194" s="82"/>
      <c r="L194" s="82"/>
      <c r="M194" s="82"/>
      <c r="N194" s="82"/>
      <c r="O194" s="82"/>
      <c r="P194" s="82"/>
      <c r="Q194" s="82"/>
      <c r="R194" s="82"/>
      <c r="S194" s="82">
        <f t="shared" si="36"/>
        <v>5242</v>
      </c>
      <c r="T194" s="283"/>
    </row>
    <row r="195" spans="1:48" s="41" customFormat="1" ht="15" customHeight="1" x14ac:dyDescent="0.25">
      <c r="A195" s="45"/>
      <c r="B195" s="45"/>
      <c r="C195" s="276"/>
      <c r="D195" s="99" t="s">
        <v>153</v>
      </c>
      <c r="E195" s="99" t="s">
        <v>173</v>
      </c>
      <c r="F195" s="82"/>
      <c r="G195" s="82"/>
      <c r="H195" s="82"/>
      <c r="I195" s="82"/>
      <c r="J195" s="82"/>
      <c r="K195" s="82"/>
      <c r="L195" s="82"/>
      <c r="M195" s="82">
        <f>2959+2959</f>
        <v>5918</v>
      </c>
      <c r="N195" s="82"/>
      <c r="O195" s="82"/>
      <c r="P195" s="82"/>
      <c r="Q195" s="82"/>
      <c r="R195" s="82"/>
      <c r="S195" s="82">
        <f t="shared" si="36"/>
        <v>5918</v>
      </c>
      <c r="T195" s="283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</row>
    <row r="196" spans="1:48" ht="15.75" customHeight="1" thickBot="1" x14ac:dyDescent="0.3">
      <c r="A196" s="41"/>
      <c r="B196" s="41"/>
      <c r="C196" s="276"/>
      <c r="D196" s="100" t="s">
        <v>153</v>
      </c>
      <c r="E196" s="100" t="s">
        <v>168</v>
      </c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>
        <f t="shared" si="36"/>
        <v>0</v>
      </c>
      <c r="T196" s="283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</row>
    <row r="197" spans="1:48" ht="15" customHeight="1" x14ac:dyDescent="0.25">
      <c r="D197" s="101" t="s">
        <v>120</v>
      </c>
      <c r="E197" s="101" t="s">
        <v>120</v>
      </c>
      <c r="F197" s="64">
        <f>SUM(F180:F196)</f>
        <v>36238.687999999995</v>
      </c>
      <c r="G197" s="64">
        <f>SUM(G180:G196)</f>
        <v>1977</v>
      </c>
      <c r="H197" s="64">
        <f>SUM(H180:H196)</f>
        <v>2674</v>
      </c>
      <c r="I197" s="64">
        <f t="shared" ref="I197:P197" si="37">SUM(I180:I196)</f>
        <v>118101.27500000001</v>
      </c>
      <c r="J197" s="64">
        <f t="shared" si="37"/>
        <v>0</v>
      </c>
      <c r="K197" s="64">
        <f t="shared" si="37"/>
        <v>0</v>
      </c>
      <c r="L197" s="64">
        <f t="shared" si="37"/>
        <v>70</v>
      </c>
      <c r="M197" s="64">
        <f t="shared" si="37"/>
        <v>38479</v>
      </c>
      <c r="N197" s="64">
        <f t="shared" si="37"/>
        <v>0</v>
      </c>
      <c r="O197" s="64">
        <f t="shared" si="37"/>
        <v>36923</v>
      </c>
      <c r="P197" s="64">
        <f t="shared" si="37"/>
        <v>7318</v>
      </c>
      <c r="Q197" s="64">
        <f>SUM(Q180:Q196)</f>
        <v>13471</v>
      </c>
      <c r="R197" s="64">
        <f>SUM(R180:R196)</f>
        <v>0</v>
      </c>
      <c r="S197" s="54">
        <f>SUM(S180:S196)</f>
        <v>255251.96299999999</v>
      </c>
    </row>
    <row r="198" spans="1:48" ht="15.75" customHeight="1" thickBot="1" x14ac:dyDescent="0.3"/>
    <row r="199" spans="1:48" ht="17.25" x14ac:dyDescent="0.25">
      <c r="A199" s="166" t="s">
        <v>188</v>
      </c>
      <c r="B199" s="167">
        <f>B180+1</f>
        <v>202511</v>
      </c>
      <c r="C199" s="275">
        <f>B199</f>
        <v>202511</v>
      </c>
      <c r="D199" s="94" t="s">
        <v>151</v>
      </c>
      <c r="E199" s="177" t="s">
        <v>252</v>
      </c>
      <c r="F199" s="60">
        <f>2079+100+46+270+950+45+55+380+100+210+329+92+329+75+225+1000+304+1031</f>
        <v>7620</v>
      </c>
      <c r="G199" s="59"/>
      <c r="H199" s="59"/>
      <c r="I199" s="60">
        <f>175+85+150+259+130+146</f>
        <v>945</v>
      </c>
      <c r="J199" s="59"/>
      <c r="K199" s="60">
        <f>114+220+119+35+10</f>
        <v>498</v>
      </c>
      <c r="L199" s="60"/>
      <c r="M199" s="60">
        <f>222+22+80+180+500+270+100+75+120+106+226+299+404+428+113+198+240+118+219+1020+9+20+70</f>
        <v>5039</v>
      </c>
      <c r="N199" s="60"/>
      <c r="O199" s="60">
        <f>35+1050+45+104</f>
        <v>1234</v>
      </c>
      <c r="P199" s="60">
        <f>940+243+234+500+68+28+169+46</f>
        <v>2228</v>
      </c>
      <c r="Q199" s="60">
        <f>2000+2000+2000+2000</f>
        <v>8000</v>
      </c>
      <c r="R199" s="60"/>
      <c r="S199" s="44">
        <f t="shared" ref="S199:S215" si="38">SUM(F199:R199)</f>
        <v>25564</v>
      </c>
      <c r="T199" s="277">
        <f>SUM(S199:S205)</f>
        <v>80754</v>
      </c>
    </row>
    <row r="200" spans="1:48" ht="15" customHeight="1" thickBot="1" x14ac:dyDescent="0.3">
      <c r="A200" s="164" t="s">
        <v>247</v>
      </c>
      <c r="B200" s="162">
        <f>$J$2</f>
        <v>166666.66666666666</v>
      </c>
      <c r="C200" s="275"/>
      <c r="D200" s="95" t="s">
        <v>151</v>
      </c>
      <c r="E200" s="176" t="s">
        <v>251</v>
      </c>
      <c r="F200" s="79">
        <v>2500</v>
      </c>
      <c r="G200" s="78"/>
      <c r="H200" s="78"/>
      <c r="I200" s="79"/>
      <c r="J200" s="78"/>
      <c r="K200" s="79"/>
      <c r="L200" s="79"/>
      <c r="M200" s="79">
        <f>283</f>
        <v>283</v>
      </c>
      <c r="N200" s="79"/>
      <c r="O200" s="79"/>
      <c r="P200" s="79"/>
      <c r="Q200" s="79"/>
      <c r="R200" s="79"/>
      <c r="S200" s="80">
        <f t="shared" si="38"/>
        <v>2783</v>
      </c>
      <c r="T200" s="278"/>
    </row>
    <row r="201" spans="1:48" ht="15" customHeight="1" thickTop="1" x14ac:dyDescent="0.25">
      <c r="A201" s="165" t="s">
        <v>237</v>
      </c>
      <c r="B201" s="182">
        <f>SUMPRODUCT((($V$10:$V$21)&lt;=VALUE(B199))*($Z$10:$Z$21))</f>
        <v>1875774.0963333333</v>
      </c>
      <c r="C201" s="275"/>
      <c r="D201" s="95" t="s">
        <v>151</v>
      </c>
      <c r="E201" s="176" t="s">
        <v>254</v>
      </c>
      <c r="F201" s="79">
        <f>3326+1490+1200+486+2500+2500</f>
        <v>11502</v>
      </c>
      <c r="G201" s="78"/>
      <c r="H201" s="78">
        <v>86</v>
      </c>
      <c r="I201" s="79">
        <f>334+2622</f>
        <v>2956</v>
      </c>
      <c r="J201" s="78"/>
      <c r="K201" s="79"/>
      <c r="L201" s="79"/>
      <c r="M201" s="79">
        <f>818+476+150+864</f>
        <v>2308</v>
      </c>
      <c r="N201" s="79">
        <v>69</v>
      </c>
      <c r="O201" s="79">
        <f>4500-4500+327</f>
        <v>327</v>
      </c>
      <c r="P201" s="79">
        <f>280+326</f>
        <v>606</v>
      </c>
      <c r="Q201" s="79">
        <f>9374-7000+301+1377</f>
        <v>4052</v>
      </c>
      <c r="R201" s="79"/>
      <c r="S201" s="80">
        <f t="shared" si="38"/>
        <v>21906</v>
      </c>
      <c r="T201" s="278"/>
    </row>
    <row r="202" spans="1:48" ht="15" customHeight="1" x14ac:dyDescent="0.25">
      <c r="A202" s="165" t="s">
        <v>264</v>
      </c>
      <c r="B202" s="181">
        <f>B201/SUMPRODUCT(('2025'!$V$10:$V$21&lt;='2025'!B199)*'2024'!$Z$10:$Z$21)-1</f>
        <v>-0.12202969713386602</v>
      </c>
      <c r="C202" s="275"/>
      <c r="D202" s="95" t="s">
        <v>151</v>
      </c>
      <c r="E202" s="176" t="s">
        <v>255</v>
      </c>
      <c r="F202" s="79"/>
      <c r="G202" s="78"/>
      <c r="H202" s="78">
        <f>1216+400+500+455+86</f>
        <v>2657</v>
      </c>
      <c r="I202" s="79">
        <f>66+96+30</f>
        <v>192</v>
      </c>
      <c r="J202" s="78"/>
      <c r="K202" s="79"/>
      <c r="L202" s="79"/>
      <c r="M202" s="79">
        <v>524</v>
      </c>
      <c r="N202" s="79"/>
      <c r="O202" s="79">
        <f>100+100+100+100+1000</f>
        <v>1400</v>
      </c>
      <c r="P202" s="79"/>
      <c r="Q202" s="79"/>
      <c r="R202" s="79"/>
      <c r="S202" s="80">
        <f t="shared" si="38"/>
        <v>4773</v>
      </c>
      <c r="T202" s="278"/>
    </row>
    <row r="203" spans="1:48" ht="15" customHeight="1" x14ac:dyDescent="0.25">
      <c r="A203" s="165" t="s">
        <v>236</v>
      </c>
      <c r="B203" s="186">
        <f>B201-$K$2</f>
        <v>1875774.0963333333</v>
      </c>
      <c r="C203" s="275"/>
      <c r="D203" s="96" t="s">
        <v>151</v>
      </c>
      <c r="E203" s="176" t="s">
        <v>256</v>
      </c>
      <c r="F203" s="79">
        <f>6500+4700</f>
        <v>11200</v>
      </c>
      <c r="G203" s="78"/>
      <c r="H203" s="78"/>
      <c r="I203" s="78">
        <v>5986</v>
      </c>
      <c r="J203" s="78"/>
      <c r="K203" s="79"/>
      <c r="L203" s="79"/>
      <c r="M203" s="79"/>
      <c r="N203" s="79"/>
      <c r="O203" s="79"/>
      <c r="P203" s="79"/>
      <c r="Q203" s="79"/>
      <c r="R203" s="79"/>
      <c r="S203" s="80">
        <f t="shared" si="38"/>
        <v>17186</v>
      </c>
      <c r="T203" s="278"/>
    </row>
    <row r="204" spans="1:48" ht="15" customHeight="1" x14ac:dyDescent="0.25">
      <c r="A204" s="164" t="s">
        <v>242</v>
      </c>
      <c r="B204" s="157">
        <f>B203/($J$2*12)</f>
        <v>0.93788704816666668</v>
      </c>
      <c r="C204" s="275"/>
      <c r="D204" s="95" t="s">
        <v>151</v>
      </c>
      <c r="E204" s="176" t="s">
        <v>257</v>
      </c>
      <c r="F204" s="79">
        <v>5867</v>
      </c>
      <c r="G204" s="78"/>
      <c r="H204" s="78"/>
      <c r="I204" s="79"/>
      <c r="J204" s="78"/>
      <c r="K204" s="79"/>
      <c r="L204" s="79"/>
      <c r="M204" s="79"/>
      <c r="N204" s="79"/>
      <c r="O204" s="79"/>
      <c r="P204" s="79"/>
      <c r="Q204" s="79">
        <v>2000</v>
      </c>
      <c r="R204" s="79"/>
      <c r="S204" s="80">
        <f t="shared" si="38"/>
        <v>7867</v>
      </c>
      <c r="T204" s="278"/>
    </row>
    <row r="205" spans="1:48" ht="15" customHeight="1" x14ac:dyDescent="0.25">
      <c r="A205" s="164" t="s">
        <v>282</v>
      </c>
      <c r="B205" s="126">
        <f>VALUE(RIGHT(B199,2))/12</f>
        <v>0.91666666666666663</v>
      </c>
      <c r="C205" s="275"/>
      <c r="D205" s="95" t="s">
        <v>151</v>
      </c>
      <c r="E205" s="176" t="s">
        <v>263</v>
      </c>
      <c r="F205" s="78"/>
      <c r="G205" s="78"/>
      <c r="H205" s="78"/>
      <c r="I205" s="79"/>
      <c r="J205" s="78"/>
      <c r="K205" s="79"/>
      <c r="L205" s="79"/>
      <c r="M205" s="79">
        <v>675</v>
      </c>
      <c r="N205" s="79"/>
      <c r="O205" s="79"/>
      <c r="P205" s="79"/>
      <c r="Q205" s="79"/>
      <c r="R205" s="79"/>
      <c r="S205" s="80">
        <f t="shared" si="38"/>
        <v>675</v>
      </c>
      <c r="T205" s="279"/>
    </row>
    <row r="206" spans="1:48" ht="15" customHeight="1" x14ac:dyDescent="0.25">
      <c r="A206" s="164" t="s">
        <v>243</v>
      </c>
      <c r="B206" s="161">
        <f>B200*VALUE(RIGHT(B199,2))-B203</f>
        <v>-42440.763000000035</v>
      </c>
      <c r="C206" s="275"/>
      <c r="D206" s="97" t="s">
        <v>152</v>
      </c>
      <c r="E206" s="97" t="s">
        <v>144</v>
      </c>
      <c r="F206" s="85"/>
      <c r="G206" s="46"/>
      <c r="H206" s="85"/>
      <c r="I206" s="142">
        <v>320</v>
      </c>
      <c r="J206" s="46"/>
      <c r="K206" s="46"/>
      <c r="L206" s="46"/>
      <c r="M206" s="152"/>
      <c r="N206" s="46"/>
      <c r="O206" s="46"/>
      <c r="P206" s="46"/>
      <c r="Q206" s="46"/>
      <c r="R206" s="46"/>
      <c r="S206" s="83">
        <f t="shared" si="38"/>
        <v>320</v>
      </c>
      <c r="T206" s="280">
        <f>SUM(S206:S210)</f>
        <v>2776</v>
      </c>
    </row>
    <row r="207" spans="1:48" ht="15" customHeight="1" x14ac:dyDescent="0.25">
      <c r="A207" s="164" t="s">
        <v>265</v>
      </c>
      <c r="B207" s="184">
        <f>$J$2-(S216)</f>
        <v>40495.666666666657</v>
      </c>
      <c r="C207" s="275"/>
      <c r="D207" s="97" t="s">
        <v>152</v>
      </c>
      <c r="E207" s="97" t="s">
        <v>145</v>
      </c>
      <c r="F207" s="85"/>
      <c r="G207" s="46"/>
      <c r="H207" s="85"/>
      <c r="I207" s="46"/>
      <c r="J207" s="46"/>
      <c r="K207" s="46"/>
      <c r="L207" s="46"/>
      <c r="M207" s="152"/>
      <c r="N207" s="46"/>
      <c r="O207" s="46"/>
      <c r="P207" s="46"/>
      <c r="Q207" s="46"/>
      <c r="R207" s="46"/>
      <c r="S207" s="83">
        <f t="shared" si="38"/>
        <v>0</v>
      </c>
      <c r="T207" s="281"/>
    </row>
    <row r="208" spans="1:48" ht="15" customHeight="1" x14ac:dyDescent="0.25">
      <c r="C208" s="275"/>
      <c r="D208" s="97" t="s">
        <v>152</v>
      </c>
      <c r="E208" s="97" t="s">
        <v>146</v>
      </c>
      <c r="F208" s="86"/>
      <c r="G208" s="46"/>
      <c r="H208" s="87"/>
      <c r="I208" s="89">
        <f>330+4</f>
        <v>334</v>
      </c>
      <c r="J208" s="46"/>
      <c r="K208" s="46"/>
      <c r="L208" s="46"/>
      <c r="M208" s="152"/>
      <c r="N208" s="46"/>
      <c r="O208" s="46"/>
      <c r="P208" s="46"/>
      <c r="Q208" s="46"/>
      <c r="R208" s="46"/>
      <c r="S208" s="83">
        <f t="shared" si="38"/>
        <v>334</v>
      </c>
      <c r="T208" s="281"/>
    </row>
    <row r="209" spans="1:48" ht="15" customHeight="1" x14ac:dyDescent="0.25">
      <c r="C209" s="275"/>
      <c r="D209" s="97" t="s">
        <v>152</v>
      </c>
      <c r="E209" s="97" t="s">
        <v>147</v>
      </c>
      <c r="F209" s="85"/>
      <c r="G209" s="46"/>
      <c r="H209" s="87"/>
      <c r="I209" s="86">
        <f>330+4+30+30+30</f>
        <v>424</v>
      </c>
      <c r="J209" s="46"/>
      <c r="K209" s="46"/>
      <c r="L209" s="46"/>
      <c r="M209" s="152"/>
      <c r="N209" s="46"/>
      <c r="O209" s="46"/>
      <c r="P209" s="46"/>
      <c r="Q209" s="46"/>
      <c r="R209" s="46"/>
      <c r="S209" s="83">
        <f t="shared" si="38"/>
        <v>424</v>
      </c>
      <c r="T209" s="281"/>
    </row>
    <row r="210" spans="1:48" ht="15" customHeight="1" x14ac:dyDescent="0.25">
      <c r="C210" s="275"/>
      <c r="D210" s="97" t="s">
        <v>152</v>
      </c>
      <c r="E210" s="97" t="s">
        <v>168</v>
      </c>
      <c r="F210" s="85"/>
      <c r="G210" s="46"/>
      <c r="H210" s="46"/>
      <c r="I210" s="86">
        <f>1499+199</f>
        <v>1698</v>
      </c>
      <c r="J210" s="46"/>
      <c r="K210" s="46"/>
      <c r="L210" s="46"/>
      <c r="M210" s="152"/>
      <c r="N210" s="46"/>
      <c r="O210" s="86"/>
      <c r="P210" s="46"/>
      <c r="Q210" s="46"/>
      <c r="R210" s="46"/>
      <c r="S210" s="83">
        <f t="shared" si="38"/>
        <v>1698</v>
      </c>
      <c r="T210" s="281"/>
    </row>
    <row r="211" spans="1:48" ht="15" customHeight="1" x14ac:dyDescent="0.25">
      <c r="C211" s="275"/>
      <c r="D211" s="98" t="s">
        <v>153</v>
      </c>
      <c r="E211" s="98" t="s">
        <v>170</v>
      </c>
      <c r="F211" s="81">
        <f>3000+1040+680+100+110+4400</f>
        <v>9330</v>
      </c>
      <c r="G211" s="81">
        <v>1342</v>
      </c>
      <c r="H211" s="81"/>
      <c r="I211" s="81"/>
      <c r="J211" s="81"/>
      <c r="K211" s="81"/>
      <c r="L211" s="81"/>
      <c r="M211" s="81">
        <f>390+20+110+128</f>
        <v>648</v>
      </c>
      <c r="N211" s="81"/>
      <c r="O211" s="81"/>
      <c r="P211" s="81"/>
      <c r="Q211" s="81"/>
      <c r="R211" s="81"/>
      <c r="S211" s="81">
        <f t="shared" si="38"/>
        <v>11320</v>
      </c>
      <c r="T211" s="282">
        <f>SUM(S211:S215)</f>
        <v>42641</v>
      </c>
    </row>
    <row r="212" spans="1:48" ht="15" customHeight="1" x14ac:dyDescent="0.25">
      <c r="C212" s="275"/>
      <c r="D212" s="99" t="s">
        <v>153</v>
      </c>
      <c r="E212" s="99" t="s">
        <v>171</v>
      </c>
      <c r="F212" s="82"/>
      <c r="G212" s="82"/>
      <c r="H212" s="82"/>
      <c r="I212" s="82">
        <v>2919</v>
      </c>
      <c r="J212" s="82"/>
      <c r="K212" s="82"/>
      <c r="L212" s="82"/>
      <c r="M212" s="82">
        <v>9000</v>
      </c>
      <c r="N212" s="82"/>
      <c r="O212" s="82"/>
      <c r="P212" s="82"/>
      <c r="Q212" s="82"/>
      <c r="R212" s="82"/>
      <c r="S212" s="82">
        <f t="shared" si="38"/>
        <v>11919</v>
      </c>
      <c r="T212" s="283"/>
    </row>
    <row r="213" spans="1:48" ht="15" customHeight="1" x14ac:dyDescent="0.25">
      <c r="C213" s="275"/>
      <c r="D213" s="99" t="s">
        <v>153</v>
      </c>
      <c r="E213" s="99" t="s">
        <v>172</v>
      </c>
      <c r="F213" s="82"/>
      <c r="G213" s="82"/>
      <c r="H213" s="82"/>
      <c r="I213" s="82">
        <v>16019</v>
      </c>
      <c r="J213" s="82"/>
      <c r="K213" s="82"/>
      <c r="L213" s="82"/>
      <c r="M213" s="82"/>
      <c r="N213" s="82"/>
      <c r="O213" s="82"/>
      <c r="P213" s="82"/>
      <c r="Q213" s="82"/>
      <c r="R213" s="82"/>
      <c r="S213" s="82">
        <f t="shared" si="38"/>
        <v>16019</v>
      </c>
      <c r="T213" s="283"/>
    </row>
    <row r="214" spans="1:48" s="41" customFormat="1" ht="15" customHeight="1" x14ac:dyDescent="0.25">
      <c r="A214" s="45"/>
      <c r="B214" s="45"/>
      <c r="C214" s="276"/>
      <c r="D214" s="99" t="s">
        <v>153</v>
      </c>
      <c r="E214" s="99" t="s">
        <v>173</v>
      </c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>
        <v>3383</v>
      </c>
      <c r="R214" s="82"/>
      <c r="S214" s="82">
        <f t="shared" si="38"/>
        <v>3383</v>
      </c>
      <c r="T214" s="283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</row>
    <row r="215" spans="1:48" ht="15.75" customHeight="1" thickBot="1" x14ac:dyDescent="0.3">
      <c r="A215" s="41"/>
      <c r="B215" s="41"/>
      <c r="C215" s="276"/>
      <c r="D215" s="100" t="s">
        <v>153</v>
      </c>
      <c r="E215" s="100" t="s">
        <v>168</v>
      </c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>
        <f t="shared" si="38"/>
        <v>0</v>
      </c>
      <c r="T215" s="283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</row>
    <row r="216" spans="1:48" ht="15" customHeight="1" x14ac:dyDescent="0.25">
      <c r="D216" s="101" t="s">
        <v>120</v>
      </c>
      <c r="E216" s="101" t="s">
        <v>120</v>
      </c>
      <c r="F216" s="64">
        <f>SUM(F199:F215)</f>
        <v>48019</v>
      </c>
      <c r="G216" s="64">
        <f>SUM(G199:G215)</f>
        <v>1342</v>
      </c>
      <c r="H216" s="64">
        <f>SUM(H199:H215)</f>
        <v>2743</v>
      </c>
      <c r="I216" s="64">
        <f t="shared" ref="I216:P216" si="39">SUM(I199:I215)</f>
        <v>31793</v>
      </c>
      <c r="J216" s="64">
        <f t="shared" si="39"/>
        <v>0</v>
      </c>
      <c r="K216" s="64">
        <f t="shared" si="39"/>
        <v>498</v>
      </c>
      <c r="L216" s="64">
        <f t="shared" si="39"/>
        <v>0</v>
      </c>
      <c r="M216" s="64">
        <f t="shared" si="39"/>
        <v>18477</v>
      </c>
      <c r="N216" s="64">
        <f t="shared" si="39"/>
        <v>69</v>
      </c>
      <c r="O216" s="64">
        <f t="shared" si="39"/>
        <v>2961</v>
      </c>
      <c r="P216" s="64">
        <f t="shared" si="39"/>
        <v>2834</v>
      </c>
      <c r="Q216" s="64">
        <f>SUM(Q199:Q215)</f>
        <v>17435</v>
      </c>
      <c r="R216" s="64">
        <f>SUM(R199:R215)</f>
        <v>0</v>
      </c>
      <c r="S216" s="54">
        <f>SUM(S199:S215)</f>
        <v>126171</v>
      </c>
    </row>
    <row r="217" spans="1:48" ht="15.75" customHeight="1" thickBot="1" x14ac:dyDescent="0.3"/>
    <row r="218" spans="1:48" ht="17.25" x14ac:dyDescent="0.25">
      <c r="A218" s="166" t="s">
        <v>188</v>
      </c>
      <c r="B218" s="167">
        <f>B199+1</f>
        <v>202512</v>
      </c>
      <c r="C218" s="275">
        <f>B218</f>
        <v>202512</v>
      </c>
      <c r="D218" s="94" t="s">
        <v>151</v>
      </c>
      <c r="E218" s="177" t="s">
        <v>252</v>
      </c>
      <c r="F218" s="60">
        <f>594+40+100+200+1308+194+120+205+7+1000+200+140+235+60+85+1310+53+135+241+419+150+40+200+300+100+200+470+144+225+309</f>
        <v>8784</v>
      </c>
      <c r="G218" s="59">
        <v>169</v>
      </c>
      <c r="H218" s="59"/>
      <c r="I218" s="60">
        <f>75+198+138+237+25+45+273+32+132+368+132+220+138+40</f>
        <v>2053</v>
      </c>
      <c r="J218" s="59"/>
      <c r="K218" s="60"/>
      <c r="L218" s="60"/>
      <c r="M218" s="60">
        <f>1109+370+253+88+388+198+138+25+18+48</f>
        <v>2635</v>
      </c>
      <c r="N218" s="60">
        <f>976+60</f>
        <v>1036</v>
      </c>
      <c r="O218" s="60">
        <f>230+310+25+169+452+976+1030</f>
        <v>3192</v>
      </c>
      <c r="P218" s="60">
        <f>45+300+173+150+198</f>
        <v>866</v>
      </c>
      <c r="Q218" s="60">
        <f>2000+2000+2000+2000</f>
        <v>8000</v>
      </c>
      <c r="R218" s="60"/>
      <c r="S218" s="44">
        <f t="shared" ref="S218:S234" si="40">SUM(F218:R218)</f>
        <v>26735</v>
      </c>
      <c r="T218" s="277">
        <f>SUM(S218:S224)</f>
        <v>70460</v>
      </c>
    </row>
    <row r="219" spans="1:48" ht="15" customHeight="1" thickBot="1" x14ac:dyDescent="0.3">
      <c r="A219" s="164" t="s">
        <v>247</v>
      </c>
      <c r="B219" s="162">
        <f>$J$2</f>
        <v>166666.66666666666</v>
      </c>
      <c r="C219" s="275"/>
      <c r="D219" s="95" t="s">
        <v>151</v>
      </c>
      <c r="E219" s="176" t="s">
        <v>251</v>
      </c>
      <c r="F219" s="79"/>
      <c r="G219" s="78"/>
      <c r="H219" s="78"/>
      <c r="I219" s="79"/>
      <c r="J219" s="78"/>
      <c r="K219" s="79"/>
      <c r="L219" s="79"/>
      <c r="M219" s="79">
        <v>1690</v>
      </c>
      <c r="N219" s="79"/>
      <c r="O219" s="79">
        <f>3700+1370</f>
        <v>5070</v>
      </c>
      <c r="P219" s="79">
        <f>293+1890</f>
        <v>2183</v>
      </c>
      <c r="Q219" s="79"/>
      <c r="R219" s="79"/>
      <c r="S219" s="80">
        <f t="shared" si="40"/>
        <v>8943</v>
      </c>
      <c r="T219" s="278"/>
    </row>
    <row r="220" spans="1:48" ht="15" customHeight="1" thickTop="1" x14ac:dyDescent="0.25">
      <c r="A220" s="165" t="s">
        <v>237</v>
      </c>
      <c r="B220" s="182" cm="1">
        <f t="array" ref="B220">SUMPRODUCT((($V$10:$V$21)&lt;=VALUE(B218))*($Z$10:$Z$21))</f>
        <v>1966275.763</v>
      </c>
      <c r="C220" s="275"/>
      <c r="D220" s="95" t="s">
        <v>151</v>
      </c>
      <c r="E220" s="176" t="s">
        <v>254</v>
      </c>
      <c r="F220" s="79">
        <f>3326+1500</f>
        <v>4826</v>
      </c>
      <c r="G220" s="78">
        <v>1004</v>
      </c>
      <c r="H220" s="78"/>
      <c r="I220" s="79">
        <v>290</v>
      </c>
      <c r="J220" s="78"/>
      <c r="K220" s="79"/>
      <c r="L220" s="79"/>
      <c r="M220" s="79">
        <f>210+975</f>
        <v>1185</v>
      </c>
      <c r="N220" s="79"/>
      <c r="O220" s="79"/>
      <c r="P220" s="79">
        <f>1180+479+2380+500</f>
        <v>4539</v>
      </c>
      <c r="Q220" s="79">
        <f>9374-7000+1944+2000+290</f>
        <v>6608</v>
      </c>
      <c r="R220" s="79"/>
      <c r="S220" s="80">
        <f t="shared" si="40"/>
        <v>18452</v>
      </c>
      <c r="T220" s="278"/>
    </row>
    <row r="221" spans="1:48" ht="15" customHeight="1" x14ac:dyDescent="0.25">
      <c r="A221" s="165" t="s">
        <v>264</v>
      </c>
      <c r="B221" s="181">
        <f>B220/SUMPRODUCT(('2025'!$V$10:$V$21&lt;='2025'!B218)*'2024'!$Z$10:$Z$21)-1</f>
        <v>-0.1149287093362672</v>
      </c>
      <c r="C221" s="275"/>
      <c r="D221" s="95" t="s">
        <v>151</v>
      </c>
      <c r="E221" s="176" t="s">
        <v>255</v>
      </c>
      <c r="F221" s="79">
        <v>50</v>
      </c>
      <c r="G221" s="78"/>
      <c r="H221" s="78">
        <v>56</v>
      </c>
      <c r="I221" s="79">
        <v>100</v>
      </c>
      <c r="J221" s="78"/>
      <c r="K221" s="79"/>
      <c r="L221" s="79"/>
      <c r="M221" s="79">
        <f>529+75+94+1116</f>
        <v>1814</v>
      </c>
      <c r="N221" s="79"/>
      <c r="O221" s="79">
        <f>100+100+100+40+100+100+100+100+100+100+100</f>
        <v>1040</v>
      </c>
      <c r="P221" s="79"/>
      <c r="Q221" s="79"/>
      <c r="R221" s="79"/>
      <c r="S221" s="80">
        <f t="shared" si="40"/>
        <v>3060</v>
      </c>
      <c r="T221" s="278"/>
    </row>
    <row r="222" spans="1:48" ht="15" customHeight="1" x14ac:dyDescent="0.25">
      <c r="A222" s="165" t="s">
        <v>236</v>
      </c>
      <c r="B222" s="186">
        <f>B220-$K$2</f>
        <v>1966275.763</v>
      </c>
      <c r="C222" s="275"/>
      <c r="D222" s="96" t="s">
        <v>151</v>
      </c>
      <c r="E222" s="176" t="s">
        <v>256</v>
      </c>
      <c r="F222" s="79">
        <f>6500+4700</f>
        <v>11200</v>
      </c>
      <c r="G222" s="78"/>
      <c r="H222" s="78"/>
      <c r="I222" s="78"/>
      <c r="J222" s="78"/>
      <c r="K222" s="79"/>
      <c r="L222" s="79"/>
      <c r="M222" s="79"/>
      <c r="N222" s="79"/>
      <c r="O222" s="79"/>
      <c r="P222" s="79"/>
      <c r="Q222" s="79"/>
      <c r="R222" s="79"/>
      <c r="S222" s="80">
        <f t="shared" si="40"/>
        <v>11200</v>
      </c>
      <c r="T222" s="278"/>
    </row>
    <row r="223" spans="1:48" ht="15" customHeight="1" x14ac:dyDescent="0.25">
      <c r="A223" s="164" t="s">
        <v>242</v>
      </c>
      <c r="B223" s="157">
        <f>B222/($J$2*12)</f>
        <v>0.98313788150000003</v>
      </c>
      <c r="C223" s="275"/>
      <c r="D223" s="95" t="s">
        <v>151</v>
      </c>
      <c r="E223" s="176" t="s">
        <v>257</v>
      </c>
      <c r="F223" s="79">
        <f>4500-2700</f>
        <v>1800</v>
      </c>
      <c r="G223" s="78"/>
      <c r="H223" s="78"/>
      <c r="I223" s="79"/>
      <c r="J223" s="78"/>
      <c r="K223" s="79"/>
      <c r="L223" s="79"/>
      <c r="M223" s="79"/>
      <c r="N223" s="79"/>
      <c r="O223" s="79"/>
      <c r="P223" s="79"/>
      <c r="Q223" s="79"/>
      <c r="R223" s="79"/>
      <c r="S223" s="80">
        <f t="shared" si="40"/>
        <v>1800</v>
      </c>
      <c r="T223" s="278"/>
    </row>
    <row r="224" spans="1:48" ht="15" customHeight="1" x14ac:dyDescent="0.25">
      <c r="A224" s="164" t="s">
        <v>241</v>
      </c>
      <c r="B224" s="126">
        <f>VALUE(RIGHT(B218,2))/12</f>
        <v>1</v>
      </c>
      <c r="C224" s="275"/>
      <c r="D224" s="95" t="s">
        <v>151</v>
      </c>
      <c r="E224" s="176" t="s">
        <v>263</v>
      </c>
      <c r="F224" s="78">
        <v>50</v>
      </c>
      <c r="G224" s="78"/>
      <c r="H224" s="78"/>
      <c r="I224" s="79"/>
      <c r="J224" s="78"/>
      <c r="K224" s="79"/>
      <c r="L224" s="79"/>
      <c r="M224" s="79"/>
      <c r="N224" s="79"/>
      <c r="O224" s="79"/>
      <c r="P224" s="79"/>
      <c r="Q224" s="79">
        <v>220</v>
      </c>
      <c r="R224" s="79"/>
      <c r="S224" s="80">
        <f t="shared" si="40"/>
        <v>270</v>
      </c>
      <c r="T224" s="279"/>
    </row>
    <row r="225" spans="1:48" ht="15" customHeight="1" x14ac:dyDescent="0.25">
      <c r="A225" s="164" t="s">
        <v>243</v>
      </c>
      <c r="B225" s="161">
        <f>B219*VALUE(RIGHT(B218,2))-B222</f>
        <v>33724.236999999965</v>
      </c>
      <c r="C225" s="275"/>
      <c r="D225" s="97" t="s">
        <v>152</v>
      </c>
      <c r="E225" s="97" t="s">
        <v>144</v>
      </c>
      <c r="F225" s="85">
        <v>350</v>
      </c>
      <c r="G225" s="46"/>
      <c r="H225" s="85"/>
      <c r="I225" s="46"/>
      <c r="J225" s="46"/>
      <c r="K225" s="46"/>
      <c r="L225" s="46"/>
      <c r="M225" s="152">
        <v>1861</v>
      </c>
      <c r="N225" s="46"/>
      <c r="O225" s="89">
        <v>3500</v>
      </c>
      <c r="P225" s="89">
        <v>390</v>
      </c>
      <c r="Q225" s="46"/>
      <c r="R225" s="46"/>
      <c r="S225" s="83">
        <f t="shared" si="40"/>
        <v>6101</v>
      </c>
      <c r="T225" s="280">
        <f>SUM(S225:S229)</f>
        <v>14317</v>
      </c>
    </row>
    <row r="226" spans="1:48" ht="15" customHeight="1" x14ac:dyDescent="0.25">
      <c r="A226" s="164" t="s">
        <v>265</v>
      </c>
      <c r="B226" s="184">
        <f>$J$2-(S235)</f>
        <v>76164.999999999985</v>
      </c>
      <c r="C226" s="275"/>
      <c r="D226" s="97" t="s">
        <v>152</v>
      </c>
      <c r="E226" s="97" t="s">
        <v>145</v>
      </c>
      <c r="F226" s="85">
        <v>4990</v>
      </c>
      <c r="G226" s="46"/>
      <c r="H226" s="85"/>
      <c r="I226" s="46"/>
      <c r="J226" s="46"/>
      <c r="K226" s="46"/>
      <c r="L226" s="46"/>
      <c r="M226" s="152"/>
      <c r="N226" s="46"/>
      <c r="O226" s="46"/>
      <c r="P226" s="46"/>
      <c r="Q226" s="46"/>
      <c r="R226" s="46"/>
      <c r="S226" s="83">
        <f t="shared" si="40"/>
        <v>4990</v>
      </c>
      <c r="T226" s="281"/>
    </row>
    <row r="227" spans="1:48" ht="15" customHeight="1" x14ac:dyDescent="0.25">
      <c r="C227" s="275"/>
      <c r="D227" s="97" t="s">
        <v>152</v>
      </c>
      <c r="E227" s="97" t="s">
        <v>146</v>
      </c>
      <c r="F227" s="86"/>
      <c r="G227" s="89">
        <v>484</v>
      </c>
      <c r="H227" s="87"/>
      <c r="I227" s="46"/>
      <c r="J227" s="46"/>
      <c r="K227" s="46"/>
      <c r="L227" s="46"/>
      <c r="M227" s="152"/>
      <c r="N227" s="46"/>
      <c r="O227" s="46"/>
      <c r="P227" s="46"/>
      <c r="Q227" s="46"/>
      <c r="R227" s="46"/>
      <c r="S227" s="83">
        <f t="shared" si="40"/>
        <v>484</v>
      </c>
      <c r="T227" s="281"/>
    </row>
    <row r="228" spans="1:48" ht="15" customHeight="1" x14ac:dyDescent="0.25">
      <c r="C228" s="275"/>
      <c r="D228" s="97" t="s">
        <v>152</v>
      </c>
      <c r="E228" s="97" t="s">
        <v>147</v>
      </c>
      <c r="F228" s="85"/>
      <c r="G228" s="46"/>
      <c r="H228" s="87"/>
      <c r="I228" s="89">
        <v>330</v>
      </c>
      <c r="J228" s="46"/>
      <c r="K228" s="46"/>
      <c r="L228" s="46"/>
      <c r="M228" s="152">
        <v>2412</v>
      </c>
      <c r="N228" s="46"/>
      <c r="O228" s="46"/>
      <c r="P228" s="46"/>
      <c r="Q228" s="46"/>
      <c r="R228" s="46"/>
      <c r="S228" s="83">
        <f t="shared" si="40"/>
        <v>2742</v>
      </c>
      <c r="T228" s="281"/>
    </row>
    <row r="229" spans="1:48" ht="15" customHeight="1" x14ac:dyDescent="0.25">
      <c r="C229" s="275"/>
      <c r="D229" s="97" t="s">
        <v>152</v>
      </c>
      <c r="E229" s="97" t="s">
        <v>168</v>
      </c>
      <c r="F229" s="85"/>
      <c r="G229" s="46"/>
      <c r="H229" s="46"/>
      <c r="I229" s="46"/>
      <c r="J229" s="46"/>
      <c r="K229" s="46"/>
      <c r="L229" s="46"/>
      <c r="M229" s="152"/>
      <c r="N229" s="46"/>
      <c r="O229" s="86"/>
      <c r="P229" s="46"/>
      <c r="Q229" s="46"/>
      <c r="R229" s="46"/>
      <c r="S229" s="83">
        <f t="shared" si="40"/>
        <v>0</v>
      </c>
      <c r="T229" s="281"/>
    </row>
    <row r="230" spans="1:48" ht="15" customHeight="1" x14ac:dyDescent="0.25">
      <c r="C230" s="275"/>
      <c r="D230" s="98" t="s">
        <v>153</v>
      </c>
      <c r="E230" s="98" t="s">
        <v>170</v>
      </c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>
        <f t="shared" si="40"/>
        <v>0</v>
      </c>
      <c r="T230" s="282">
        <f>SUM(S230:S234)</f>
        <v>5724.6666666666661</v>
      </c>
    </row>
    <row r="231" spans="1:48" ht="15" customHeight="1" x14ac:dyDescent="0.25">
      <c r="C231" s="275"/>
      <c r="D231" s="99" t="s">
        <v>153</v>
      </c>
      <c r="E231" s="99" t="s">
        <v>171</v>
      </c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>
        <v>2349</v>
      </c>
      <c r="Q231" s="82"/>
      <c r="R231" s="82"/>
      <c r="S231" s="82">
        <f t="shared" si="40"/>
        <v>2349</v>
      </c>
      <c r="T231" s="283"/>
    </row>
    <row r="232" spans="1:48" ht="15" customHeight="1" x14ac:dyDescent="0.25">
      <c r="C232" s="275"/>
      <c r="D232" s="99" t="s">
        <v>153</v>
      </c>
      <c r="E232" s="99" t="s">
        <v>172</v>
      </c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>
        <f t="shared" si="40"/>
        <v>0</v>
      </c>
      <c r="T232" s="283"/>
    </row>
    <row r="233" spans="1:48" s="41" customFormat="1" ht="15" customHeight="1" x14ac:dyDescent="0.25">
      <c r="A233" s="45"/>
      <c r="B233" s="45"/>
      <c r="C233" s="276"/>
      <c r="D233" s="99" t="s">
        <v>153</v>
      </c>
      <c r="E233" s="99" t="s">
        <v>173</v>
      </c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>
        <f>40508/12</f>
        <v>3375.6666666666665</v>
      </c>
      <c r="R233" s="82"/>
      <c r="S233" s="82">
        <f t="shared" si="40"/>
        <v>3375.6666666666665</v>
      </c>
      <c r="T233" s="283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</row>
    <row r="234" spans="1:48" ht="15.75" customHeight="1" thickBot="1" x14ac:dyDescent="0.3">
      <c r="A234" s="41"/>
      <c r="B234" s="41"/>
      <c r="C234" s="276"/>
      <c r="D234" s="100" t="s">
        <v>153</v>
      </c>
      <c r="E234" s="100" t="s">
        <v>168</v>
      </c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>
        <f t="shared" si="40"/>
        <v>0</v>
      </c>
      <c r="T234" s="283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</row>
    <row r="235" spans="1:48" ht="15" customHeight="1" x14ac:dyDescent="0.25">
      <c r="D235" s="101" t="s">
        <v>120</v>
      </c>
      <c r="E235" s="101" t="s">
        <v>120</v>
      </c>
      <c r="F235" s="64">
        <f>SUM(F218:F234)</f>
        <v>32050</v>
      </c>
      <c r="G235" s="64">
        <f>SUM(G218:G234)</f>
        <v>1657</v>
      </c>
      <c r="H235" s="64">
        <f>SUM(H218:H234)</f>
        <v>56</v>
      </c>
      <c r="I235" s="64">
        <f t="shared" ref="I235:P235" si="41">SUM(I218:I234)</f>
        <v>2773</v>
      </c>
      <c r="J235" s="64">
        <f t="shared" si="41"/>
        <v>0</v>
      </c>
      <c r="K235" s="64">
        <f t="shared" si="41"/>
        <v>0</v>
      </c>
      <c r="L235" s="64">
        <f t="shared" si="41"/>
        <v>0</v>
      </c>
      <c r="M235" s="64">
        <f t="shared" si="41"/>
        <v>11597</v>
      </c>
      <c r="N235" s="64">
        <f t="shared" si="41"/>
        <v>1036</v>
      </c>
      <c r="O235" s="64">
        <f t="shared" si="41"/>
        <v>12802</v>
      </c>
      <c r="P235" s="64">
        <f t="shared" si="41"/>
        <v>10327</v>
      </c>
      <c r="Q235" s="64">
        <f>SUM(Q218:Q234)</f>
        <v>18203.666666666668</v>
      </c>
      <c r="R235" s="64">
        <f>SUM(R218:R234)</f>
        <v>0</v>
      </c>
      <c r="S235" s="54">
        <f>SUM(S218:S234)</f>
        <v>90501.666666666672</v>
      </c>
    </row>
    <row r="240" spans="1:48" x14ac:dyDescent="0.25">
      <c r="E240" s="129">
        <f>SUM(G240:P240)</f>
        <v>0.25016077170418005</v>
      </c>
      <c r="F240" s="130" t="s">
        <v>223</v>
      </c>
      <c r="G240" s="131">
        <f t="shared" ref="G240:M240" si="42">G242/$E$243</f>
        <v>6.4308681672025723E-3</v>
      </c>
      <c r="H240" s="131">
        <f t="shared" si="42"/>
        <v>2.3579849946409433E-2</v>
      </c>
      <c r="I240" s="131">
        <f t="shared" si="42"/>
        <v>1.5005359056806002E-2</v>
      </c>
      <c r="J240" s="131">
        <f t="shared" si="42"/>
        <v>5.5091103965702035E-2</v>
      </c>
      <c r="K240" s="131">
        <f t="shared" si="42"/>
        <v>5.0160771704180061E-2</v>
      </c>
      <c r="L240" s="131">
        <f t="shared" si="42"/>
        <v>4.9946409431939981E-2</v>
      </c>
      <c r="M240" s="131">
        <f t="shared" si="42"/>
        <v>4.9946409431939981E-2</v>
      </c>
      <c r="N240" s="143"/>
      <c r="O240" s="143"/>
    </row>
    <row r="241" spans="5:15" ht="16.5" x14ac:dyDescent="0.25">
      <c r="F241" s="132" t="s">
        <v>97</v>
      </c>
      <c r="G241" s="133">
        <v>44478</v>
      </c>
      <c r="H241" s="133">
        <v>44482</v>
      </c>
      <c r="I241" s="133">
        <v>44487</v>
      </c>
      <c r="J241" s="133">
        <v>44501</v>
      </c>
      <c r="K241" s="133">
        <v>44526</v>
      </c>
      <c r="L241" s="133">
        <v>44725</v>
      </c>
      <c r="M241" s="133">
        <v>45056</v>
      </c>
      <c r="N241" s="133">
        <v>45343</v>
      </c>
      <c r="O241" s="133"/>
    </row>
    <row r="242" spans="5:15" ht="16.5" x14ac:dyDescent="0.25">
      <c r="E242" s="128">
        <f>SUM(G242:P242)</f>
        <v>11670000</v>
      </c>
      <c r="F242" s="132" t="s">
        <v>96</v>
      </c>
      <c r="G242" s="134">
        <v>300000</v>
      </c>
      <c r="H242" s="134">
        <v>1100000</v>
      </c>
      <c r="I242" s="134">
        <v>700000</v>
      </c>
      <c r="J242" s="134">
        <v>2570000</v>
      </c>
      <c r="K242" s="134">
        <v>2340000</v>
      </c>
      <c r="L242" s="134">
        <v>2330000</v>
      </c>
      <c r="M242" s="134">
        <v>2330000</v>
      </c>
      <c r="N242" s="143"/>
      <c r="O242" s="143"/>
    </row>
    <row r="243" spans="5:15" ht="19.5" x14ac:dyDescent="0.25">
      <c r="E243" s="127">
        <v>46650000</v>
      </c>
      <c r="F243" s="132" t="s">
        <v>57</v>
      </c>
      <c r="G243" s="132" t="s">
        <v>218</v>
      </c>
      <c r="H243" s="132" t="s">
        <v>218</v>
      </c>
      <c r="I243" s="132" t="s">
        <v>219</v>
      </c>
      <c r="J243" s="132" t="s">
        <v>219</v>
      </c>
      <c r="K243" s="132" t="s">
        <v>225</v>
      </c>
      <c r="L243" s="132" t="s">
        <v>226</v>
      </c>
      <c r="M243" s="132" t="s">
        <v>227</v>
      </c>
      <c r="N243" s="132" t="s">
        <v>228</v>
      </c>
      <c r="O243" s="130" t="s">
        <v>229</v>
      </c>
    </row>
  </sheetData>
  <mergeCells count="55">
    <mergeCell ref="C218:C234"/>
    <mergeCell ref="T218:T224"/>
    <mergeCell ref="T225:T229"/>
    <mergeCell ref="T230:T234"/>
    <mergeCell ref="C180:C196"/>
    <mergeCell ref="T180:T186"/>
    <mergeCell ref="T187:T191"/>
    <mergeCell ref="T192:T196"/>
    <mergeCell ref="C199:C215"/>
    <mergeCell ref="T199:T205"/>
    <mergeCell ref="T206:T210"/>
    <mergeCell ref="T211:T215"/>
    <mergeCell ref="C142:C158"/>
    <mergeCell ref="T142:T148"/>
    <mergeCell ref="T149:T153"/>
    <mergeCell ref="T154:T158"/>
    <mergeCell ref="C161:C177"/>
    <mergeCell ref="T161:T167"/>
    <mergeCell ref="T168:T172"/>
    <mergeCell ref="T173:T177"/>
    <mergeCell ref="C104:C120"/>
    <mergeCell ref="T104:T110"/>
    <mergeCell ref="T111:T115"/>
    <mergeCell ref="T116:T120"/>
    <mergeCell ref="C123:C139"/>
    <mergeCell ref="T123:T129"/>
    <mergeCell ref="T130:T134"/>
    <mergeCell ref="T135:T139"/>
    <mergeCell ref="C66:C82"/>
    <mergeCell ref="T66:T72"/>
    <mergeCell ref="T73:T77"/>
    <mergeCell ref="T78:T82"/>
    <mergeCell ref="C85:C101"/>
    <mergeCell ref="T85:T91"/>
    <mergeCell ref="T92:T96"/>
    <mergeCell ref="T97:T101"/>
    <mergeCell ref="C28:C44"/>
    <mergeCell ref="T28:T34"/>
    <mergeCell ref="T35:T39"/>
    <mergeCell ref="T40:T44"/>
    <mergeCell ref="C47:C63"/>
    <mergeCell ref="T47:T53"/>
    <mergeCell ref="T54:T58"/>
    <mergeCell ref="T59:T63"/>
    <mergeCell ref="AF8:AH8"/>
    <mergeCell ref="C9:C25"/>
    <mergeCell ref="T9:T15"/>
    <mergeCell ref="T16:T20"/>
    <mergeCell ref="T21:T25"/>
    <mergeCell ref="AE6:AK6"/>
    <mergeCell ref="AL6:AP6"/>
    <mergeCell ref="AQ6:AU6"/>
    <mergeCell ref="AE7:AK7"/>
    <mergeCell ref="AL7:AP7"/>
    <mergeCell ref="AQ7:AU7"/>
  </mergeCells>
  <phoneticPr fontId="1" type="noConversion"/>
  <conditionalFormatting sqref="J6:R6 F6:H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8">
    <cfRule type="expression" dxfId="47" priority="14">
      <formula>$B$88&gt;1</formula>
    </cfRule>
  </conditionalFormatting>
  <conditionalFormatting sqref="B69">
    <cfRule type="expression" dxfId="46" priority="13">
      <formula>$B$88&gt;1</formula>
    </cfRule>
  </conditionalFormatting>
  <conditionalFormatting sqref="B12">
    <cfRule type="expression" dxfId="45" priority="12">
      <formula>$B$88&gt;1</formula>
    </cfRule>
  </conditionalFormatting>
  <conditionalFormatting sqref="B31">
    <cfRule type="expression" dxfId="44" priority="11">
      <formula>$B$88&gt;1</formula>
    </cfRule>
  </conditionalFormatting>
  <conditionalFormatting sqref="B50">
    <cfRule type="expression" dxfId="43" priority="10">
      <formula>$B$88&gt;1</formula>
    </cfRule>
  </conditionalFormatting>
  <conditionalFormatting sqref="B107">
    <cfRule type="expression" dxfId="42" priority="9">
      <formula>$B$88&gt;1</formula>
    </cfRule>
  </conditionalFormatting>
  <conditionalFormatting sqref="B126">
    <cfRule type="expression" dxfId="41" priority="8">
      <formula>$B$88&gt;1</formula>
    </cfRule>
  </conditionalFormatting>
  <conditionalFormatting sqref="B145">
    <cfRule type="expression" dxfId="40" priority="7">
      <formula>$B$88&gt;1</formula>
    </cfRule>
  </conditionalFormatting>
  <conditionalFormatting sqref="B221">
    <cfRule type="expression" dxfId="39" priority="3">
      <formula>$B$88&gt;1</formula>
    </cfRule>
  </conditionalFormatting>
  <conditionalFormatting sqref="B164">
    <cfRule type="expression" dxfId="38" priority="6">
      <formula>$B$88&gt;1</formula>
    </cfRule>
  </conditionalFormatting>
  <conditionalFormatting sqref="B183">
    <cfRule type="expression" dxfId="37" priority="5">
      <formula>$B$88&gt;1</formula>
    </cfRule>
  </conditionalFormatting>
  <conditionalFormatting sqref="B202">
    <cfRule type="expression" dxfId="36" priority="4">
      <formula>$B$88&gt;1</formula>
    </cfRule>
  </conditionalFormatting>
  <conditionalFormatting sqref="AE5:AU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{495EFCD5-AE28-402C-8CE8-62B4504E55F6}</x14:id>
        </ext>
      </extLst>
    </cfRule>
  </conditionalFormatting>
  <conditionalFormatting sqref="AE9:AU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{F99B0745-F79E-477F-8DA5-AC05AA5A3533}</x14:id>
        </ext>
      </extLst>
    </cfRule>
  </conditionalFormatting>
  <pageMargins left="0.7" right="0.7" top="0.75" bottom="0.75" header="0.3" footer="0.3"/>
  <pageSetup paperSize="9" scale="6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5EFCD5-AE28-402C-8CE8-62B4504E55F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AE5:AU5</xm:sqref>
        </x14:conditionalFormatting>
        <x14:conditionalFormatting xmlns:xm="http://schemas.microsoft.com/office/excel/2006/main">
          <x14:cfRule type="dataBar" id="{F99B0745-F79E-477F-8DA5-AC05AA5A35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AE9:AU9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>
    <tabColor theme="1" tint="0.34998626667073579"/>
  </sheetPr>
  <dimension ref="A1:AV243"/>
  <sheetViews>
    <sheetView tabSelected="1" zoomScale="70" zoomScaleNormal="70" workbookViewId="0">
      <pane ySplit="8" topLeftCell="A108" activePane="bottomLeft" state="frozen"/>
      <selection pane="bottomLeft" activeCell="N123" sqref="N123"/>
    </sheetView>
  </sheetViews>
  <sheetFormatPr defaultColWidth="9" defaultRowHeight="15" x14ac:dyDescent="0.25"/>
  <cols>
    <col min="1" max="1" width="26" style="45" customWidth="1"/>
    <col min="2" max="2" width="16.5" style="45" bestFit="1" customWidth="1"/>
    <col min="3" max="3" width="11" style="45" customWidth="1"/>
    <col min="4" max="4" width="13.625" style="92" bestFit="1" customWidth="1"/>
    <col min="5" max="5" width="18" style="92" bestFit="1" customWidth="1"/>
    <col min="6" max="6" width="16.125" style="45" bestFit="1" customWidth="1"/>
    <col min="7" max="7" width="17.375" style="45" bestFit="1" customWidth="1"/>
    <col min="8" max="8" width="12.625" style="45" bestFit="1" customWidth="1"/>
    <col min="9" max="9" width="15.125" style="45" bestFit="1" customWidth="1"/>
    <col min="10" max="10" width="13.375" style="45" bestFit="1" customWidth="1"/>
    <col min="11" max="11" width="22.625" style="45" bestFit="1" customWidth="1"/>
    <col min="12" max="12" width="20.125" style="45" customWidth="1"/>
    <col min="13" max="13" width="18.375" style="45" bestFit="1" customWidth="1"/>
    <col min="14" max="14" width="16.125" style="45" bestFit="1" customWidth="1"/>
    <col min="15" max="15" width="17.5" style="45" bestFit="1" customWidth="1"/>
    <col min="16" max="16" width="16.125" style="45" bestFit="1" customWidth="1"/>
    <col min="17" max="18" width="15" style="45" customWidth="1"/>
    <col min="19" max="19" width="13.5" style="45" bestFit="1" customWidth="1"/>
    <col min="20" max="20" width="12.625" style="45" bestFit="1" customWidth="1"/>
    <col min="21" max="21" width="9.625" style="45" bestFit="1" customWidth="1"/>
    <col min="22" max="22" width="10.875" style="45" bestFit="1" customWidth="1"/>
    <col min="23" max="23" width="12.125" style="45" bestFit="1" customWidth="1"/>
    <col min="24" max="24" width="13.75" style="45" bestFit="1" customWidth="1"/>
    <col min="25" max="25" width="14.25" style="45" bestFit="1" customWidth="1"/>
    <col min="26" max="26" width="10.875" style="45" bestFit="1" customWidth="1"/>
    <col min="27" max="27" width="12.625" style="45" customWidth="1"/>
    <col min="28" max="29" width="9" style="45"/>
    <col min="30" max="30" width="12.875" style="45" bestFit="1" customWidth="1"/>
    <col min="31" max="31" width="14.25" style="45" bestFit="1" customWidth="1"/>
    <col min="32" max="33" width="10.875" style="45" bestFit="1" customWidth="1"/>
    <col min="34" max="34" width="9" style="45" bestFit="1" customWidth="1"/>
    <col min="35" max="37" width="10.875" style="45" bestFit="1" customWidth="1"/>
    <col min="38" max="40" width="9.625" style="45" bestFit="1" customWidth="1"/>
    <col min="41" max="41" width="10.875" style="45" bestFit="1" customWidth="1"/>
    <col min="42" max="43" width="9.625" style="45" bestFit="1" customWidth="1"/>
    <col min="44" max="44" width="10" style="45" bestFit="1" customWidth="1"/>
    <col min="45" max="45" width="14.25" style="45" bestFit="1" customWidth="1"/>
    <col min="46" max="47" width="9.625" style="45" bestFit="1" customWidth="1"/>
    <col min="48" max="48" width="10.875" style="45" bestFit="1" customWidth="1"/>
    <col min="49" max="16384" width="9" style="45"/>
  </cols>
  <sheetData>
    <row r="1" spans="1:48" ht="16.5" x14ac:dyDescent="0.25">
      <c r="A1" s="55" t="s">
        <v>119</v>
      </c>
      <c r="B1" s="51">
        <f>SUMIF(D:D,A1,S:S)</f>
        <v>880385</v>
      </c>
      <c r="C1" s="57">
        <f>B1/$B$4</f>
        <v>0.48672049493183722</v>
      </c>
      <c r="J1" s="53" t="s">
        <v>246</v>
      </c>
      <c r="K1" s="179" t="s">
        <v>283</v>
      </c>
      <c r="L1" s="227" t="s">
        <v>276</v>
      </c>
      <c r="O1" s="126"/>
      <c r="P1" s="126"/>
    </row>
    <row r="2" spans="1:48" ht="18" thickBot="1" x14ac:dyDescent="0.3">
      <c r="A2" s="45" t="s">
        <v>152</v>
      </c>
      <c r="B2" s="51">
        <f>SUMIF(D:D,A2,S:S)</f>
        <v>33821</v>
      </c>
      <c r="C2" s="57">
        <f>B2/$B$4</f>
        <v>1.86979263152935E-2</v>
      </c>
      <c r="J2" s="162">
        <f>L2/12</f>
        <v>166666.66666666666</v>
      </c>
      <c r="K2" s="107"/>
      <c r="L2" s="107">
        <v>2000000</v>
      </c>
      <c r="O2" s="147"/>
      <c r="P2" s="125"/>
      <c r="AO2" s="52"/>
    </row>
    <row r="3" spans="1:48" ht="18.75" thickTop="1" thickBot="1" x14ac:dyDescent="0.3">
      <c r="A3" s="45" t="s">
        <v>153</v>
      </c>
      <c r="B3" s="51">
        <f>SUMIF(D:D,A3,S:S)</f>
        <v>894604.20866666641</v>
      </c>
      <c r="C3" s="57">
        <f>B3/$B$4</f>
        <v>0.4945815787528689</v>
      </c>
      <c r="K3" s="74"/>
      <c r="M3" s="51"/>
      <c r="N3" s="51"/>
      <c r="O3" s="126"/>
      <c r="P3" s="51"/>
      <c r="Q3" s="67"/>
      <c r="S3" s="51"/>
      <c r="AD3" s="224" t="str">
        <f ca="1">YEAR(NOW())-1&amp;IF(LEN(MONTH(NOW()))=1,"0","")&amp;MONTH(NOW())</f>
        <v>202508</v>
      </c>
      <c r="AE3" s="51"/>
      <c r="AF3" s="52"/>
      <c r="AH3" s="191"/>
      <c r="AS3" s="51">
        <f>27778*12</f>
        <v>333336</v>
      </c>
    </row>
    <row r="4" spans="1:48" ht="15" customHeight="1" x14ac:dyDescent="0.25">
      <c r="A4" s="56" t="s">
        <v>120</v>
      </c>
      <c r="B4" s="156">
        <f>SUMIF(D:D,A4,S:S)</f>
        <v>1808810.2086666671</v>
      </c>
      <c r="C4" s="145">
        <f>B4-B89</f>
        <v>692291.35000000033</v>
      </c>
      <c r="M4" s="53"/>
      <c r="N4" s="53"/>
      <c r="O4" s="53"/>
      <c r="AD4" s="224" t="str">
        <f ca="1">YEAR(NOW())&amp;IF(LEN(MONTH(NOW()))=1,"0","")&amp;MONTH(NOW())</f>
        <v>202608</v>
      </c>
    </row>
    <row r="5" spans="1:48" ht="17.25" thickBot="1" x14ac:dyDescent="0.3">
      <c r="A5" s="45" t="s">
        <v>239</v>
      </c>
      <c r="B5" s="154">
        <f>B4-K2</f>
        <v>1808810.2086666671</v>
      </c>
      <c r="AD5" s="163">
        <f>SUM(AE5:AU5)</f>
        <v>1808810.2086666666</v>
      </c>
      <c r="AE5" s="192">
        <f t="shared" ref="AE5:AU5" si="0">SUM(AE10:AE21)</f>
        <v>226759</v>
      </c>
      <c r="AF5" s="192">
        <f t="shared" si="0"/>
        <v>4782</v>
      </c>
      <c r="AG5" s="192">
        <f t="shared" si="0"/>
        <v>187682</v>
      </c>
      <c r="AH5" s="192">
        <f t="shared" si="0"/>
        <v>7059</v>
      </c>
      <c r="AI5" s="192">
        <f t="shared" si="0"/>
        <v>220957</v>
      </c>
      <c r="AJ5" s="192">
        <f t="shared" si="0"/>
        <v>146366</v>
      </c>
      <c r="AK5" s="192">
        <f t="shared" si="0"/>
        <v>86780</v>
      </c>
      <c r="AL5" s="192">
        <f t="shared" si="0"/>
        <v>8127</v>
      </c>
      <c r="AM5" s="192">
        <f t="shared" si="0"/>
        <v>2320</v>
      </c>
      <c r="AN5" s="192">
        <f t="shared" si="0"/>
        <v>13669</v>
      </c>
      <c r="AO5" s="192">
        <f t="shared" si="0"/>
        <v>3374</v>
      </c>
      <c r="AP5" s="192">
        <f t="shared" si="0"/>
        <v>6331</v>
      </c>
      <c r="AQ5" s="192">
        <f t="shared" si="0"/>
        <v>713858.54200000002</v>
      </c>
      <c r="AR5" s="192">
        <f t="shared" si="0"/>
        <v>9974</v>
      </c>
      <c r="AS5" s="192">
        <f t="shared" si="0"/>
        <v>33099</v>
      </c>
      <c r="AT5" s="192">
        <f t="shared" si="0"/>
        <v>41682.666666666664</v>
      </c>
      <c r="AU5" s="192">
        <f t="shared" si="0"/>
        <v>95990</v>
      </c>
    </row>
    <row r="6" spans="1:48" ht="17.25" thickBot="1" x14ac:dyDescent="0.3">
      <c r="A6" s="55" t="s">
        <v>238</v>
      </c>
      <c r="B6" s="157">
        <f>B4/L2</f>
        <v>0.90440510433333354</v>
      </c>
      <c r="F6" s="73">
        <f t="shared" ref="F6:R6" si="1">F7/$S$7</f>
        <v>0.25774926178886715</v>
      </c>
      <c r="G6" s="73">
        <f t="shared" si="1"/>
        <v>1.457864394708287E-3</v>
      </c>
      <c r="H6" s="73">
        <f t="shared" si="1"/>
        <v>9.2401899988834399E-2</v>
      </c>
      <c r="I6" s="73">
        <f t="shared" si="1"/>
        <v>0.22915268612152348</v>
      </c>
      <c r="J6" s="73">
        <f t="shared" si="1"/>
        <v>6.1253398211231463E-2</v>
      </c>
      <c r="K6" s="73">
        <f t="shared" si="1"/>
        <v>0.10089730538093865</v>
      </c>
      <c r="L6" s="73">
        <f t="shared" si="1"/>
        <v>3.5443187844045611E-3</v>
      </c>
      <c r="M6" s="73">
        <f t="shared" si="1"/>
        <v>5.325600195003765E-2</v>
      </c>
      <c r="N6" s="73">
        <f t="shared" si="1"/>
        <v>2.7509796086721411E-3</v>
      </c>
      <c r="O6" s="73">
        <f t="shared" si="1"/>
        <v>2.8269135012065301E-2</v>
      </c>
      <c r="P6" s="73">
        <f t="shared" si="1"/>
        <v>4.563910553161471E-2</v>
      </c>
      <c r="Q6" s="73">
        <f t="shared" si="1"/>
        <v>0.12150565361341818</v>
      </c>
      <c r="R6" s="73">
        <f t="shared" si="1"/>
        <v>2.122389613684154E-3</v>
      </c>
      <c r="AE6" s="289" t="str">
        <f>W9</f>
        <v>生活</v>
      </c>
      <c r="AF6" s="290"/>
      <c r="AG6" s="290"/>
      <c r="AH6" s="290"/>
      <c r="AI6" s="290"/>
      <c r="AJ6" s="290"/>
      <c r="AK6" s="291"/>
      <c r="AL6" s="289" t="str">
        <f>X9</f>
        <v>想要&amp;奢侈品</v>
      </c>
      <c r="AM6" s="292"/>
      <c r="AN6" s="292"/>
      <c r="AO6" s="292"/>
      <c r="AP6" s="293"/>
      <c r="AQ6" s="289" t="str">
        <f>Y9</f>
        <v>一次性支出</v>
      </c>
      <c r="AR6" s="292"/>
      <c r="AS6" s="292"/>
      <c r="AT6" s="292"/>
      <c r="AU6" s="293"/>
    </row>
    <row r="7" spans="1:48" ht="15.75" customHeight="1" thickBot="1" x14ac:dyDescent="0.3">
      <c r="F7" s="70">
        <f t="shared" ref="F7:R7" si="2">SUMIF($D$9:$D$1012,"Total",F9:F1012)</f>
        <v>466219.49599999998</v>
      </c>
      <c r="G7" s="70">
        <f t="shared" si="2"/>
        <v>2637</v>
      </c>
      <c r="H7" s="70">
        <f t="shared" si="2"/>
        <v>167137.5</v>
      </c>
      <c r="I7" s="70">
        <f t="shared" si="2"/>
        <v>414493.71799999999</v>
      </c>
      <c r="J7" s="70">
        <f t="shared" si="2"/>
        <v>110795.772</v>
      </c>
      <c r="K7" s="70">
        <f t="shared" si="2"/>
        <v>182504.076</v>
      </c>
      <c r="L7" s="70">
        <f t="shared" si="2"/>
        <v>6411</v>
      </c>
      <c r="M7" s="70">
        <f t="shared" si="2"/>
        <v>96330</v>
      </c>
      <c r="N7" s="70">
        <f t="shared" si="2"/>
        <v>4976</v>
      </c>
      <c r="O7" s="70">
        <f t="shared" si="2"/>
        <v>51133.5</v>
      </c>
      <c r="P7" s="70">
        <f t="shared" si="2"/>
        <v>82552.48000000001</v>
      </c>
      <c r="Q7" s="70">
        <f>SUMIF($D$9:$D$1012,"Total",Q9:Q1012)</f>
        <v>219780.66666666663</v>
      </c>
      <c r="R7" s="70">
        <f t="shared" si="2"/>
        <v>3839</v>
      </c>
      <c r="S7" s="71">
        <f>SUM(F7:R7)</f>
        <v>1808810.2086666664</v>
      </c>
      <c r="Y7" s="51"/>
      <c r="AD7" s="225" t="s">
        <v>264</v>
      </c>
      <c r="AE7" s="294">
        <f ca="1">SUMPRODUCT((VALUE($AD$10:$AD$21)&lt;=VALUE($AD$4))*(AE10:AK21))/SUMPRODUCT((VALUE('2022'!$AD$10:$AD$21)&lt;=VALUE($AD$3))*('2022'!AE$10:AK$21))</f>
        <v>0.6350021777351742</v>
      </c>
      <c r="AF7" s="295"/>
      <c r="AG7" s="295"/>
      <c r="AH7" s="295"/>
      <c r="AI7" s="295"/>
      <c r="AJ7" s="295"/>
      <c r="AK7" s="296"/>
      <c r="AL7" s="294">
        <f ca="1">SUMPRODUCT((VALUE($AD$10:$AD$21)&lt;=VALUE($AD$4))*(AL10:AP21))/SUMPRODUCT((VALUE('2022'!$AD$10:$AD$21)&lt;=VALUE($AD$3))*('2022'!AL$10:AP$21))</f>
        <v>0.18451877594889057</v>
      </c>
      <c r="AM7" s="295"/>
      <c r="AN7" s="295"/>
      <c r="AO7" s="295"/>
      <c r="AP7" s="295"/>
      <c r="AQ7" s="294">
        <f ca="1">SUMPRODUCT((VALUE($AD$10:$AD$21)&lt;=VALUE($AD$4))*(AQ10:AU21))/SUMPRODUCT((VALUE('2022'!$AD$10:$AD$21)&lt;=VALUE($AD$3))*('2022'!AQ$10:AU$21))</f>
        <v>1.3154346454803603</v>
      </c>
      <c r="AR7" s="295"/>
      <c r="AS7" s="295"/>
      <c r="AT7" s="295"/>
      <c r="AU7" s="296"/>
    </row>
    <row r="8" spans="1:48" ht="18.75" thickTop="1" thickBot="1" x14ac:dyDescent="0.3">
      <c r="C8" s="41" t="s">
        <v>154</v>
      </c>
      <c r="D8" s="93"/>
      <c r="E8" s="93"/>
      <c r="F8" s="41" t="s">
        <v>155</v>
      </c>
      <c r="G8" s="53" t="s">
        <v>75</v>
      </c>
      <c r="H8" s="41" t="s">
        <v>157</v>
      </c>
      <c r="I8" s="41" t="s">
        <v>158</v>
      </c>
      <c r="J8" s="257" t="s">
        <v>305</v>
      </c>
      <c r="K8" s="53" t="s">
        <v>309</v>
      </c>
      <c r="L8" s="258" t="s">
        <v>308</v>
      </c>
      <c r="M8" s="53" t="s">
        <v>304</v>
      </c>
      <c r="N8" s="41" t="s">
        <v>162</v>
      </c>
      <c r="O8" s="53" t="s">
        <v>303</v>
      </c>
      <c r="P8" s="53" t="s">
        <v>77</v>
      </c>
      <c r="Q8" s="41" t="s">
        <v>164</v>
      </c>
      <c r="R8" s="53" t="s">
        <v>298</v>
      </c>
      <c r="S8" s="84" t="s">
        <v>120</v>
      </c>
      <c r="W8" s="52">
        <f>SUM(W10:W21)</f>
        <v>880385</v>
      </c>
      <c r="X8" s="52">
        <f>SUM(X10:X21)</f>
        <v>33821</v>
      </c>
      <c r="Y8" s="52">
        <f>SUM(Y10:Y21)</f>
        <v>894604.20866666641</v>
      </c>
      <c r="Z8" s="51"/>
      <c r="AA8" s="74"/>
      <c r="AD8" s="226">
        <f ca="1">SUMPRODUCT((VALUE($AD$10:$AD$21)&lt;=VALUE($AD$4))*(AE10:AU21))/SUMPRODUCT((VALUE('2022'!$AD$10:$AD$21)&lt;=VALUE($AD$3))*('2022'!AE$10:AU$21))</f>
        <v>0.83041568006526634</v>
      </c>
      <c r="AE8" s="199">
        <f ca="1">SUMPRODUCT((VALUE($AD$10:$AD$21)&lt;=VALUE($AD$4))*(AE10:AE21))/SUMPRODUCT((VALUE('2022'!$AD$10:$AD$21)&lt;=VALUE($AD$3))*('2022'!AG$10:AG$21))</f>
        <v>0.63522385917762292</v>
      </c>
      <c r="AF8" s="299">
        <f ca="1">(SUMPRODUCT((VALUE($AD$10:$AD$21)&lt;=VALUE($AD$4))*(AF10:AF21))+SUMPRODUCT((VALUE($AD$10:$AD$21)&lt;=VALUE($AD$4))*(AG10:AG21))+SUMPRODUCT((VALUE($AD$10:$AD$21)&lt;=VALUE($AD$4))*(AK10:AK21)))/(SUMPRODUCT((VALUE('2022'!$AD$10:$AD$21)&lt;=VALUE($AD$3))*('2022'!AE$10:AE$21))+SUMPRODUCT((VALUE('2022'!$AD$10:$AD$21)&lt;=VALUE($AD$3))*('2022'!AI$10:AI$21))+SUMPRODUCT((VALUE('2022'!$AD$10:$AD$21)&lt;=VALUE($AD$3))*('2022'!AJ$10:AJ$21)))</f>
        <v>0.92656546034486897</v>
      </c>
      <c r="AG8" s="300"/>
      <c r="AH8" s="300"/>
      <c r="AI8" s="297">
        <f ca="1">(SUMPRODUCT((VALUE($AD$10:$AD$21)&lt;=VALUE($AD$4))*(AI10:AI21))+SUMPRODUCT((VALUE($AD$10:$AD$21)&lt;=VALUE($AD$4))*(AJ10:AJ21)))/SUMPRODUCT((VALUE('2022'!$AD$10:$AD$21)&lt;=VALUE($AD$3))*('2022'!AK$10:AK$21))</f>
        <v>0.51867250229364203</v>
      </c>
      <c r="AJ8" s="298"/>
      <c r="AK8" s="220">
        <f ca="1">SUMPRODUCT((VALUE($AD$10:$AD$21)&lt;=VALUE($AD$4))*(AH10:AH21))/SUMPRODUCT((VALUE('2022'!$AD$10:$AD$21)&lt;=VALUE($AD$3))*('2022'!AF$10:AF$21))</f>
        <v>0.17287488061127029</v>
      </c>
      <c r="AL8" s="196">
        <f ca="1">SUMPRODUCT((VALUE($AD$10:$AD$21)&lt;=VALUE($AD$4))*(AL10:AL21))/SUMPRODUCT((VALUE('2022'!$AD$10:$AD$21)&lt;=VALUE($AD$3))*('2022'!AL10:AL21))</f>
        <v>0.10148601398601399</v>
      </c>
      <c r="AM8" s="197">
        <f ca="1">SUMPRODUCT((VALUE($AD$10:$AD$21)&lt;=VALUE($AD$4))*(AM10:AM21))/SUMPRODUCT((VALUE('2022'!$AD$10:$AD$21)&lt;=VALUE($AD$3))*('2022'!AM10:AM21))</f>
        <v>3.9354050753155109E-2</v>
      </c>
      <c r="AN8" s="197">
        <f ca="1">SUMPRODUCT((VALUE($AD$10:$AD$21)&lt;=VALUE($AD$4))*(AN10:AN21))/SUMPRODUCT((VALUE('2022'!$AD$10:$AD$21)&lt;=VALUE($AD$3))*('2022'!AN10:AN21))</f>
        <v>0.840548518017464</v>
      </c>
      <c r="AO8" s="197">
        <f ca="1">SUMPRODUCT((VALUE($AD$10:$AD$21)&lt;=VALUE($AD$4))*(AO10:AO21))/SUMPRODUCT((VALUE('2022'!$AD$10:$AD$21)&lt;=VALUE($AD$3))*('2022'!AO10:AO21))</f>
        <v>0.22052287581699345</v>
      </c>
      <c r="AP8" s="198">
        <f ca="1">SUMPRODUCT((VALUE($AD$10:$AD$21)&lt;=VALUE($AD$4))*(AP10:AP21))/SUMPRODUCT((VALUE('2022'!$AD$10:$AD$21)&lt;=VALUE($AD$3))*('2022'!AP10:AP21))</f>
        <v>0.49854319237735256</v>
      </c>
      <c r="AQ8" s="221">
        <f ca="1">SUMPRODUCT((VALUE($AD$10:$AD$21)&lt;=VALUE($AD$4))*(AQ10:AQ21))/SUMPRODUCT((VALUE('2022'!$AD$10:$AD$21)&lt;=VALUE($AD$3))*('2022'!AQ10:AQ21))</f>
        <v>6.0777194840577247</v>
      </c>
      <c r="AR8" s="197">
        <f ca="1">SUMPRODUCT((VALUE($AD$10:$AD$21)&lt;=VALUE($AD$4))*(AR10:AR21))/SUMPRODUCT((VALUE('2022'!$AD$10:$AD$21)&lt;=VALUE($AD$3))*('2022'!AR10:AR21))</f>
        <v>0.75241400120700064</v>
      </c>
      <c r="AS8" s="197">
        <f ca="1">SUMPRODUCT((VALUE($AD$10:$AD$21)&lt;=VALUE($AD$4))*(AS10:AS21))/SUMPRODUCT((VALUE('2022'!$AD$10:$AD$21)&lt;=VALUE($AD$3))*('2022'!AS10:AS21))</f>
        <v>7.9927845432746294E-2</v>
      </c>
      <c r="AT8" s="197">
        <f ca="1">SUMPRODUCT((VALUE($AD$10:$AD$21)&lt;=VALUE($AD$4))*(AT10:AT21))/SUMPRODUCT((VALUE('2022'!$AD$10:$AD$21)&lt;=VALUE($AD$3))*('2022'!AT10:AT21))</f>
        <v>0.94418678874559925</v>
      </c>
      <c r="AU8" s="198">
        <f ca="1">SUMPRODUCT((VALUE($AD$10:$AD$21)&lt;=VALUE($AD$4))*(AU10:AU21))/SUMPRODUCT((VALUE('2022'!$AD$10:$AD$21)&lt;=VALUE($AD$3))*('2022'!AU10:AU21))</f>
        <v>1.0196407516384998</v>
      </c>
    </row>
    <row r="9" spans="1:48" ht="18" thickBot="1" x14ac:dyDescent="0.3">
      <c r="A9" s="166" t="s">
        <v>188</v>
      </c>
      <c r="B9" s="167">
        <v>202601</v>
      </c>
      <c r="C9" s="275">
        <f>B9</f>
        <v>202601</v>
      </c>
      <c r="D9" s="94" t="s">
        <v>151</v>
      </c>
      <c r="E9" s="177" t="s">
        <v>252</v>
      </c>
      <c r="F9" s="60">
        <f>480+264+15+28+900+961+610+70+49+20+90+530+556+720+485+240+210+168+380+60+150+125+95+910+344+50+460+100</f>
        <v>9070</v>
      </c>
      <c r="G9" s="59">
        <v>500</v>
      </c>
      <c r="H9" s="59">
        <f>404+500</f>
        <v>904</v>
      </c>
      <c r="I9" s="60">
        <f>200+300+39</f>
        <v>539</v>
      </c>
      <c r="J9" s="59">
        <f>122+887+90+168+413+0+476+88+81+125+238</f>
        <v>2688</v>
      </c>
      <c r="K9" s="60"/>
      <c r="L9" s="60"/>
      <c r="M9" s="60">
        <f>85+110+310+95+141+1206+65</f>
        <v>2012</v>
      </c>
      <c r="N9" s="60"/>
      <c r="O9" s="60"/>
      <c r="P9" s="60">
        <f>210+500+238</f>
        <v>948</v>
      </c>
      <c r="Q9" s="60">
        <f>2000+2000+2000+2000</f>
        <v>8000</v>
      </c>
      <c r="R9" s="60"/>
      <c r="S9" s="44">
        <f t="shared" ref="S9:S25" si="3">SUM(F9:R9)</f>
        <v>24661</v>
      </c>
      <c r="T9" s="277">
        <f>SUM(S9:S15)</f>
        <v>97179</v>
      </c>
      <c r="V9" s="41" t="s">
        <v>188</v>
      </c>
      <c r="W9" s="41" t="str">
        <f>A1</f>
        <v>生活</v>
      </c>
      <c r="X9" s="41" t="s">
        <v>152</v>
      </c>
      <c r="Y9" s="41" t="str">
        <f>A3</f>
        <v>一次性支出</v>
      </c>
      <c r="Z9" s="41" t="s">
        <v>120</v>
      </c>
      <c r="AD9" s="41" t="s">
        <v>208</v>
      </c>
      <c r="AE9" s="193" t="s">
        <v>252</v>
      </c>
      <c r="AF9" s="194" t="s">
        <v>251</v>
      </c>
      <c r="AG9" s="194" t="s">
        <v>254</v>
      </c>
      <c r="AH9" s="195" t="s">
        <v>263</v>
      </c>
      <c r="AI9" s="194" t="s">
        <v>256</v>
      </c>
      <c r="AJ9" s="194" t="s">
        <v>257</v>
      </c>
      <c r="AK9" s="194" t="s">
        <v>255</v>
      </c>
      <c r="AL9" s="122" t="s">
        <v>200</v>
      </c>
      <c r="AM9" s="123" t="s">
        <v>201</v>
      </c>
      <c r="AN9" s="123" t="s">
        <v>202</v>
      </c>
      <c r="AO9" s="123" t="s">
        <v>203</v>
      </c>
      <c r="AP9" s="124" t="s">
        <v>198</v>
      </c>
      <c r="AQ9" s="123" t="s">
        <v>204</v>
      </c>
      <c r="AR9" s="123" t="s">
        <v>205</v>
      </c>
      <c r="AS9" s="123" t="s">
        <v>206</v>
      </c>
      <c r="AT9" s="123" t="s">
        <v>207</v>
      </c>
      <c r="AU9" s="124" t="s">
        <v>198</v>
      </c>
      <c r="AV9" s="158" t="s">
        <v>240</v>
      </c>
    </row>
    <row r="10" spans="1:48" ht="15" customHeight="1" thickBot="1" x14ac:dyDescent="0.3">
      <c r="A10" s="164" t="s">
        <v>247</v>
      </c>
      <c r="B10" s="162">
        <f>$J$2</f>
        <v>166666.66666666666</v>
      </c>
      <c r="C10" s="275"/>
      <c r="D10" s="95" t="s">
        <v>151</v>
      </c>
      <c r="E10" s="176" t="s">
        <v>251</v>
      </c>
      <c r="F10" s="79"/>
      <c r="G10" s="78"/>
      <c r="H10" s="78"/>
      <c r="I10" s="79"/>
      <c r="J10" s="78"/>
      <c r="K10" s="79"/>
      <c r="L10" s="79"/>
      <c r="M10" s="79">
        <v>399</v>
      </c>
      <c r="N10" s="79"/>
      <c r="O10" s="79"/>
      <c r="P10" s="79">
        <v>490</v>
      </c>
      <c r="Q10" s="79"/>
      <c r="R10" s="79"/>
      <c r="S10" s="80">
        <f t="shared" si="3"/>
        <v>889</v>
      </c>
      <c r="T10" s="278"/>
      <c r="V10" s="90">
        <f>$C$9</f>
        <v>202601</v>
      </c>
      <c r="W10" s="52">
        <f>T9</f>
        <v>97179</v>
      </c>
      <c r="X10" s="52">
        <f>T16</f>
        <v>2640</v>
      </c>
      <c r="Y10" s="52">
        <f>T21</f>
        <v>49093</v>
      </c>
      <c r="Z10" s="52">
        <f>W10+X10+Y10</f>
        <v>148912</v>
      </c>
      <c r="AD10" s="200">
        <f t="shared" ref="AD10:AD21" si="4">V10</f>
        <v>202601</v>
      </c>
      <c r="AE10" s="116">
        <f>SUMPRODUCT(($D$9:$D$25=$AE$6)*($E$9:$E$25=AE$9)*$S$9:$S$25)</f>
        <v>24661</v>
      </c>
      <c r="AF10" s="201">
        <f>SUMPRODUCT(($D$9:$D$25=$AE$6)*($E$9:$E$25=$AF$9)*$S$9:$S$25)</f>
        <v>889</v>
      </c>
      <c r="AG10" s="202">
        <f>SUMPRODUCT(($D$9:$D$25=$AE$6)*($E$9:$E$25=$AG$9)*$S$9:$S$25)</f>
        <v>16986</v>
      </c>
      <c r="AH10" s="203">
        <f>SUMPRODUCT(($D$9:$D$25=$AE$6)*($E$9:$E$25=$AH$9)*$S$9:$S$25)</f>
        <v>0</v>
      </c>
      <c r="AI10" s="201">
        <f>SUMPRODUCT(($D$9:$D$25=$AE$6)*($E$9:$E$25=$AI$9)*$S$9:$S$25)</f>
        <v>15356</v>
      </c>
      <c r="AJ10" s="203">
        <f>SUMPRODUCT(($D$9:$D$25=$AE$6)*($E$9:$E$25=$AJ$9)*$S$9:$S$25)</f>
        <v>18000</v>
      </c>
      <c r="AK10" s="117">
        <f>SUMPRODUCT(($D$9:$D$25=$AE$6)*($E$9:$E$25=$AK$9)*$S$9:$S$25)</f>
        <v>21287</v>
      </c>
      <c r="AL10" s="210">
        <f>SUMPRODUCT(($D$9:$D$25=$AL$6)*($E$9:$E$25=$AL$9)*$S$9:$S$25)</f>
        <v>1498</v>
      </c>
      <c r="AM10" s="211">
        <f>SUMPRODUCT(($D$9:$D$25=$AL$6)*($E$9:$E$25=$AM$9)*$S$9:$S$25)</f>
        <v>0</v>
      </c>
      <c r="AN10" s="211">
        <f>SUMPRODUCT(($D$9:$D$25=$AL$6)*($E$9:$E$25=$AN$9)*$S$9:$S$25)</f>
        <v>664</v>
      </c>
      <c r="AO10" s="211">
        <f>SUMPRODUCT(($D$9:$D$25=$AL$6)*($E$9:$E$25=$AO$9)*$S$9:$S$25)</f>
        <v>338</v>
      </c>
      <c r="AP10" s="212">
        <f>SUMPRODUCT(($D$9:$D$25=$AL$6)*($E$9:$E$25=$AP$9)*$S$9:$S$25)</f>
        <v>140</v>
      </c>
      <c r="AQ10" s="210">
        <f>SUMPRODUCT(($D$9:$D$25=$AQ$6)*($E$9:$E$25=$AQ$9)*$S$9:$S$25)</f>
        <v>33188</v>
      </c>
      <c r="AR10" s="211">
        <f>SUMPRODUCT(($D$9:$D$25=$AQ$6)*($E$9:$E$25=$AR$9)*$S$9:$S$25)</f>
        <v>2139</v>
      </c>
      <c r="AS10" s="211">
        <f>SUMPRODUCT(($D$9:$D$25=$AQ$6)*($E$9:$E$25=$AS$9)*$S$9:$S$25)</f>
        <v>6336</v>
      </c>
      <c r="AT10" s="211">
        <f>SUMPRODUCT(($D$9:$D$25=$AQ$6)*($E$9:$E$25=$AT$9)*$S$9:$S$25)</f>
        <v>7190</v>
      </c>
      <c r="AU10" s="212">
        <f>SUMPRODUCT(($D$9:$D$25=$AQ$6)*($E$9:$E$25=$AU$9)*$S$9:$S$25)</f>
        <v>240</v>
      </c>
      <c r="AV10" s="159">
        <f>SUM(AE10:AU10)</f>
        <v>148912</v>
      </c>
    </row>
    <row r="11" spans="1:48" ht="15" customHeight="1" thickTop="1" x14ac:dyDescent="0.25">
      <c r="A11" s="165" t="s">
        <v>237</v>
      </c>
      <c r="B11" s="182">
        <f>SUMPRODUCT((($V$10:$V$21)&lt;=VALUE(B9))*($Z$10:$Z$21))</f>
        <v>148912</v>
      </c>
      <c r="C11" s="275"/>
      <c r="D11" s="95" t="s">
        <v>151</v>
      </c>
      <c r="E11" s="176" t="s">
        <v>254</v>
      </c>
      <c r="F11" s="79">
        <f>3326</f>
        <v>3326</v>
      </c>
      <c r="G11" s="78"/>
      <c r="H11" s="78"/>
      <c r="I11" s="79">
        <f>133+2143</f>
        <v>2276</v>
      </c>
      <c r="J11" s="78">
        <v>593</v>
      </c>
      <c r="K11" s="79"/>
      <c r="L11" s="79"/>
      <c r="M11" s="79">
        <v>3487</v>
      </c>
      <c r="N11" s="79"/>
      <c r="O11" s="79"/>
      <c r="P11" s="79">
        <v>139</v>
      </c>
      <c r="Q11" s="79">
        <f>9491-7000+1376+959+839+1500</f>
        <v>7165</v>
      </c>
      <c r="R11" s="79"/>
      <c r="S11" s="80">
        <f t="shared" si="3"/>
        <v>16986</v>
      </c>
      <c r="T11" s="278"/>
      <c r="V11" s="90">
        <f>$C$28</f>
        <v>202602</v>
      </c>
      <c r="W11" s="52">
        <f>T28</f>
        <v>58231</v>
      </c>
      <c r="X11" s="52">
        <f>T35</f>
        <v>309</v>
      </c>
      <c r="Y11" s="52">
        <f>T40</f>
        <v>395049.69199999998</v>
      </c>
      <c r="Z11" s="52">
        <f t="shared" ref="Z11:Z21" si="5">W11+X11+Y11</f>
        <v>453589.69199999998</v>
      </c>
      <c r="AD11" s="200">
        <f t="shared" si="4"/>
        <v>202602</v>
      </c>
      <c r="AE11" s="116">
        <f t="shared" ref="AE11:AK11" si="6">SUMPRODUCT(($D$28:$D$44=$AE$6)*($E$28:$E$44=AE$9)*$S$28:$S$44)</f>
        <v>25456</v>
      </c>
      <c r="AF11" s="204">
        <f t="shared" si="6"/>
        <v>400</v>
      </c>
      <c r="AG11" s="117">
        <f t="shared" si="6"/>
        <v>6491</v>
      </c>
      <c r="AH11" s="205">
        <f t="shared" si="6"/>
        <v>250</v>
      </c>
      <c r="AI11" s="204">
        <f t="shared" si="6"/>
        <v>0</v>
      </c>
      <c r="AJ11" s="205">
        <f t="shared" si="6"/>
        <v>15867</v>
      </c>
      <c r="AK11" s="117">
        <f t="shared" si="6"/>
        <v>9767</v>
      </c>
      <c r="AL11" s="213">
        <f>SUMPRODUCT(($D$28:$D$44=$AL$6)*($E$28:$E$44=AL$9)*$S$28:$S$44)</f>
        <v>0</v>
      </c>
      <c r="AM11" s="208">
        <f>SUMPRODUCT(($D$28:$D$44=$AL$6)*($E$28:$E$44=AM$9)*$S$28:$S$44)</f>
        <v>0</v>
      </c>
      <c r="AN11" s="208">
        <f>SUMPRODUCT(($D$28:$D$44=$AL$6)*($E$28:$E$44=AN$9)*$S$28:$S$44)</f>
        <v>0</v>
      </c>
      <c r="AO11" s="208">
        <f>SUMPRODUCT(($D$28:$D$44=$AL$6)*($E$28:$E$44=AO$9)*$S$28:$S$44)</f>
        <v>90</v>
      </c>
      <c r="AP11" s="214">
        <f>SUMPRODUCT(($D$28:$D$44=$AL$6)*($E$28:$E$44=AP$9)*$S$28:$S$44)</f>
        <v>219</v>
      </c>
      <c r="AQ11" s="213">
        <f>SUMPRODUCT(($D$28:$D$44=$AQ$6)*($E$28:$E$44=AQ$9)*$S$28:$S$44)</f>
        <v>372084.69199999998</v>
      </c>
      <c r="AR11" s="208">
        <f>SUMPRODUCT(($D$28:$D$44=$AQ$6)*($E$28:$E$44=AR$9)*$S$28:$S$44)</f>
        <v>3190</v>
      </c>
      <c r="AS11" s="208">
        <f>SUMPRODUCT(($D$28:$D$44=$AQ$6)*($E$28:$E$44=AS$9)*$S$28:$S$44)</f>
        <v>0</v>
      </c>
      <c r="AT11" s="208">
        <f>SUMPRODUCT(($D$28:$D$44=$AQ$6)*($E$28:$E$44=AT$9)*$S$28:$S$44)</f>
        <v>3375</v>
      </c>
      <c r="AU11" s="214">
        <f>SUMPRODUCT(($D$28:$D$44=$AQ$6)*($E$28:$E$44=AU$9)*$S$28:$S$44)</f>
        <v>16400</v>
      </c>
      <c r="AV11" s="159">
        <f t="shared" ref="AV11:AV21" si="7">SUM(AE11:AU11)</f>
        <v>453589.69199999998</v>
      </c>
    </row>
    <row r="12" spans="1:48" ht="15" customHeight="1" x14ac:dyDescent="0.25">
      <c r="A12" s="165" t="s">
        <v>264</v>
      </c>
      <c r="B12" s="181">
        <f>B11/SUMPRODUCT(('2026'!$V$10:$V$21&lt;='2026'!B9)*'2022'!$Z$10:$Z$21)</f>
        <v>0.9622311107090471</v>
      </c>
      <c r="C12" s="275"/>
      <c r="D12" s="95" t="s">
        <v>151</v>
      </c>
      <c r="E12" s="176" t="s">
        <v>255</v>
      </c>
      <c r="F12" s="79">
        <f>100+698</f>
        <v>798</v>
      </c>
      <c r="G12" s="78"/>
      <c r="H12" s="78">
        <f>1262+25+500+1151+1311</f>
        <v>4249</v>
      </c>
      <c r="I12" s="79">
        <f>235+45+13039</f>
        <v>13319</v>
      </c>
      <c r="J12" s="78">
        <f>300+300+90</f>
        <v>690</v>
      </c>
      <c r="K12" s="79"/>
      <c r="L12" s="79"/>
      <c r="M12" s="79">
        <f>45+60+529</f>
        <v>634</v>
      </c>
      <c r="N12" s="79"/>
      <c r="O12" s="79">
        <f>100+100+100+100+100+100+100+300</f>
        <v>1000</v>
      </c>
      <c r="P12" s="79"/>
      <c r="Q12" s="79">
        <v>597</v>
      </c>
      <c r="R12" s="79"/>
      <c r="S12" s="80">
        <f t="shared" si="3"/>
        <v>21287</v>
      </c>
      <c r="T12" s="278"/>
      <c r="V12" s="90">
        <f>$C$47</f>
        <v>202603</v>
      </c>
      <c r="W12" s="52">
        <f>T47</f>
        <v>156908</v>
      </c>
      <c r="X12" s="52">
        <f>T54</f>
        <v>3999</v>
      </c>
      <c r="Y12" s="52">
        <f>T59</f>
        <v>23047</v>
      </c>
      <c r="Z12" s="52">
        <f t="shared" si="5"/>
        <v>183954</v>
      </c>
      <c r="AD12" s="200">
        <f t="shared" si="4"/>
        <v>202603</v>
      </c>
      <c r="AE12" s="116">
        <f t="shared" ref="AE12:AK12" si="8">SUMPRODUCT(($D$47:$D$63=$AE$6)*($E$47:$E$63=AE$9)*$S$47:$S$63)</f>
        <v>28348</v>
      </c>
      <c r="AF12" s="204">
        <f t="shared" si="8"/>
        <v>325</v>
      </c>
      <c r="AG12" s="117">
        <f t="shared" si="8"/>
        <v>18860</v>
      </c>
      <c r="AH12" s="205">
        <f t="shared" si="8"/>
        <v>366</v>
      </c>
      <c r="AI12" s="204">
        <f t="shared" si="8"/>
        <v>29349</v>
      </c>
      <c r="AJ12" s="205">
        <f t="shared" si="8"/>
        <v>62831</v>
      </c>
      <c r="AK12" s="117">
        <f t="shared" si="8"/>
        <v>16829</v>
      </c>
      <c r="AL12" s="213">
        <f>SUMPRODUCT(($D$47:$D$63=$AL$6)*($E$47:$E$63=AL$9)*$S$47:$S$63)</f>
        <v>300</v>
      </c>
      <c r="AM12" s="208">
        <f>SUMPRODUCT(($D$47:$D$63=$AL$6)*($E$47:$E$63=AM$9)*$S$47:$S$63)</f>
        <v>0</v>
      </c>
      <c r="AN12" s="208">
        <f>SUMPRODUCT(($D$47:$D$63=$AL$6)*($E$47:$E$63=AN$9)*$S$47:$S$63)</f>
        <v>699</v>
      </c>
      <c r="AO12" s="208">
        <f>SUMPRODUCT(($D$47:$D$63=$AL$6)*($E$47:$E$63=AO$9)*$S$47:$S$63)</f>
        <v>0</v>
      </c>
      <c r="AP12" s="214">
        <f>SUMPRODUCT(($D$47:$D$63=$AL$6)*($E$47:$E$63=AP$9)*$S$47:$S$63)</f>
        <v>3000</v>
      </c>
      <c r="AQ12" s="213">
        <f>SUMPRODUCT(($D$47:$D$63=$AQ$6)*($E$47:$E$63=AQ$9)*$S$47:$S$63)</f>
        <v>2442</v>
      </c>
      <c r="AR12" s="208">
        <f>SUMPRODUCT(($D$47:$D$63=$AQ$6)*($E$47:$E$63=AR$9)*$S$47:$S$63)</f>
        <v>0</v>
      </c>
      <c r="AS12" s="208">
        <f>SUMPRODUCT(($D$47:$D$63=$AQ$6)*($E$47:$E$63=AS$9)*$S$47:$S$63)</f>
        <v>11230</v>
      </c>
      <c r="AT12" s="208">
        <f>SUMPRODUCT(($D$47:$D$63=$AQ$6)*($E$47:$E$63=AT$9)*$S$47:$S$63)</f>
        <v>3375</v>
      </c>
      <c r="AU12" s="214">
        <f>SUMPRODUCT(($D$47:$D$63=$AQ$6)*($E$47:$E$63=AU$9)*$S$47:$S$63)</f>
        <v>6000</v>
      </c>
      <c r="AV12" s="159">
        <f t="shared" si="7"/>
        <v>183954</v>
      </c>
    </row>
    <row r="13" spans="1:48" ht="15" customHeight="1" x14ac:dyDescent="0.25">
      <c r="A13" s="165" t="s">
        <v>236</v>
      </c>
      <c r="B13" s="186">
        <f>B11-$K$2*VALUE(RIGHT(B9,2))/9</f>
        <v>148912</v>
      </c>
      <c r="C13" s="275"/>
      <c r="D13" s="96" t="s">
        <v>151</v>
      </c>
      <c r="E13" s="176" t="s">
        <v>256</v>
      </c>
      <c r="F13" s="79">
        <f>5100+1700+3700+3000+800+900</f>
        <v>15200</v>
      </c>
      <c r="G13" s="78"/>
      <c r="H13" s="78"/>
      <c r="I13" s="78"/>
      <c r="J13" s="78">
        <v>100</v>
      </c>
      <c r="K13" s="79"/>
      <c r="L13" s="79"/>
      <c r="M13" s="79">
        <v>56</v>
      </c>
      <c r="N13" s="79"/>
      <c r="O13" s="79"/>
      <c r="P13" s="79"/>
      <c r="Q13" s="79"/>
      <c r="R13" s="79"/>
      <c r="S13" s="80">
        <f t="shared" si="3"/>
        <v>15356</v>
      </c>
      <c r="T13" s="278"/>
      <c r="V13" s="90">
        <f>$C$66</f>
        <v>202604</v>
      </c>
      <c r="W13" s="52">
        <f>T66</f>
        <v>61428</v>
      </c>
      <c r="X13" s="52">
        <f>T73</f>
        <v>3268</v>
      </c>
      <c r="Y13" s="52">
        <f>T78</f>
        <v>69224</v>
      </c>
      <c r="Z13" s="52">
        <f t="shared" si="5"/>
        <v>133920</v>
      </c>
      <c r="AD13" s="200">
        <f t="shared" si="4"/>
        <v>202604</v>
      </c>
      <c r="AE13" s="116">
        <f t="shared" ref="AE13:AK13" si="9">SUMPRODUCT(($D$66:$D$82=$AE$6)*($E$66:$E$82=AE$9)*$S$66:$S$82)</f>
        <v>22616</v>
      </c>
      <c r="AF13" s="204">
        <f t="shared" si="9"/>
        <v>2678</v>
      </c>
      <c r="AG13" s="117">
        <f t="shared" si="9"/>
        <v>20930</v>
      </c>
      <c r="AH13" s="205">
        <f t="shared" si="9"/>
        <v>488</v>
      </c>
      <c r="AI13" s="204">
        <f t="shared" si="9"/>
        <v>6500</v>
      </c>
      <c r="AJ13" s="205">
        <f t="shared" si="9"/>
        <v>300</v>
      </c>
      <c r="AK13" s="117">
        <f t="shared" si="9"/>
        <v>7916</v>
      </c>
      <c r="AL13" s="213">
        <f>SUMPRODUCT(($D$66:$D$82=$AL$6)*($E$66:$E$82=AL$9)*$S$66:$S$82)</f>
        <v>0</v>
      </c>
      <c r="AM13" s="208">
        <f>SUMPRODUCT(($D$66:$D$82=$AL$6)*($E$66:$E$82=AM$9)*$S$66:$S$82)</f>
        <v>0</v>
      </c>
      <c r="AN13" s="208">
        <f>SUMPRODUCT(($D$66:$D$82=$AL$6)*($E$66:$E$82=AN$9)*$S$66:$S$82)</f>
        <v>334</v>
      </c>
      <c r="AO13" s="208">
        <f>SUMPRODUCT(($D$66:$D$82=$AL$6)*($E$66:$E$82=AO$9)*$S$66:$S$82)</f>
        <v>334</v>
      </c>
      <c r="AP13" s="214">
        <f>SUMPRODUCT(($D$66:$D$82=$AL$6)*($E$66:$E$82=AP$9)*$S$66:$S$82)</f>
        <v>2600</v>
      </c>
      <c r="AQ13" s="213">
        <f>SUMPRODUCT(($D$66:$D$82=$AQ$6)*($E$66:$E$82=AQ$9)*$S$66:$S$82)</f>
        <v>651</v>
      </c>
      <c r="AR13" s="208">
        <f>SUMPRODUCT(($D$66:$D$82=$AQ$6)*($E$66:$E$82=AR$9)*$S$66:$S$82)</f>
        <v>1882</v>
      </c>
      <c r="AS13" s="208">
        <f>SUMPRODUCT(($D$66:$D$82=$AQ$6)*($E$66:$E$82=AS$9)*$S$66:$S$82)</f>
        <v>2500</v>
      </c>
      <c r="AT13" s="208">
        <f>SUMPRODUCT(($D$66:$D$82=$AQ$6)*($E$66:$E$82=AT$9)*$S$66:$S$82)</f>
        <v>3375</v>
      </c>
      <c r="AU13" s="214">
        <f>SUMPRODUCT(($D$66:$D$82=$AQ$6)*($E$66:$E$82=AU$9)*$S$66:$S$82)</f>
        <v>60816</v>
      </c>
      <c r="AV13" s="159">
        <f t="shared" si="7"/>
        <v>133920</v>
      </c>
    </row>
    <row r="14" spans="1:48" ht="15" customHeight="1" x14ac:dyDescent="0.25">
      <c r="A14" s="164" t="s">
        <v>242</v>
      </c>
      <c r="B14" s="157">
        <f>B13/($J$2*12)</f>
        <v>7.4455999999999994E-2</v>
      </c>
      <c r="C14" s="275"/>
      <c r="D14" s="95" t="s">
        <v>151</v>
      </c>
      <c r="E14" s="176" t="s">
        <v>257</v>
      </c>
      <c r="F14" s="79">
        <f>18000</f>
        <v>18000</v>
      </c>
      <c r="G14" s="78"/>
      <c r="H14" s="78"/>
      <c r="I14" s="79"/>
      <c r="J14" s="78"/>
      <c r="K14" s="79"/>
      <c r="L14" s="79"/>
      <c r="M14" s="79"/>
      <c r="N14" s="79"/>
      <c r="O14" s="79"/>
      <c r="P14" s="79"/>
      <c r="Q14" s="79"/>
      <c r="R14" s="79"/>
      <c r="S14" s="80">
        <f>SUM(F14:R14)</f>
        <v>18000</v>
      </c>
      <c r="T14" s="278"/>
      <c r="V14" s="90">
        <f>$C$85</f>
        <v>202605</v>
      </c>
      <c r="W14" s="52">
        <f>T85</f>
        <v>81247</v>
      </c>
      <c r="X14" s="52">
        <f>T92</f>
        <v>6959</v>
      </c>
      <c r="Y14" s="52">
        <f>T97</f>
        <v>107937.16666666667</v>
      </c>
      <c r="Z14" s="52">
        <f t="shared" si="5"/>
        <v>196143.16666666669</v>
      </c>
      <c r="AD14" s="200">
        <f t="shared" si="4"/>
        <v>202605</v>
      </c>
      <c r="AE14" s="116">
        <f t="shared" ref="AE14:AK14" si="10">SUMPRODUCT(($D$85:$D$101=$AE$6)*($E$85:$E$101=AE$9)*$S$85:$S$101)</f>
        <v>26065</v>
      </c>
      <c r="AF14" s="204">
        <f t="shared" si="10"/>
        <v>0</v>
      </c>
      <c r="AG14" s="117">
        <f t="shared" si="10"/>
        <v>22014</v>
      </c>
      <c r="AH14" s="205">
        <f t="shared" si="10"/>
        <v>5305</v>
      </c>
      <c r="AI14" s="204">
        <f t="shared" si="10"/>
        <v>8500</v>
      </c>
      <c r="AJ14" s="205">
        <f t="shared" si="10"/>
        <v>12930</v>
      </c>
      <c r="AK14" s="117">
        <f t="shared" si="10"/>
        <v>6433</v>
      </c>
      <c r="AL14" s="213">
        <f>SUMPRODUCT(($D$85:$D$101=$AL$6)*($E$85:$E$101=AL$9)*$S$85:$S$101)</f>
        <v>5879</v>
      </c>
      <c r="AM14" s="208">
        <f>SUMPRODUCT(($D$85:$D$101=$AL$6)*($E$85:$E$101=AM$9)*$S$85:$S$101)</f>
        <v>1080</v>
      </c>
      <c r="AN14" s="208">
        <f>SUMPRODUCT(($D$85:$D$101=$AL$6)*($E$85:$E$101=AN$9)*$S$85:$S$101)</f>
        <v>0</v>
      </c>
      <c r="AO14" s="208">
        <f>SUMPRODUCT(($D$85:$D$101=$AL$6)*($E$85:$E$101=AO$9)*$S$85:$S$101)</f>
        <v>0</v>
      </c>
      <c r="AP14" s="214">
        <f>SUMPRODUCT(($D$85:$D$101=$AL$6)*($E$85:$E$101=AP$9)*$S$85:$S$101)</f>
        <v>0</v>
      </c>
      <c r="AQ14" s="213">
        <f>SUMPRODUCT(($D$85:$D$101=$AQ$6)*($E$85:$E$101=AQ$9)*$S$85:$S$101)</f>
        <v>90415.5</v>
      </c>
      <c r="AR14" s="208">
        <f>SUMPRODUCT(($D$85:$D$101=$AQ$6)*($E$85:$E$101=AR$9)*$S$85:$S$101)</f>
        <v>1000</v>
      </c>
      <c r="AS14" s="208">
        <f>SUMPRODUCT(($D$85:$D$101=$AQ$6)*($E$85:$E$101=AS$9)*$S$85:$S$101)</f>
        <v>6853</v>
      </c>
      <c r="AT14" s="208">
        <f>SUMPRODUCT(($D$85:$D$101=$AQ$6)*($E$85:$E$101=AT$9)*$S$85:$S$101)</f>
        <v>3375.6666666666665</v>
      </c>
      <c r="AU14" s="214">
        <f>SUMPRODUCT(($D$85:$D$101=$AQ$6)*($E$85:$E$101=AU$9)*$S$85:$S$101)</f>
        <v>6293</v>
      </c>
      <c r="AV14" s="159">
        <f t="shared" si="7"/>
        <v>196143.16666666666</v>
      </c>
    </row>
    <row r="15" spans="1:48" ht="15" customHeight="1" x14ac:dyDescent="0.25">
      <c r="A15" s="164" t="s">
        <v>241</v>
      </c>
      <c r="B15" s="126">
        <f>VALUE(RIGHT(B9,2))/12</f>
        <v>8.3333333333333329E-2</v>
      </c>
      <c r="C15" s="275"/>
      <c r="D15" s="95" t="s">
        <v>151</v>
      </c>
      <c r="E15" s="176" t="s">
        <v>263</v>
      </c>
      <c r="F15" s="78"/>
      <c r="G15" s="78"/>
      <c r="H15" s="78"/>
      <c r="I15" s="79"/>
      <c r="J15" s="78"/>
      <c r="K15" s="79"/>
      <c r="L15" s="79"/>
      <c r="M15" s="79"/>
      <c r="N15" s="79"/>
      <c r="O15" s="79"/>
      <c r="P15" s="79"/>
      <c r="Q15" s="79"/>
      <c r="R15" s="79"/>
      <c r="S15" s="80">
        <f>SUM(F15:R15)</f>
        <v>0</v>
      </c>
      <c r="T15" s="278"/>
      <c r="V15" s="90">
        <f>$C$104</f>
        <v>202606</v>
      </c>
      <c r="W15" s="52">
        <f>T104</f>
        <v>95046</v>
      </c>
      <c r="X15" s="52">
        <f>T111</f>
        <v>11569</v>
      </c>
      <c r="Y15" s="52">
        <f>T116</f>
        <v>4484.6666666666661</v>
      </c>
      <c r="Z15" s="52">
        <f t="shared" si="5"/>
        <v>111099.66666666667</v>
      </c>
      <c r="AD15" s="200">
        <f t="shared" si="4"/>
        <v>202606</v>
      </c>
      <c r="AE15" s="116">
        <f t="shared" ref="AE15:AK15" si="11">SUMPRODUCT(($D$104:$D$120=$AE$6)*($E$104:$E$120=AE$9)*$S$104:$S$120)</f>
        <v>32531</v>
      </c>
      <c r="AF15" s="204">
        <f t="shared" si="11"/>
        <v>490</v>
      </c>
      <c r="AG15" s="117">
        <f t="shared" si="11"/>
        <v>19215</v>
      </c>
      <c r="AH15" s="205">
        <f t="shared" si="11"/>
        <v>650</v>
      </c>
      <c r="AI15" s="204">
        <f t="shared" si="11"/>
        <v>22664</v>
      </c>
      <c r="AJ15" s="205">
        <f t="shared" si="11"/>
        <v>9438</v>
      </c>
      <c r="AK15" s="117">
        <f t="shared" si="11"/>
        <v>10058</v>
      </c>
      <c r="AL15" s="213">
        <f>SUMPRODUCT(($D$104:$D$120=$AL$6)*($E$104:$E$120=AL$9)*$S$104:$S$120)</f>
        <v>0</v>
      </c>
      <c r="AM15" s="208">
        <f>SUMPRODUCT(($D$104:$D$120=$AL$6)*($E$104:$E$120=AM$9)*$S$104:$S$120)</f>
        <v>1240</v>
      </c>
      <c r="AN15" s="208">
        <f>SUMPRODUCT(($D$104:$D$120=$AL$6)*($E$104:$E$120=AN$9)*$S$104:$S$120)</f>
        <v>9999</v>
      </c>
      <c r="AO15" s="208">
        <f>SUMPRODUCT(($D$104:$D$120=$AL$6)*($E$104:$E$120=AO$9)*$S$104:$S$120)</f>
        <v>330</v>
      </c>
      <c r="AP15" s="214">
        <f>SUMPRODUCT(($D$104:$D$120=$AL$6)*($E$104:$E$120=AP$9)*$S$104:$S$120)</f>
        <v>0</v>
      </c>
      <c r="AQ15" s="213">
        <f>SUMPRODUCT(($D$104:$D$120=$AQ$6)*($E$104:$E$120=AQ$9)*$S$104:$S$120)</f>
        <v>260</v>
      </c>
      <c r="AR15" s="208">
        <f>SUMPRODUCT(($D$104:$D$120=$AQ$6)*($E$104:$E$120=AR$9)*$S$104:$S$120)</f>
        <v>850</v>
      </c>
      <c r="AS15" s="208">
        <f>SUMPRODUCT(($D$104:$D$120=$AQ$6)*($E$104:$E$120=AS$9)*$S$104:$S$120)</f>
        <v>0</v>
      </c>
      <c r="AT15" s="208">
        <f>SUMPRODUCT(($D$104:$D$120=$AQ$6)*($E$104:$E$120=AT$9)*$S$104:$S$120)</f>
        <v>3374.6666666666665</v>
      </c>
      <c r="AU15" s="214">
        <f>SUMPRODUCT(($D$104:$D$120=$AQ$6)*($E$104:$E$120=AU$9)*$S$104:$S$120)</f>
        <v>0</v>
      </c>
      <c r="AV15" s="159">
        <f t="shared" si="7"/>
        <v>111099.66666666667</v>
      </c>
    </row>
    <row r="16" spans="1:48" ht="15" customHeight="1" x14ac:dyDescent="0.25">
      <c r="A16" s="164" t="s">
        <v>243</v>
      </c>
      <c r="B16" s="161">
        <f>B10*VALUE(RIGHT(B9,2))-B13</f>
        <v>17754.666666666657</v>
      </c>
      <c r="C16" s="275"/>
      <c r="D16" s="97" t="s">
        <v>152</v>
      </c>
      <c r="E16" s="97" t="s">
        <v>144</v>
      </c>
      <c r="F16" s="85">
        <f>398+250+250+300+300</f>
        <v>1498</v>
      </c>
      <c r="G16" s="85"/>
      <c r="H16" s="85"/>
      <c r="I16" s="46"/>
      <c r="J16" s="46"/>
      <c r="K16" s="46"/>
      <c r="L16" s="46"/>
      <c r="M16" s="89"/>
      <c r="N16" s="46"/>
      <c r="O16" s="89"/>
      <c r="P16" s="46"/>
      <c r="Q16" s="46"/>
      <c r="R16" s="46"/>
      <c r="S16" s="83">
        <f t="shared" si="3"/>
        <v>1498</v>
      </c>
      <c r="T16" s="280">
        <f>SUM(S16:S20)</f>
        <v>2640</v>
      </c>
      <c r="V16" s="90">
        <f>$C$123</f>
        <v>202607</v>
      </c>
      <c r="W16" s="52">
        <f>T123</f>
        <v>60595</v>
      </c>
      <c r="X16" s="52">
        <f>T130</f>
        <v>1428</v>
      </c>
      <c r="Y16" s="52">
        <f>T135</f>
        <v>227527.01666666666</v>
      </c>
      <c r="Z16" s="52">
        <f t="shared" si="5"/>
        <v>289550.01666666666</v>
      </c>
      <c r="AD16" s="200">
        <f t="shared" si="4"/>
        <v>202607</v>
      </c>
      <c r="AE16" s="116">
        <f t="shared" ref="AE16:AK16" si="12">SUMPRODUCT(($D$123:$D$139=$AE$6)*($E$123:$E$139=AE$9)*$S$123:$S$139)</f>
        <v>19984</v>
      </c>
      <c r="AF16" s="204">
        <f t="shared" si="12"/>
        <v>0</v>
      </c>
      <c r="AG16" s="117">
        <f t="shared" si="12"/>
        <v>25056</v>
      </c>
      <c r="AH16" s="205">
        <f t="shared" si="12"/>
        <v>0</v>
      </c>
      <c r="AI16" s="204">
        <f t="shared" si="12"/>
        <v>5215</v>
      </c>
      <c r="AJ16" s="205">
        <f t="shared" si="12"/>
        <v>6000</v>
      </c>
      <c r="AK16" s="117">
        <f t="shared" si="12"/>
        <v>4340</v>
      </c>
      <c r="AL16" s="213">
        <f>SUMPRODUCT(($D$123:$D$139=$AL$6)*($E$123:$E$139=AL$9)*$S$123:$S$139)</f>
        <v>450</v>
      </c>
      <c r="AM16" s="208">
        <f>SUMPRODUCT(($D$123:$D$139=$AL$6)*($E$123:$E$139=AM$9)*$S$123:$S$139)</f>
        <v>0</v>
      </c>
      <c r="AN16" s="208">
        <f>SUMPRODUCT(($D$123:$D$139=$AL$6)*($E$123:$E$139=AN$9)*$S$123:$S$139)</f>
        <v>473</v>
      </c>
      <c r="AO16" s="208">
        <f>SUMPRODUCT(($D$123:$D$139=$AL$6)*($E$123:$E$139=AO$9)*$S$123:$S$139)</f>
        <v>133</v>
      </c>
      <c r="AP16" s="214">
        <f>SUMPRODUCT(($D$123:$D$139=$AL$6)*($E$123:$E$139=AP$9)*$S$123:$S$139)</f>
        <v>372</v>
      </c>
      <c r="AQ16" s="213">
        <f>SUMPRODUCT(($D$123:$D$139=$AQ$6)*($E$123:$E$139=AQ$9)*$S$123:$S$139)</f>
        <v>214817.35</v>
      </c>
      <c r="AR16" s="208">
        <f>SUMPRODUCT(($D$123:$D$139=$AQ$6)*($E$123:$E$139=AR$9)*$S$123:$S$139)</f>
        <v>913</v>
      </c>
      <c r="AS16" s="208">
        <f>SUMPRODUCT(($D$123:$D$139=$AQ$6)*($E$123:$E$139=AS$9)*$S$123:$S$139)</f>
        <v>6180</v>
      </c>
      <c r="AT16" s="208">
        <f>SUMPRODUCT(($D$123:$D$139=$AQ$6)*($E$123:$E$139=AT$9)*$S$123:$S$139)</f>
        <v>3375.6666666666665</v>
      </c>
      <c r="AU16" s="214">
        <f>SUMPRODUCT(($D$123:$D$139=$AQ$6)*($E$123:$E$139=AU$9)*$S$123:$S$139)</f>
        <v>2241</v>
      </c>
      <c r="AV16" s="159">
        <f t="shared" si="7"/>
        <v>289550.01666666666</v>
      </c>
    </row>
    <row r="17" spans="1:48" ht="15" customHeight="1" x14ac:dyDescent="0.25">
      <c r="A17" s="164" t="s">
        <v>265</v>
      </c>
      <c r="B17" s="184">
        <f>$J$2-(S26-F23)</f>
        <v>24090.666666666657</v>
      </c>
      <c r="C17" s="275"/>
      <c r="D17" s="97" t="s">
        <v>152</v>
      </c>
      <c r="E17" s="97" t="s">
        <v>145</v>
      </c>
      <c r="F17" s="85"/>
      <c r="G17" s="46"/>
      <c r="H17" s="85"/>
      <c r="I17" s="46"/>
      <c r="J17" s="46"/>
      <c r="K17" s="46"/>
      <c r="L17" s="46"/>
      <c r="M17" s="46"/>
      <c r="N17" s="46"/>
      <c r="O17" s="89"/>
      <c r="P17" s="46"/>
      <c r="Q17" s="46"/>
      <c r="R17" s="46"/>
      <c r="S17" s="83">
        <f t="shared" si="3"/>
        <v>0</v>
      </c>
      <c r="T17" s="281"/>
      <c r="V17" s="90">
        <f>$C$142</f>
        <v>202608</v>
      </c>
      <c r="W17" s="52">
        <f>T142</f>
        <v>64393</v>
      </c>
      <c r="X17" s="52">
        <f>T149</f>
        <v>3649</v>
      </c>
      <c r="Y17" s="52">
        <f>T154</f>
        <v>8114.6666666666661</v>
      </c>
      <c r="Z17" s="52">
        <f t="shared" si="5"/>
        <v>76156.666666666672</v>
      </c>
      <c r="AD17" s="200">
        <f t="shared" si="4"/>
        <v>202608</v>
      </c>
      <c r="AE17" s="116">
        <f t="shared" ref="AE17:AK17" si="13">SUMPRODUCT(($D$142:$D$158=$AE$6)*($E$142:$E$158=AE$9)*$S$142:$S$158)</f>
        <v>15098</v>
      </c>
      <c r="AF17" s="204">
        <f t="shared" si="13"/>
        <v>0</v>
      </c>
      <c r="AG17" s="117">
        <f t="shared" si="13"/>
        <v>15876</v>
      </c>
      <c r="AH17" s="205">
        <f t="shared" si="13"/>
        <v>0</v>
      </c>
      <c r="AI17" s="204">
        <f t="shared" si="13"/>
        <v>7449</v>
      </c>
      <c r="AJ17" s="205">
        <f t="shared" si="13"/>
        <v>21000</v>
      </c>
      <c r="AK17" s="117">
        <f t="shared" si="13"/>
        <v>4970</v>
      </c>
      <c r="AL17" s="213">
        <f>SUMPRODUCT(($D$142:$D$158=$AL$6)*($E$142:$E$158=AL$9)*$S$142:$S$158)</f>
        <v>0</v>
      </c>
      <c r="AM17" s="208">
        <f>SUMPRODUCT(($D$142:$D$158=$AL$6)*($E$142:$E$158=AM$9)*$S$142:$S$158)</f>
        <v>0</v>
      </c>
      <c r="AN17" s="208">
        <f>SUMPRODUCT(($D$142:$D$158=$AL$6)*($E$142:$E$158=AN$9)*$S$142:$S$158)</f>
        <v>1500</v>
      </c>
      <c r="AO17" s="208">
        <f>SUMPRODUCT(($D$142:$D$158=$AL$6)*($E$142:$E$158=AO$9)*$S$142:$S$158)</f>
        <v>2149</v>
      </c>
      <c r="AP17" s="214">
        <f>SUMPRODUCT(($D$142:$D$158=$AL$6)*($E$142:$E$158=AP$9)*$S$142:$S$158)</f>
        <v>0</v>
      </c>
      <c r="AQ17" s="213">
        <f>SUMPRODUCT(($D$142:$D$158=$AQ$6)*($E$142:$E$158=AQ$9)*$S$142:$S$158)</f>
        <v>0</v>
      </c>
      <c r="AR17" s="208">
        <f>SUMPRODUCT(($D$142:$D$158=$AQ$6)*($E$142:$E$158=AR$9)*$S$142:$S$158)</f>
        <v>0</v>
      </c>
      <c r="AS17" s="208">
        <f>SUMPRODUCT(($D$142:$D$158=$AQ$6)*($E$142:$E$158=AS$9)*$S$142:$S$158)</f>
        <v>0</v>
      </c>
      <c r="AT17" s="208">
        <f>SUMPRODUCT(($D$142:$D$158=$AQ$6)*($E$142:$E$158=AT$9)*$S$142:$S$158)</f>
        <v>4114.6666666666661</v>
      </c>
      <c r="AU17" s="214">
        <f>SUMPRODUCT(($D$142:$D$158=$AQ$6)*($E$142:$E$158=AU$9)*$S$142:$S$158)</f>
        <v>4000</v>
      </c>
      <c r="AV17" s="159">
        <f t="shared" si="7"/>
        <v>76156.666666666672</v>
      </c>
    </row>
    <row r="18" spans="1:48" ht="15" customHeight="1" x14ac:dyDescent="0.25">
      <c r="C18" s="275"/>
      <c r="D18" s="97" t="s">
        <v>152</v>
      </c>
      <c r="E18" s="97" t="s">
        <v>146</v>
      </c>
      <c r="F18" s="86"/>
      <c r="G18" s="46"/>
      <c r="H18" s="87"/>
      <c r="I18" s="87">
        <f>330+330+4</f>
        <v>664</v>
      </c>
      <c r="J18" s="46"/>
      <c r="K18" s="46"/>
      <c r="L18" s="46"/>
      <c r="M18" s="46"/>
      <c r="N18" s="46"/>
      <c r="O18" s="46"/>
      <c r="P18" s="46"/>
      <c r="Q18" s="46"/>
      <c r="R18" s="46"/>
      <c r="S18" s="83">
        <f t="shared" si="3"/>
        <v>664</v>
      </c>
      <c r="T18" s="281"/>
      <c r="V18" s="90">
        <f>$C$161</f>
        <v>202609</v>
      </c>
      <c r="W18" s="52">
        <f>T161</f>
        <v>64413</v>
      </c>
      <c r="X18" s="52">
        <f>T168</f>
        <v>0</v>
      </c>
      <c r="Y18" s="52">
        <f>T173</f>
        <v>3375.6666666666665</v>
      </c>
      <c r="Z18" s="52">
        <f t="shared" si="5"/>
        <v>67788.666666666672</v>
      </c>
      <c r="AD18" s="200">
        <f t="shared" si="4"/>
        <v>202609</v>
      </c>
      <c r="AE18" s="110">
        <f t="shared" ref="AE18:AK18" si="14">SUMPRODUCT(($D$161:$D$177=$AE$6)*($E$161:$E$177=AE$9)*$S$161:$S$177)</f>
        <v>8000</v>
      </c>
      <c r="AF18" s="206">
        <f t="shared" si="14"/>
        <v>0</v>
      </c>
      <c r="AG18" s="111">
        <f t="shared" si="14"/>
        <v>15310</v>
      </c>
      <c r="AH18" s="207">
        <f t="shared" si="14"/>
        <v>0</v>
      </c>
      <c r="AI18" s="206">
        <f t="shared" si="14"/>
        <v>39808</v>
      </c>
      <c r="AJ18" s="207">
        <f t="shared" si="14"/>
        <v>0</v>
      </c>
      <c r="AK18" s="111">
        <f t="shared" si="14"/>
        <v>1295</v>
      </c>
      <c r="AL18" s="215">
        <f>SUMPRODUCT(($D$161:$D$177=$AL$6)*($E$161:$E$177=AL$9)*$S$161:$S$177)</f>
        <v>0</v>
      </c>
      <c r="AM18" s="209">
        <f>SUMPRODUCT(($D$161:$D$177=$AL$6)*($E$161:$E$177=AM$9)*$S$161:$S$177)</f>
        <v>0</v>
      </c>
      <c r="AN18" s="209">
        <f>SUMPRODUCT(($D$161:$D$177=$AL$6)*($E$161:$E$177=AN$9)*$S$161:$S$177)</f>
        <v>0</v>
      </c>
      <c r="AO18" s="209">
        <f>SUMPRODUCT(($D$161:$D$177=$AL$6)*($E$161:$E$177=AO$9)*$S$161:$S$177)</f>
        <v>0</v>
      </c>
      <c r="AP18" s="216">
        <f>SUMPRODUCT(($D$161:$D$177=$AL$6)*($E$161:$E$177=AP$9)*$S$161:$S$177)</f>
        <v>0</v>
      </c>
      <c r="AQ18" s="215">
        <f>SUMPRODUCT(($D$161:$D$177=$AQ$6)*($E$161:$E$177=AQ$9)*$S$161:$S$177)</f>
        <v>0</v>
      </c>
      <c r="AR18" s="209">
        <f>SUMPRODUCT(($D$161:$D$177=$AQ$6)*($E$161:$E$177=AR$9)*$S$161:$S$177)</f>
        <v>0</v>
      </c>
      <c r="AS18" s="209">
        <f>SUMPRODUCT(($D$161:$D$177=$AQ$6)*($E$161:$E$177=AS$9)*$S$161:$S$177)</f>
        <v>0</v>
      </c>
      <c r="AT18" s="209">
        <f>SUMPRODUCT(($D$161:$D$177=$AQ$6)*($E$161:$E$177=AT$9)*$S$161:$S$177)</f>
        <v>3375.6666666666665</v>
      </c>
      <c r="AU18" s="216">
        <f>SUMPRODUCT(($D$161:$D$177=$AQ$6)*($E$161:$E$177=AU$9)*$S$161:$S$177)</f>
        <v>0</v>
      </c>
      <c r="AV18" s="159">
        <f t="shared" si="7"/>
        <v>67788.666666666672</v>
      </c>
    </row>
    <row r="19" spans="1:48" ht="15" customHeight="1" x14ac:dyDescent="0.25">
      <c r="C19" s="275"/>
      <c r="D19" s="97" t="s">
        <v>152</v>
      </c>
      <c r="E19" s="97" t="s">
        <v>147</v>
      </c>
      <c r="F19" s="86"/>
      <c r="G19" s="46"/>
      <c r="H19" s="87"/>
      <c r="I19" s="87">
        <f>330+4+4</f>
        <v>338</v>
      </c>
      <c r="J19" s="46"/>
      <c r="K19" s="46"/>
      <c r="L19" s="46"/>
      <c r="M19" s="46"/>
      <c r="N19" s="46"/>
      <c r="O19" s="46"/>
      <c r="P19" s="46"/>
      <c r="Q19" s="46"/>
      <c r="R19" s="46"/>
      <c r="S19" s="83">
        <f t="shared" si="3"/>
        <v>338</v>
      </c>
      <c r="T19" s="281"/>
      <c r="V19" s="90">
        <f>$C$180</f>
        <v>202610</v>
      </c>
      <c r="W19" s="52">
        <f>T180</f>
        <v>64413</v>
      </c>
      <c r="X19" s="52">
        <f>T187</f>
        <v>0</v>
      </c>
      <c r="Y19" s="52">
        <f>T192</f>
        <v>3375.6666666666665</v>
      </c>
      <c r="Z19" s="52">
        <f t="shared" si="5"/>
        <v>67788.666666666672</v>
      </c>
      <c r="AD19" s="200">
        <f t="shared" si="4"/>
        <v>202610</v>
      </c>
      <c r="AE19" s="110">
        <f t="shared" ref="AE19:AK19" si="15">SUMPRODUCT(($D$180:$D$196=$AE$6)*($E$180:$E$196=AE$9)*$S$180:$S$196)</f>
        <v>8000</v>
      </c>
      <c r="AF19" s="206">
        <f t="shared" si="15"/>
        <v>0</v>
      </c>
      <c r="AG19" s="111">
        <f t="shared" si="15"/>
        <v>15310</v>
      </c>
      <c r="AH19" s="207">
        <f t="shared" si="15"/>
        <v>0</v>
      </c>
      <c r="AI19" s="206">
        <f t="shared" si="15"/>
        <v>39808</v>
      </c>
      <c r="AJ19" s="207">
        <f t="shared" si="15"/>
        <v>0</v>
      </c>
      <c r="AK19" s="111">
        <f t="shared" si="15"/>
        <v>1295</v>
      </c>
      <c r="AL19" s="215">
        <f>SUMPRODUCT(($D$180:$D$196=$AL$6)*($E$180:$E$196=AL$9)*$S$180:$S$196)</f>
        <v>0</v>
      </c>
      <c r="AM19" s="209">
        <f>SUMPRODUCT(($D$180:$D$196=$AL$6)*($E$180:$E$196=AM$9)*$S$180:$S$196)</f>
        <v>0</v>
      </c>
      <c r="AN19" s="209">
        <f>SUMPRODUCT(($D$180:$D$196=$AL$6)*($E$180:$E$196=AN$9)*$S$180:$S$196)</f>
        <v>0</v>
      </c>
      <c r="AO19" s="209">
        <f>SUMPRODUCT(($D$180:$D$196=$AL$6)*($E$180:$E$196=AO$9)*$S$180:$S$196)</f>
        <v>0</v>
      </c>
      <c r="AP19" s="216">
        <f>SUMPRODUCT(($D$180:$D$196=$AL$6)*($E$180:$E$196=AP$9)*$S$180:$S$196)</f>
        <v>0</v>
      </c>
      <c r="AQ19" s="215">
        <f>SUMPRODUCT(($D$180:$D$196=$AQ$6)*($E$180:$E$196=AQ$9)*$S$180:$S$196)</f>
        <v>0</v>
      </c>
      <c r="AR19" s="209">
        <f>SUMPRODUCT(($D$180:$D$196=$AQ$6)*($E$180:$E$196=AR$9)*$S$180:$S$196)</f>
        <v>0</v>
      </c>
      <c r="AS19" s="209">
        <f>SUMPRODUCT(($D$180:$D$196=$AQ$6)*($E$180:$E$196=AS$9)*$S$180:$S$196)</f>
        <v>0</v>
      </c>
      <c r="AT19" s="209">
        <f>SUMPRODUCT(($D$180:$D$196=$AQ$6)*($E$180:$E$196=AT$9)*$S$180:$S$196)</f>
        <v>3375.6666666666665</v>
      </c>
      <c r="AU19" s="216">
        <f>SUMPRODUCT(($D$180:$D$196=$AQ$6)*($E$180:$E$196=AU$9)*$S$180:$S$196)</f>
        <v>0</v>
      </c>
      <c r="AV19" s="159">
        <f t="shared" si="7"/>
        <v>67788.666666666672</v>
      </c>
    </row>
    <row r="20" spans="1:48" ht="15" customHeight="1" x14ac:dyDescent="0.25">
      <c r="B20" s="52"/>
      <c r="C20" s="275"/>
      <c r="D20" s="97" t="s">
        <v>152</v>
      </c>
      <c r="E20" s="97" t="s">
        <v>168</v>
      </c>
      <c r="F20" s="85">
        <v>140</v>
      </c>
      <c r="G20" s="85"/>
      <c r="H20" s="87"/>
      <c r="I20" s="87"/>
      <c r="J20" s="46"/>
      <c r="K20" s="46"/>
      <c r="L20" s="46"/>
      <c r="M20" s="46"/>
      <c r="N20" s="46"/>
      <c r="O20" s="46"/>
      <c r="P20" s="46"/>
      <c r="Q20" s="86"/>
      <c r="R20" s="46"/>
      <c r="S20" s="83">
        <f t="shared" si="3"/>
        <v>140</v>
      </c>
      <c r="T20" s="281"/>
      <c r="V20" s="90">
        <f>$C$199</f>
        <v>202611</v>
      </c>
      <c r="W20" s="52">
        <f>T199</f>
        <v>54920</v>
      </c>
      <c r="X20" s="52">
        <f>T206</f>
        <v>0</v>
      </c>
      <c r="Y20" s="52">
        <f>T211</f>
        <v>3375.6666666666665</v>
      </c>
      <c r="Z20" s="52">
        <f t="shared" si="5"/>
        <v>58295.666666666664</v>
      </c>
      <c r="AD20" s="200">
        <f t="shared" si="4"/>
        <v>202611</v>
      </c>
      <c r="AE20" s="110">
        <f t="shared" ref="AE20:AK20" si="16">SUMPRODUCT(($D$199:$D$215=$AE$6)*($E$199:$E$215=AE$9)*$S$199:$S$215)</f>
        <v>8000</v>
      </c>
      <c r="AF20" s="206">
        <f t="shared" si="16"/>
        <v>0</v>
      </c>
      <c r="AG20" s="111">
        <f t="shared" si="16"/>
        <v>5817</v>
      </c>
      <c r="AH20" s="207">
        <f t="shared" si="16"/>
        <v>0</v>
      </c>
      <c r="AI20" s="206">
        <f t="shared" si="16"/>
        <v>39808</v>
      </c>
      <c r="AJ20" s="207">
        <f t="shared" si="16"/>
        <v>0</v>
      </c>
      <c r="AK20" s="111">
        <f t="shared" si="16"/>
        <v>1295</v>
      </c>
      <c r="AL20" s="215">
        <f>SUMPRODUCT(($D$199:$D$215=$AL$6)*($E$199:$E$215=AL$9)*$S$199:$S$215)</f>
        <v>0</v>
      </c>
      <c r="AM20" s="209">
        <f>SUMPRODUCT(($D$199:$D$215=$AL$6)*($E$199:$E$215=AM$9)*$S$199:$S$215)</f>
        <v>0</v>
      </c>
      <c r="AN20" s="209">
        <f>SUMPRODUCT(($D$199:$D$215=$AL$6)*($E$199:$E$215=AN$9)*$S$199:$S$215)</f>
        <v>0</v>
      </c>
      <c r="AO20" s="209">
        <f>SUMPRODUCT(($D$199:$D$215=$AL$6)*($E$199:$E$215=AO$9)*$S$199:$S$215)</f>
        <v>0</v>
      </c>
      <c r="AP20" s="216">
        <f>SUMPRODUCT(($D$199:$D$215=$AL$6)*($E$199:$E$215=AP$9)*$S$199:$S$215)</f>
        <v>0</v>
      </c>
      <c r="AQ20" s="215">
        <f>SUMPRODUCT(($D$199:$D$215=$AQ$6)*($E$199:$E$215=AQ$9)*$S$199:$S$215)</f>
        <v>0</v>
      </c>
      <c r="AR20" s="209">
        <f>SUMPRODUCT(($D$199:$D$215=$AQ$6)*($E$199:$E$215=AR$9)*$S$199:$S$215)</f>
        <v>0</v>
      </c>
      <c r="AS20" s="209">
        <f>SUMPRODUCT(($D$199:$D$215=$AQ$6)*($E$199:$E$215=AS$9)*$S$199:$S$215)</f>
        <v>0</v>
      </c>
      <c r="AT20" s="209">
        <f>SUMPRODUCT(($D$199:$D$215=$AQ$6)*($E$199:$E$215=AT$9)*$S$199:$S$215)</f>
        <v>3375.6666666666665</v>
      </c>
      <c r="AU20" s="216">
        <f>SUMPRODUCT(($D$199:$D$215=$AQ$6)*($E$199:$E$215=AU$9)*$S$199:$S$215)</f>
        <v>0</v>
      </c>
      <c r="AV20" s="159">
        <f t="shared" si="7"/>
        <v>58295.666666666664</v>
      </c>
    </row>
    <row r="21" spans="1:48" ht="15" customHeight="1" thickBot="1" x14ac:dyDescent="0.3">
      <c r="C21" s="275"/>
      <c r="D21" s="98" t="s">
        <v>153</v>
      </c>
      <c r="E21" s="178" t="s">
        <v>258</v>
      </c>
      <c r="F21" s="81">
        <f>140+250+120+460+135</f>
        <v>1105</v>
      </c>
      <c r="G21" s="81"/>
      <c r="H21" s="81"/>
      <c r="I21" s="81"/>
      <c r="J21" s="81">
        <f>149+99+500+224</f>
        <v>972</v>
      </c>
      <c r="K21" s="81"/>
      <c r="L21" s="81"/>
      <c r="M21" s="81">
        <v>1286</v>
      </c>
      <c r="N21" s="81"/>
      <c r="O21" s="81">
        <f>(750+12)*32.5+5060</f>
        <v>29825</v>
      </c>
      <c r="P21" s="81"/>
      <c r="Q21" s="81"/>
      <c r="R21" s="81"/>
      <c r="S21" s="82">
        <f t="shared" si="3"/>
        <v>33188</v>
      </c>
      <c r="T21" s="282">
        <f>SUM(S21:S25)</f>
        <v>49093</v>
      </c>
      <c r="V21" s="90">
        <f>$C$218</f>
        <v>202612</v>
      </c>
      <c r="W21" s="52">
        <f>T218</f>
        <v>21612</v>
      </c>
      <c r="X21" s="52">
        <f>T225</f>
        <v>0</v>
      </c>
      <c r="Y21" s="52">
        <f>T230</f>
        <v>0</v>
      </c>
      <c r="Z21" s="52">
        <f t="shared" si="5"/>
        <v>21612</v>
      </c>
      <c r="AD21" s="200">
        <f t="shared" si="4"/>
        <v>202612</v>
      </c>
      <c r="AE21" s="113">
        <f t="shared" ref="AE21:AK21" si="17">SUMPRODUCT(($D$218:$D$234=$AE$6)*($E$218:$E$234=AE$9)*$S$218:$S$234)</f>
        <v>8000</v>
      </c>
      <c r="AF21" s="222">
        <f t="shared" si="17"/>
        <v>0</v>
      </c>
      <c r="AG21" s="114">
        <f t="shared" si="17"/>
        <v>5817</v>
      </c>
      <c r="AH21" s="223">
        <f t="shared" si="17"/>
        <v>0</v>
      </c>
      <c r="AI21" s="222">
        <f t="shared" si="17"/>
        <v>6500</v>
      </c>
      <c r="AJ21" s="223">
        <f t="shared" si="17"/>
        <v>0</v>
      </c>
      <c r="AK21" s="114">
        <f t="shared" si="17"/>
        <v>1295</v>
      </c>
      <c r="AL21" s="217">
        <f>SUMPRODUCT(($D$218:$D$234=$AL$6)*($E$218:$E$234=AL$9)*$S$218:$S$234)</f>
        <v>0</v>
      </c>
      <c r="AM21" s="218">
        <f>SUMPRODUCT(($D$218:$D$234=$AL$6)*($E$218:$E$234=AM$9)*$S$218:$S$234)</f>
        <v>0</v>
      </c>
      <c r="AN21" s="218">
        <f>SUMPRODUCT(($D$218:$D$234=$AL$6)*($E$218:$E$234=AN$9)*$S$218:$S$234)</f>
        <v>0</v>
      </c>
      <c r="AO21" s="218">
        <f>SUMPRODUCT(($D$218:$D$234=$AL$6)*($E$218:$E$234=AO$9)*$S$218:$S$234)</f>
        <v>0</v>
      </c>
      <c r="AP21" s="219">
        <f>SUMPRODUCT(($D$218:$D$234=$AL$6)*($E$218:$E$234=AP$9)*$S$218:$S$234)</f>
        <v>0</v>
      </c>
      <c r="AQ21" s="217">
        <f>SUMPRODUCT(($D$218:$D$234=$AQ$6)*($E$218:$E$234=AQ$9)*$S$218:$S$234)</f>
        <v>0</v>
      </c>
      <c r="AR21" s="218">
        <f>SUMPRODUCT(($D$218:$D$234=$AQ$6)*($E$218:$E$234=AR$9)*$S$218:$S$234)</f>
        <v>0</v>
      </c>
      <c r="AS21" s="218">
        <f>SUMPRODUCT(($D$218:$D$234=$AQ$6)*($E$218:$E$234=AS$9)*$S$218:$S$234)</f>
        <v>0</v>
      </c>
      <c r="AT21" s="218">
        <f>SUMPRODUCT(($D$218:$D$234=$AQ$6)*($E$218:$E$234=AT$9)*$S$218:$S$234)</f>
        <v>0</v>
      </c>
      <c r="AU21" s="219">
        <f>SUMPRODUCT(($D$218:$D$234=$AQ$6)*($E$218:$E$234=AU$9)*$S$218:$S$234)</f>
        <v>0</v>
      </c>
      <c r="AV21" s="159">
        <f t="shared" si="7"/>
        <v>21612</v>
      </c>
    </row>
    <row r="22" spans="1:48" ht="15" customHeight="1" x14ac:dyDescent="0.25">
      <c r="C22" s="275"/>
      <c r="D22" s="99" t="s">
        <v>153</v>
      </c>
      <c r="E22" s="137" t="s">
        <v>143</v>
      </c>
      <c r="F22" s="82"/>
      <c r="G22" s="82"/>
      <c r="H22" s="82"/>
      <c r="I22" s="82"/>
      <c r="J22" s="82">
        <v>1559</v>
      </c>
      <c r="K22" s="82"/>
      <c r="L22" s="82"/>
      <c r="M22" s="82">
        <f>580</f>
        <v>580</v>
      </c>
      <c r="N22" s="82"/>
      <c r="O22" s="82"/>
      <c r="P22" s="82"/>
      <c r="Q22" s="82"/>
      <c r="R22" s="82"/>
      <c r="S22" s="82">
        <f t="shared" si="3"/>
        <v>2139</v>
      </c>
      <c r="T22" s="283"/>
      <c r="AD22" s="90"/>
      <c r="AF22" s="52"/>
    </row>
    <row r="23" spans="1:48" ht="15" customHeight="1" x14ac:dyDescent="0.25">
      <c r="C23" s="275"/>
      <c r="D23" s="99" t="s">
        <v>153</v>
      </c>
      <c r="E23" s="99" t="s">
        <v>172</v>
      </c>
      <c r="F23" s="82">
        <v>6336</v>
      </c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>
        <f t="shared" si="3"/>
        <v>6336</v>
      </c>
      <c r="T23" s="283"/>
      <c r="AF23" s="52"/>
    </row>
    <row r="24" spans="1:48" s="41" customFormat="1" ht="15" customHeight="1" x14ac:dyDescent="0.25">
      <c r="B24" s="45"/>
      <c r="C24" s="276"/>
      <c r="D24" s="99" t="s">
        <v>153</v>
      </c>
      <c r="E24" s="99" t="s">
        <v>173</v>
      </c>
      <c r="F24" s="82">
        <v>3815</v>
      </c>
      <c r="G24" s="82"/>
      <c r="H24" s="82"/>
      <c r="I24" s="82"/>
      <c r="J24" s="82"/>
      <c r="K24" s="180"/>
      <c r="L24" s="82"/>
      <c r="M24" s="82"/>
      <c r="N24" s="82"/>
      <c r="O24" s="82"/>
      <c r="P24" s="82"/>
      <c r="Q24" s="82">
        <v>3375</v>
      </c>
      <c r="R24" s="82"/>
      <c r="S24" s="82">
        <f t="shared" si="3"/>
        <v>7190</v>
      </c>
      <c r="T24" s="283"/>
      <c r="AF24" s="52"/>
    </row>
    <row r="25" spans="1:48" ht="15.75" customHeight="1" thickBot="1" x14ac:dyDescent="0.3">
      <c r="C25" s="276"/>
      <c r="D25" s="100" t="s">
        <v>153</v>
      </c>
      <c r="E25" s="100" t="s">
        <v>168</v>
      </c>
      <c r="F25" s="48">
        <v>240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>
        <f t="shared" si="3"/>
        <v>240</v>
      </c>
      <c r="T25" s="283"/>
      <c r="AF25" s="52"/>
    </row>
    <row r="26" spans="1:48" ht="15" customHeight="1" x14ac:dyDescent="0.25">
      <c r="D26" s="101" t="s">
        <v>120</v>
      </c>
      <c r="E26" s="101" t="s">
        <v>120</v>
      </c>
      <c r="F26" s="64">
        <f t="shared" ref="F26:S26" si="18">SUM(F9:F25)</f>
        <v>59528</v>
      </c>
      <c r="G26" s="64">
        <f t="shared" si="18"/>
        <v>500</v>
      </c>
      <c r="H26" s="64">
        <f t="shared" si="18"/>
        <v>5153</v>
      </c>
      <c r="I26" s="64">
        <f t="shared" si="18"/>
        <v>17136</v>
      </c>
      <c r="J26" s="64">
        <f t="shared" si="18"/>
        <v>6602</v>
      </c>
      <c r="K26" s="64">
        <f t="shared" si="18"/>
        <v>0</v>
      </c>
      <c r="L26" s="64">
        <f t="shared" si="18"/>
        <v>0</v>
      </c>
      <c r="M26" s="64">
        <f t="shared" si="18"/>
        <v>8454</v>
      </c>
      <c r="N26" s="64">
        <f t="shared" si="18"/>
        <v>0</v>
      </c>
      <c r="O26" s="64">
        <f t="shared" si="18"/>
        <v>30825</v>
      </c>
      <c r="P26" s="64">
        <f t="shared" si="18"/>
        <v>1577</v>
      </c>
      <c r="Q26" s="64">
        <f t="shared" si="18"/>
        <v>19137</v>
      </c>
      <c r="R26" s="64">
        <f t="shared" si="18"/>
        <v>0</v>
      </c>
      <c r="S26" s="54">
        <f t="shared" si="18"/>
        <v>148912</v>
      </c>
      <c r="AF26" s="52"/>
    </row>
    <row r="27" spans="1:48" ht="15.75" customHeight="1" thickBot="1" x14ac:dyDescent="0.3">
      <c r="D27" s="101"/>
      <c r="E27" s="101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50"/>
      <c r="AE27" s="52"/>
    </row>
    <row r="28" spans="1:48" ht="17.25" x14ac:dyDescent="0.25">
      <c r="A28" s="166" t="s">
        <v>188</v>
      </c>
      <c r="B28" s="167">
        <f>B9+1</f>
        <v>202602</v>
      </c>
      <c r="C28" s="275">
        <f>B28</f>
        <v>202602</v>
      </c>
      <c r="D28" s="94" t="s">
        <v>151</v>
      </c>
      <c r="E28" s="177" t="s">
        <v>252</v>
      </c>
      <c r="F28" s="60">
        <f>28+265+50+760+240+60+250+134+110+160+179+60+90+70+700+130+80+100+303+159+120+318+360+130+520+60+120+1000+120</f>
        <v>6676</v>
      </c>
      <c r="G28" s="59"/>
      <c r="H28" s="59">
        <f>4000+62+208+270</f>
        <v>4540</v>
      </c>
      <c r="I28" s="60">
        <f>138+318+614-235+440+614-235</f>
        <v>1654</v>
      </c>
      <c r="J28" s="59">
        <f>159+60+500</f>
        <v>719</v>
      </c>
      <c r="K28" s="60"/>
      <c r="L28" s="60">
        <v>78</v>
      </c>
      <c r="M28" s="60">
        <f>240+500+120+1196+510+70+500-500</f>
        <v>2636</v>
      </c>
      <c r="N28" s="60"/>
      <c r="O28" s="60">
        <f>62+2681+2527-5000</f>
        <v>270</v>
      </c>
      <c r="P28" s="60">
        <f>287+96+500</f>
        <v>883</v>
      </c>
      <c r="Q28" s="60">
        <f>2000+2000+2000+2000</f>
        <v>8000</v>
      </c>
      <c r="R28" s="60"/>
      <c r="S28" s="44">
        <f t="shared" ref="S28:S44" si="19">SUM(F28:R28)</f>
        <v>25456</v>
      </c>
      <c r="T28" s="277">
        <f>SUM(S28:S34)</f>
        <v>58231</v>
      </c>
    </row>
    <row r="29" spans="1:48" ht="15" customHeight="1" thickBot="1" x14ac:dyDescent="0.3">
      <c r="A29" s="164" t="s">
        <v>247</v>
      </c>
      <c r="B29" s="162">
        <f>$J$2</f>
        <v>166666.66666666666</v>
      </c>
      <c r="C29" s="275"/>
      <c r="D29" s="95" t="s">
        <v>151</v>
      </c>
      <c r="E29" s="176" t="s">
        <v>251</v>
      </c>
      <c r="F29" s="79">
        <v>400</v>
      </c>
      <c r="G29" s="78"/>
      <c r="H29" s="78"/>
      <c r="I29" s="79"/>
      <c r="J29" s="78"/>
      <c r="K29" s="79"/>
      <c r="L29" s="79"/>
      <c r="M29" s="79"/>
      <c r="N29" s="79"/>
      <c r="O29" s="79"/>
      <c r="P29" s="79"/>
      <c r="Q29" s="79"/>
      <c r="R29" s="79"/>
      <c r="S29" s="80">
        <f t="shared" si="19"/>
        <v>400</v>
      </c>
      <c r="T29" s="278"/>
    </row>
    <row r="30" spans="1:48" ht="15" customHeight="1" thickTop="1" x14ac:dyDescent="0.25">
      <c r="A30" s="165" t="s">
        <v>237</v>
      </c>
      <c r="B30" s="182">
        <f>SUMPRODUCT((($V$10:$V$21)&lt;=VALUE(B28))*($Z$10:$Z$21))</f>
        <v>602501.69200000004</v>
      </c>
      <c r="C30" s="275"/>
      <c r="D30" s="95" t="s">
        <v>151</v>
      </c>
      <c r="E30" s="176" t="s">
        <v>254</v>
      </c>
      <c r="F30" s="79">
        <v>3326</v>
      </c>
      <c r="G30" s="78"/>
      <c r="H30" s="78"/>
      <c r="I30" s="79"/>
      <c r="J30" s="78"/>
      <c r="K30" s="79"/>
      <c r="L30" s="79"/>
      <c r="M30" s="79">
        <v>174</v>
      </c>
      <c r="N30" s="79"/>
      <c r="O30" s="79"/>
      <c r="P30" s="79">
        <v>500</v>
      </c>
      <c r="Q30" s="79">
        <f>9491-7000</f>
        <v>2491</v>
      </c>
      <c r="R30" s="79"/>
      <c r="S30" s="80">
        <f t="shared" si="19"/>
        <v>6491</v>
      </c>
      <c r="T30" s="278"/>
    </row>
    <row r="31" spans="1:48" ht="15" customHeight="1" x14ac:dyDescent="0.25">
      <c r="A31" s="165" t="s">
        <v>264</v>
      </c>
      <c r="B31" s="181">
        <f>B30/SUMPRODUCT(('2026'!$V$10:$V$21&lt;='2026'!B28)*'2022'!$Z$10:$Z$21)</f>
        <v>1.7997266573867745</v>
      </c>
      <c r="C31" s="275"/>
      <c r="D31" s="95" t="s">
        <v>151</v>
      </c>
      <c r="E31" s="176" t="s">
        <v>255</v>
      </c>
      <c r="F31" s="79">
        <f>100+60+100+160*4+698</f>
        <v>1598</v>
      </c>
      <c r="G31" s="78">
        <v>1137</v>
      </c>
      <c r="H31" s="78">
        <f>100+200+60+15+26+241+400+100+160</f>
        <v>1302</v>
      </c>
      <c r="I31" s="79">
        <v>100</v>
      </c>
      <c r="J31" s="78">
        <f>1010+1300+76</f>
        <v>2386</v>
      </c>
      <c r="K31" s="79">
        <v>500</v>
      </c>
      <c r="L31" s="79"/>
      <c r="M31" s="79">
        <f>60+765+529</f>
        <v>1354</v>
      </c>
      <c r="N31" s="79"/>
      <c r="O31" s="79">
        <v>60</v>
      </c>
      <c r="P31" s="79">
        <v>733</v>
      </c>
      <c r="Q31" s="79">
        <v>597</v>
      </c>
      <c r="R31" s="79"/>
      <c r="S31" s="80">
        <f t="shared" si="19"/>
        <v>9767</v>
      </c>
      <c r="T31" s="278"/>
    </row>
    <row r="32" spans="1:48" ht="15" customHeight="1" x14ac:dyDescent="0.25">
      <c r="A32" s="165" t="s">
        <v>236</v>
      </c>
      <c r="B32" s="186">
        <f>B30-$K$2*VALUE(RIGHT(B28,2))/9</f>
        <v>602501.69200000004</v>
      </c>
      <c r="C32" s="275"/>
      <c r="D32" s="96" t="s">
        <v>151</v>
      </c>
      <c r="E32" s="176" t="s">
        <v>256</v>
      </c>
      <c r="F32" s="79"/>
      <c r="G32" s="78"/>
      <c r="H32" s="78"/>
      <c r="I32" s="78"/>
      <c r="J32" s="78"/>
      <c r="K32" s="79"/>
      <c r="L32" s="79"/>
      <c r="M32" s="79"/>
      <c r="N32" s="79"/>
      <c r="O32" s="79"/>
      <c r="P32" s="79"/>
      <c r="Q32" s="79"/>
      <c r="R32" s="79"/>
      <c r="S32" s="80">
        <f t="shared" si="19"/>
        <v>0</v>
      </c>
      <c r="T32" s="278"/>
    </row>
    <row r="33" spans="1:31" ht="15" customHeight="1" x14ac:dyDescent="0.25">
      <c r="A33" s="164" t="s">
        <v>242</v>
      </c>
      <c r="B33" s="157">
        <f>B32/($J$2*12)</f>
        <v>0.30125084600000002</v>
      </c>
      <c r="C33" s="275"/>
      <c r="D33" s="95" t="s">
        <v>151</v>
      </c>
      <c r="E33" s="176" t="s">
        <v>257</v>
      </c>
      <c r="F33" s="79">
        <f>5000*2+5867</f>
        <v>15867</v>
      </c>
      <c r="G33" s="78"/>
      <c r="H33" s="78"/>
      <c r="I33" s="79"/>
      <c r="J33" s="78"/>
      <c r="K33" s="79"/>
      <c r="L33" s="79"/>
      <c r="M33" s="79"/>
      <c r="N33" s="79"/>
      <c r="O33" s="79"/>
      <c r="P33" s="79"/>
      <c r="Q33" s="79"/>
      <c r="R33" s="79"/>
      <c r="S33" s="80">
        <f t="shared" si="19"/>
        <v>15867</v>
      </c>
      <c r="T33" s="278"/>
    </row>
    <row r="34" spans="1:31" ht="15" customHeight="1" x14ac:dyDescent="0.25">
      <c r="A34" s="164" t="s">
        <v>241</v>
      </c>
      <c r="B34" s="126">
        <f>VALUE(RIGHT(B28,2))/12</f>
        <v>0.16666666666666666</v>
      </c>
      <c r="C34" s="275"/>
      <c r="D34" s="95" t="s">
        <v>151</v>
      </c>
      <c r="E34" s="176" t="s">
        <v>263</v>
      </c>
      <c r="F34" s="78">
        <v>250</v>
      </c>
      <c r="G34" s="78"/>
      <c r="H34" s="78"/>
      <c r="I34" s="79"/>
      <c r="J34" s="78"/>
      <c r="K34" s="79"/>
      <c r="L34" s="79"/>
      <c r="M34" s="79"/>
      <c r="N34" s="79"/>
      <c r="O34" s="79"/>
      <c r="P34" s="79"/>
      <c r="Q34" s="79"/>
      <c r="R34" s="79"/>
      <c r="S34" s="80">
        <f t="shared" si="19"/>
        <v>250</v>
      </c>
      <c r="T34" s="276"/>
    </row>
    <row r="35" spans="1:31" ht="15" customHeight="1" x14ac:dyDescent="0.25">
      <c r="A35" s="164" t="s">
        <v>243</v>
      </c>
      <c r="B35" s="161">
        <f>B29*VALUE(RIGHT(B28,2))-B32</f>
        <v>-269168.35866666673</v>
      </c>
      <c r="C35" s="275"/>
      <c r="D35" s="97" t="s">
        <v>152</v>
      </c>
      <c r="E35" s="97" t="s">
        <v>144</v>
      </c>
      <c r="F35" s="85"/>
      <c r="G35" s="46"/>
      <c r="H35" s="85"/>
      <c r="I35" s="146"/>
      <c r="J35" s="46"/>
      <c r="K35" s="46"/>
      <c r="L35" s="89"/>
      <c r="M35" s="89"/>
      <c r="N35" s="46"/>
      <c r="O35" s="46"/>
      <c r="P35" s="46"/>
      <c r="Q35" s="46"/>
      <c r="R35" s="46"/>
      <c r="S35" s="83">
        <f t="shared" si="19"/>
        <v>0</v>
      </c>
      <c r="T35" s="280">
        <f>SUM(S35:S39)</f>
        <v>309</v>
      </c>
    </row>
    <row r="36" spans="1:31" ht="15" customHeight="1" x14ac:dyDescent="0.25">
      <c r="A36" s="164" t="s">
        <v>265</v>
      </c>
      <c r="B36" s="184">
        <f>$J$2-(S45-F42)</f>
        <v>-286923.02533333329</v>
      </c>
      <c r="C36" s="275"/>
      <c r="D36" s="97" t="s">
        <v>152</v>
      </c>
      <c r="E36" s="97" t="s">
        <v>145</v>
      </c>
      <c r="F36" s="89"/>
      <c r="G36" s="46"/>
      <c r="H36" s="85"/>
      <c r="I36" s="85"/>
      <c r="J36" s="46"/>
      <c r="K36" s="46"/>
      <c r="L36" s="46"/>
      <c r="M36" s="89"/>
      <c r="N36" s="46"/>
      <c r="O36" s="46"/>
      <c r="P36" s="46"/>
      <c r="Q36" s="46"/>
      <c r="R36" s="46"/>
      <c r="S36" s="83">
        <f t="shared" si="19"/>
        <v>0</v>
      </c>
      <c r="T36" s="281"/>
    </row>
    <row r="37" spans="1:31" ht="15" customHeight="1" x14ac:dyDescent="0.25">
      <c r="C37" s="275"/>
      <c r="D37" s="97" t="s">
        <v>152</v>
      </c>
      <c r="E37" s="97" t="s">
        <v>146</v>
      </c>
      <c r="F37" s="86"/>
      <c r="G37" s="46"/>
      <c r="H37" s="87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83">
        <f t="shared" si="19"/>
        <v>0</v>
      </c>
      <c r="T37" s="281"/>
    </row>
    <row r="38" spans="1:31" ht="15" customHeight="1" x14ac:dyDescent="0.25">
      <c r="C38" s="275"/>
      <c r="D38" s="97" t="s">
        <v>152</v>
      </c>
      <c r="E38" s="97" t="s">
        <v>147</v>
      </c>
      <c r="F38" s="85">
        <v>90</v>
      </c>
      <c r="G38" s="46"/>
      <c r="H38" s="87"/>
      <c r="I38" s="85"/>
      <c r="J38" s="46"/>
      <c r="K38" s="46"/>
      <c r="L38" s="46"/>
      <c r="M38" s="46"/>
      <c r="N38" s="46"/>
      <c r="O38" s="46"/>
      <c r="P38" s="46"/>
      <c r="Q38" s="46"/>
      <c r="R38" s="46"/>
      <c r="S38" s="83">
        <f t="shared" si="19"/>
        <v>90</v>
      </c>
      <c r="T38" s="281"/>
    </row>
    <row r="39" spans="1:31" ht="15" customHeight="1" x14ac:dyDescent="0.25">
      <c r="C39" s="275"/>
      <c r="D39" s="97" t="s">
        <v>152</v>
      </c>
      <c r="E39" s="97" t="s">
        <v>168</v>
      </c>
      <c r="F39" s="85"/>
      <c r="G39" s="46"/>
      <c r="H39" s="46"/>
      <c r="I39" s="46"/>
      <c r="J39" s="46"/>
      <c r="K39" s="46"/>
      <c r="L39" s="46"/>
      <c r="M39" s="89">
        <v>219</v>
      </c>
      <c r="N39" s="46"/>
      <c r="O39" s="46"/>
      <c r="P39" s="46"/>
      <c r="Q39" s="46"/>
      <c r="R39" s="46"/>
      <c r="S39" s="83">
        <f t="shared" si="19"/>
        <v>219</v>
      </c>
      <c r="T39" s="281"/>
    </row>
    <row r="40" spans="1:31" ht="15" customHeight="1" x14ac:dyDescent="0.25">
      <c r="C40" s="275"/>
      <c r="D40" s="98" t="s">
        <v>153</v>
      </c>
      <c r="E40" s="98" t="s">
        <v>170</v>
      </c>
      <c r="F40" s="81">
        <f>5033+14300+438+386+25948*0.202+2200</f>
        <v>27598.495999999999</v>
      </c>
      <c r="G40" s="81"/>
      <c r="H40" s="81">
        <f>801+100+2+238+1887+937+210+3+26</f>
        <v>4204</v>
      </c>
      <c r="I40" s="81">
        <f>39948+599+54237+813-25000+48707+730+3443+51+4688+70+7236*2+108*2-1804-27+801+12+801+7400+19200+2814+42+2797+41+300+300+1784+100784*0.202</f>
        <v>197793.36800000002</v>
      </c>
      <c r="J40" s="82">
        <f>153346*0.202+101940*0.202+120+25+4+2+5+200+7+5+45+3+1+35+4+10+2+1+2+3+2+3+4+15</f>
        <v>52065.772000000004</v>
      </c>
      <c r="K40" s="81">
        <f>101238*0.202</f>
        <v>20450.076000000001</v>
      </c>
      <c r="L40" s="81">
        <v>4310</v>
      </c>
      <c r="M40" s="81">
        <f>2144+9251+399+1260+800+1716+231+107+12190+438+368</f>
        <v>28904</v>
      </c>
      <c r="N40" s="81"/>
      <c r="O40" s="81">
        <f>12000*2*0.206+(5500*2+8000*1)*0.206+22.5*31+2101+1051</f>
        <v>12707.5</v>
      </c>
      <c r="P40" s="81">
        <f>+(3962+2980+3960)*0.202+106838*0.202+226+42</f>
        <v>24051.480000000003</v>
      </c>
      <c r="Q40" s="81"/>
      <c r="R40" s="81"/>
      <c r="S40" s="81">
        <f>SUM(F40:R40)</f>
        <v>372084.69199999998</v>
      </c>
      <c r="T40" s="282">
        <f>SUM(S40:S44)</f>
        <v>395049.69199999998</v>
      </c>
      <c r="AE40" s="52"/>
    </row>
    <row r="41" spans="1:31" ht="15" customHeight="1" x14ac:dyDescent="0.25">
      <c r="C41" s="275"/>
      <c r="D41" s="99" t="s">
        <v>153</v>
      </c>
      <c r="E41" s="99" t="s">
        <v>171</v>
      </c>
      <c r="F41" s="82">
        <f>1390+900</f>
        <v>2290</v>
      </c>
      <c r="G41" s="82"/>
      <c r="H41" s="82"/>
      <c r="I41" s="82"/>
      <c r="J41" s="82">
        <v>900</v>
      </c>
      <c r="K41" s="82"/>
      <c r="L41" s="82"/>
      <c r="M41" s="82"/>
      <c r="N41" s="82"/>
      <c r="O41" s="82"/>
      <c r="P41" s="82"/>
      <c r="Q41" s="82"/>
      <c r="R41" s="82"/>
      <c r="S41" s="82">
        <f t="shared" si="19"/>
        <v>3190</v>
      </c>
      <c r="T41" s="283"/>
      <c r="AE41" s="52"/>
    </row>
    <row r="42" spans="1:31" ht="15" customHeight="1" x14ac:dyDescent="0.25">
      <c r="C42" s="275"/>
      <c r="D42" s="99" t="s">
        <v>153</v>
      </c>
      <c r="E42" s="99" t="s">
        <v>172</v>
      </c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>
        <f t="shared" si="19"/>
        <v>0</v>
      </c>
      <c r="T42" s="283"/>
      <c r="AE42" s="52"/>
    </row>
    <row r="43" spans="1:31" s="41" customFormat="1" ht="15" customHeight="1" x14ac:dyDescent="0.25">
      <c r="C43" s="276"/>
      <c r="D43" s="99" t="s">
        <v>153</v>
      </c>
      <c r="E43" s="99" t="s">
        <v>173</v>
      </c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>
        <v>3375</v>
      </c>
      <c r="R43" s="82"/>
      <c r="S43" s="82">
        <f t="shared" si="19"/>
        <v>3375</v>
      </c>
      <c r="T43" s="283"/>
      <c r="AE43" s="52"/>
    </row>
    <row r="44" spans="1:31" ht="15.75" customHeight="1" thickBot="1" x14ac:dyDescent="0.3">
      <c r="B44" s="74"/>
      <c r="C44" s="276"/>
      <c r="D44" s="100" t="s">
        <v>153</v>
      </c>
      <c r="E44" s="100" t="s">
        <v>168</v>
      </c>
      <c r="F44" s="48"/>
      <c r="G44" s="48"/>
      <c r="H44" s="48"/>
      <c r="I44" s="48">
        <f>3908+40+31422+27947-27947-31422-3908-40</f>
        <v>0</v>
      </c>
      <c r="J44" s="48"/>
      <c r="K44" s="48"/>
      <c r="L44" s="48"/>
      <c r="M44" s="48"/>
      <c r="N44" s="48"/>
      <c r="O44" s="48"/>
      <c r="P44" s="48"/>
      <c r="Q44" s="48">
        <f>8000*2-2000*2+18800-3600*4</f>
        <v>16400</v>
      </c>
      <c r="R44" s="48"/>
      <c r="S44" s="48">
        <f t="shared" si="19"/>
        <v>16400</v>
      </c>
      <c r="T44" s="283"/>
      <c r="AE44" s="52"/>
    </row>
    <row r="45" spans="1:31" ht="15" customHeight="1" x14ac:dyDescent="0.25">
      <c r="D45" s="101" t="s">
        <v>120</v>
      </c>
      <c r="E45" s="101" t="s">
        <v>120</v>
      </c>
      <c r="F45" s="64">
        <f t="shared" ref="F45:S45" si="20">SUM(F28:F44)</f>
        <v>58095.495999999999</v>
      </c>
      <c r="G45" s="64">
        <f t="shared" si="20"/>
        <v>1137</v>
      </c>
      <c r="H45" s="64">
        <f t="shared" si="20"/>
        <v>10046</v>
      </c>
      <c r="I45" s="64">
        <f t="shared" si="20"/>
        <v>199547.36800000002</v>
      </c>
      <c r="J45" s="64">
        <f t="shared" si="20"/>
        <v>56070.772000000004</v>
      </c>
      <c r="K45" s="64">
        <f t="shared" si="20"/>
        <v>20950.076000000001</v>
      </c>
      <c r="L45" s="64">
        <f t="shared" si="20"/>
        <v>4388</v>
      </c>
      <c r="M45" s="64">
        <f t="shared" si="20"/>
        <v>33287</v>
      </c>
      <c r="N45" s="64">
        <f t="shared" si="20"/>
        <v>0</v>
      </c>
      <c r="O45" s="64">
        <f t="shared" si="20"/>
        <v>13037.5</v>
      </c>
      <c r="P45" s="64">
        <f t="shared" si="20"/>
        <v>26167.480000000003</v>
      </c>
      <c r="Q45" s="64">
        <f t="shared" si="20"/>
        <v>30863</v>
      </c>
      <c r="R45" s="64">
        <f t="shared" si="20"/>
        <v>0</v>
      </c>
      <c r="S45" s="54">
        <f t="shared" si="20"/>
        <v>453589.69199999998</v>
      </c>
      <c r="AE45" s="52"/>
    </row>
    <row r="46" spans="1:31" ht="15.75" customHeight="1" thickBot="1" x14ac:dyDescent="0.3">
      <c r="AE46" s="52"/>
    </row>
    <row r="47" spans="1:31" ht="17.25" x14ac:dyDescent="0.25">
      <c r="A47" s="166" t="s">
        <v>188</v>
      </c>
      <c r="B47" s="167">
        <f>B28+1</f>
        <v>202603</v>
      </c>
      <c r="C47" s="275">
        <f>B47</f>
        <v>202603</v>
      </c>
      <c r="D47" s="94" t="s">
        <v>151</v>
      </c>
      <c r="E47" s="177" t="s">
        <v>252</v>
      </c>
      <c r="F47" s="60">
        <f>70+100+500+140+325+520+140+260+538+170+500+750+1485+30+270+255+226+200+290+165+125+140+330+40+540+425+34+140+35</f>
        <v>8743</v>
      </c>
      <c r="G47" s="59"/>
      <c r="H47" s="59">
        <v>500</v>
      </c>
      <c r="I47" s="60">
        <f>420+75+273+35</f>
        <v>803</v>
      </c>
      <c r="J47" s="59">
        <f>76+256+160+180+500+53+130+99+10+178+457+10+85+150+29+181</f>
        <v>2554</v>
      </c>
      <c r="K47" s="60">
        <f>500+90+320+2000</f>
        <v>2910</v>
      </c>
      <c r="L47" s="60">
        <v>655</v>
      </c>
      <c r="M47" s="60">
        <f>101+410+125+740+360+606+241+300+265+30</f>
        <v>3178</v>
      </c>
      <c r="N47" s="60">
        <v>770</v>
      </c>
      <c r="O47" s="60"/>
      <c r="P47" s="60">
        <f>205+30</f>
        <v>235</v>
      </c>
      <c r="Q47" s="60">
        <f>2000+2000+2000+2000</f>
        <v>8000</v>
      </c>
      <c r="R47" s="60"/>
      <c r="S47" s="44">
        <f t="shared" ref="S47:S63" si="21">SUM(F47:R47)</f>
        <v>28348</v>
      </c>
      <c r="T47" s="277">
        <f>SUM(S47:S53)</f>
        <v>156908</v>
      </c>
      <c r="AE47" s="52"/>
    </row>
    <row r="48" spans="1:31" ht="15" customHeight="1" thickBot="1" x14ac:dyDescent="0.3">
      <c r="A48" s="164" t="s">
        <v>247</v>
      </c>
      <c r="B48" s="162">
        <f>$J$2</f>
        <v>166666.66666666666</v>
      </c>
      <c r="C48" s="275"/>
      <c r="D48" s="95" t="s">
        <v>151</v>
      </c>
      <c r="E48" s="176" t="s">
        <v>251</v>
      </c>
      <c r="F48" s="79">
        <v>325</v>
      </c>
      <c r="G48" s="78"/>
      <c r="H48" s="78"/>
      <c r="I48" s="79"/>
      <c r="J48" s="78"/>
      <c r="K48" s="79"/>
      <c r="L48" s="79"/>
      <c r="M48" s="79"/>
      <c r="N48" s="79"/>
      <c r="O48" s="79"/>
      <c r="P48" s="79"/>
      <c r="Q48" s="79"/>
      <c r="R48" s="79"/>
      <c r="S48" s="80">
        <f t="shared" si="21"/>
        <v>325</v>
      </c>
      <c r="T48" s="277"/>
      <c r="AE48" s="52"/>
    </row>
    <row r="49" spans="1:31" ht="15" customHeight="1" thickTop="1" x14ac:dyDescent="0.25">
      <c r="A49" s="165" t="s">
        <v>237</v>
      </c>
      <c r="B49" s="182">
        <f>SUMPRODUCT((($V$10:$V$21)&lt;=VALUE(B47))*($Z$10:$Z$21))</f>
        <v>786455.69200000004</v>
      </c>
      <c r="C49" s="275"/>
      <c r="D49" s="95" t="s">
        <v>151</v>
      </c>
      <c r="E49" s="176" t="s">
        <v>254</v>
      </c>
      <c r="F49" s="79">
        <f>3326+230+2250+5304</f>
        <v>11110</v>
      </c>
      <c r="G49" s="78"/>
      <c r="H49" s="78"/>
      <c r="I49" s="79">
        <f>2784+156+126+282</f>
        <v>3348</v>
      </c>
      <c r="J49" s="78"/>
      <c r="K49" s="79"/>
      <c r="L49" s="79"/>
      <c r="M49" s="79"/>
      <c r="N49" s="79"/>
      <c r="O49" s="79"/>
      <c r="P49" s="79">
        <f>500+500+500+126</f>
        <v>1626</v>
      </c>
      <c r="Q49" s="79">
        <f>9491-7000+285</f>
        <v>2776</v>
      </c>
      <c r="R49" s="79"/>
      <c r="S49" s="80">
        <f t="shared" si="21"/>
        <v>18860</v>
      </c>
      <c r="T49" s="277"/>
      <c r="AE49" s="52"/>
    </row>
    <row r="50" spans="1:31" ht="15" customHeight="1" x14ac:dyDescent="0.25">
      <c r="A50" s="165" t="s">
        <v>264</v>
      </c>
      <c r="B50" s="181">
        <f>B49/SUMPRODUCT(('2026'!$V$10:$V$21&lt;='2026'!B47)*'2022'!$Z$10:$Z$21)</f>
        <v>1.6441250148951694</v>
      </c>
      <c r="C50" s="275"/>
      <c r="D50" s="95" t="s">
        <v>151</v>
      </c>
      <c r="E50" s="176" t="s">
        <v>255</v>
      </c>
      <c r="F50" s="79">
        <f>100+100+100+6000+300+300+698</f>
        <v>7598</v>
      </c>
      <c r="G50" s="78"/>
      <c r="H50" s="78">
        <f>241+1402</f>
        <v>1643</v>
      </c>
      <c r="I50" s="79"/>
      <c r="J50" s="78">
        <f>160+160+76+1400+100+220+220+220+220+200+1514</f>
        <v>4490</v>
      </c>
      <c r="K50" s="79"/>
      <c r="L50" s="79"/>
      <c r="M50" s="79">
        <f>100+525</f>
        <v>625</v>
      </c>
      <c r="N50" s="79"/>
      <c r="O50" s="79"/>
      <c r="P50" s="79"/>
      <c r="Q50" s="79">
        <f>597+1376+500</f>
        <v>2473</v>
      </c>
      <c r="R50" s="79"/>
      <c r="S50" s="80">
        <f t="shared" si="21"/>
        <v>16829</v>
      </c>
      <c r="T50" s="277"/>
      <c r="AE50" s="52"/>
    </row>
    <row r="51" spans="1:31" ht="15" customHeight="1" x14ac:dyDescent="0.25">
      <c r="A51" s="165" t="s">
        <v>236</v>
      </c>
      <c r="B51" s="186">
        <f>B49-$K$2*VALUE(RIGHT(B47,2))/9</f>
        <v>786455.69200000004</v>
      </c>
      <c r="C51" s="275"/>
      <c r="D51" s="96" t="s">
        <v>151</v>
      </c>
      <c r="E51" s="176" t="s">
        <v>256</v>
      </c>
      <c r="F51" s="79">
        <f>6000+14000</f>
        <v>20000</v>
      </c>
      <c r="G51" s="78"/>
      <c r="H51" s="78">
        <f>1636+1458+4504+1751</f>
        <v>9349</v>
      </c>
      <c r="I51" s="78"/>
      <c r="J51" s="78"/>
      <c r="K51" s="79"/>
      <c r="L51" s="79"/>
      <c r="M51" s="79"/>
      <c r="N51" s="79"/>
      <c r="O51" s="79"/>
      <c r="P51" s="79"/>
      <c r="Q51" s="79"/>
      <c r="R51" s="79"/>
      <c r="S51" s="80">
        <f t="shared" si="21"/>
        <v>29349</v>
      </c>
      <c r="T51" s="277"/>
    </row>
    <row r="52" spans="1:31" ht="15" customHeight="1" x14ac:dyDescent="0.25">
      <c r="A52" s="164" t="s">
        <v>242</v>
      </c>
      <c r="B52" s="157">
        <f>B51/($J$2*12)</f>
        <v>0.39322784599999999</v>
      </c>
      <c r="C52" s="275"/>
      <c r="D52" s="95" t="s">
        <v>151</v>
      </c>
      <c r="E52" s="176" t="s">
        <v>257</v>
      </c>
      <c r="F52" s="79">
        <f>29730+21900</f>
        <v>51630</v>
      </c>
      <c r="G52" s="78"/>
      <c r="H52" s="78">
        <f>5035+2930+3236</f>
        <v>11201</v>
      </c>
      <c r="I52" s="79"/>
      <c r="J52" s="78"/>
      <c r="K52" s="79"/>
      <c r="L52" s="79"/>
      <c r="M52" s="79"/>
      <c r="N52" s="79"/>
      <c r="O52" s="79"/>
      <c r="P52" s="79"/>
      <c r="Q52" s="79"/>
      <c r="R52" s="79"/>
      <c r="S52" s="80">
        <f t="shared" si="21"/>
        <v>62831</v>
      </c>
      <c r="T52" s="277"/>
    </row>
    <row r="53" spans="1:31" ht="15" customHeight="1" x14ac:dyDescent="0.25">
      <c r="A53" s="164" t="s">
        <v>241</v>
      </c>
      <c r="B53" s="126">
        <f>VALUE(RIGHT(B47,2))/12</f>
        <v>0.25</v>
      </c>
      <c r="C53" s="275"/>
      <c r="D53" s="95" t="s">
        <v>151</v>
      </c>
      <c r="E53" s="176" t="s">
        <v>263</v>
      </c>
      <c r="F53" s="78">
        <f>250+72</f>
        <v>322</v>
      </c>
      <c r="G53" s="78"/>
      <c r="H53" s="78"/>
      <c r="I53" s="79"/>
      <c r="J53" s="78"/>
      <c r="K53" s="79"/>
      <c r="L53" s="79"/>
      <c r="M53" s="79"/>
      <c r="N53" s="79"/>
      <c r="O53" s="79"/>
      <c r="P53" s="79"/>
      <c r="Q53" s="79">
        <v>44</v>
      </c>
      <c r="R53" s="79"/>
      <c r="S53" s="80">
        <f t="shared" si="21"/>
        <v>366</v>
      </c>
      <c r="T53" s="277"/>
    </row>
    <row r="54" spans="1:31" ht="15" customHeight="1" x14ac:dyDescent="0.25">
      <c r="A54" s="164" t="s">
        <v>243</v>
      </c>
      <c r="B54" s="161">
        <f>B48*VALUE(RIGHT(B47,2))-B51</f>
        <v>-286455.69200000004</v>
      </c>
      <c r="C54" s="275"/>
      <c r="D54" s="97" t="s">
        <v>152</v>
      </c>
      <c r="E54" s="97" t="s">
        <v>144</v>
      </c>
      <c r="F54" s="85">
        <v>300</v>
      </c>
      <c r="G54" s="46"/>
      <c r="H54" s="85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83">
        <f t="shared" si="21"/>
        <v>300</v>
      </c>
      <c r="T54" s="280">
        <f>SUM(S54:S58)</f>
        <v>3999</v>
      </c>
    </row>
    <row r="55" spans="1:31" ht="15" customHeight="1" x14ac:dyDescent="0.25">
      <c r="A55" s="164" t="s">
        <v>265</v>
      </c>
      <c r="B55" s="184">
        <f>$J$2-(S64-F61)</f>
        <v>-17287.333333333343</v>
      </c>
      <c r="C55" s="275"/>
      <c r="D55" s="97" t="s">
        <v>152</v>
      </c>
      <c r="E55" s="97" t="s">
        <v>145</v>
      </c>
      <c r="F55" s="85"/>
      <c r="G55" s="46"/>
      <c r="H55" s="85"/>
      <c r="I55" s="46"/>
      <c r="J55" s="89"/>
      <c r="K55" s="46"/>
      <c r="L55" s="46"/>
      <c r="M55" s="86"/>
      <c r="N55" s="46"/>
      <c r="O55" s="46"/>
      <c r="P55" s="46"/>
      <c r="Q55" s="46"/>
      <c r="R55" s="46"/>
      <c r="S55" s="83">
        <f t="shared" si="21"/>
        <v>0</v>
      </c>
      <c r="T55" s="281"/>
    </row>
    <row r="56" spans="1:31" ht="15" customHeight="1" x14ac:dyDescent="0.25">
      <c r="C56" s="275"/>
      <c r="D56" s="97" t="s">
        <v>152</v>
      </c>
      <c r="E56" s="97" t="s">
        <v>146</v>
      </c>
      <c r="F56" s="86"/>
      <c r="G56" s="46"/>
      <c r="H56" s="86"/>
      <c r="I56" s="46"/>
      <c r="J56" s="89">
        <v>699</v>
      </c>
      <c r="K56" s="46"/>
      <c r="L56" s="46"/>
      <c r="M56" s="89"/>
      <c r="N56" s="46"/>
      <c r="O56" s="89"/>
      <c r="P56" s="46"/>
      <c r="Q56" s="46"/>
      <c r="R56" s="46"/>
      <c r="S56" s="83">
        <f t="shared" si="21"/>
        <v>699</v>
      </c>
      <c r="T56" s="281"/>
    </row>
    <row r="57" spans="1:31" ht="15" customHeight="1" x14ac:dyDescent="0.25">
      <c r="C57" s="275"/>
      <c r="D57" s="97" t="s">
        <v>152</v>
      </c>
      <c r="E57" s="97" t="s">
        <v>147</v>
      </c>
      <c r="F57" s="86"/>
      <c r="G57" s="46"/>
      <c r="H57" s="87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83">
        <f t="shared" si="21"/>
        <v>0</v>
      </c>
      <c r="T57" s="281"/>
    </row>
    <row r="58" spans="1:31" ht="15" customHeight="1" x14ac:dyDescent="0.25">
      <c r="C58" s="275"/>
      <c r="D58" s="97" t="s">
        <v>152</v>
      </c>
      <c r="E58" s="97" t="s">
        <v>168</v>
      </c>
      <c r="F58" s="85"/>
      <c r="G58" s="46"/>
      <c r="H58" s="89"/>
      <c r="I58" s="46"/>
      <c r="J58" s="46"/>
      <c r="K58" s="46"/>
      <c r="L58" s="46"/>
      <c r="M58" s="89"/>
      <c r="N58" s="46"/>
      <c r="O58" s="46"/>
      <c r="P58" s="46"/>
      <c r="Q58" s="89">
        <v>3000</v>
      </c>
      <c r="R58" s="46"/>
      <c r="S58" s="83">
        <f t="shared" si="21"/>
        <v>3000</v>
      </c>
      <c r="T58" s="281"/>
    </row>
    <row r="59" spans="1:31" ht="15" customHeight="1" x14ac:dyDescent="0.25">
      <c r="C59" s="275"/>
      <c r="D59" s="98" t="s">
        <v>153</v>
      </c>
      <c r="E59" s="98" t="s">
        <v>170</v>
      </c>
      <c r="F59" s="81">
        <v>1200</v>
      </c>
      <c r="G59" s="81"/>
      <c r="H59" s="81"/>
      <c r="I59" s="82"/>
      <c r="J59" s="81"/>
      <c r="K59" s="81"/>
      <c r="L59" s="81"/>
      <c r="M59" s="81">
        <f>242+1000</f>
        <v>1242</v>
      </c>
      <c r="N59" s="81"/>
      <c r="O59" s="81"/>
      <c r="P59" s="81"/>
      <c r="Q59" s="81"/>
      <c r="R59" s="81"/>
      <c r="S59" s="81">
        <f>SUM(F59:R59)</f>
        <v>2442</v>
      </c>
      <c r="T59" s="282">
        <f>SUM(S59:S63)</f>
        <v>23047</v>
      </c>
    </row>
    <row r="60" spans="1:31" ht="15" customHeight="1" x14ac:dyDescent="0.25">
      <c r="C60" s="275"/>
      <c r="D60" s="99" t="s">
        <v>153</v>
      </c>
      <c r="E60" s="99" t="s">
        <v>171</v>
      </c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>
        <f t="shared" si="21"/>
        <v>0</v>
      </c>
      <c r="T60" s="283"/>
    </row>
    <row r="61" spans="1:31" ht="15" customHeight="1" x14ac:dyDescent="0.25">
      <c r="C61" s="275"/>
      <c r="D61" s="99" t="s">
        <v>153</v>
      </c>
      <c r="E61" s="99" t="s">
        <v>172</v>
      </c>
      <c r="F61" s="82"/>
      <c r="G61" s="82"/>
      <c r="H61" s="82"/>
      <c r="I61" s="82">
        <v>11230</v>
      </c>
      <c r="J61" s="82"/>
      <c r="K61" s="82"/>
      <c r="L61" s="82"/>
      <c r="M61" s="82"/>
      <c r="N61" s="82"/>
      <c r="O61" s="82"/>
      <c r="P61" s="82"/>
      <c r="Q61" s="82"/>
      <c r="R61" s="82"/>
      <c r="S61" s="82">
        <f t="shared" si="21"/>
        <v>11230</v>
      </c>
      <c r="T61" s="283"/>
    </row>
    <row r="62" spans="1:31" s="41" customFormat="1" ht="15" customHeight="1" x14ac:dyDescent="0.25">
      <c r="A62" s="45"/>
      <c r="B62" s="45"/>
      <c r="C62" s="275"/>
      <c r="D62" s="99" t="s">
        <v>153</v>
      </c>
      <c r="E62" s="99" t="s">
        <v>173</v>
      </c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>
        <v>3375</v>
      </c>
      <c r="R62" s="82"/>
      <c r="S62" s="82">
        <f t="shared" si="21"/>
        <v>3375</v>
      </c>
      <c r="T62" s="283"/>
    </row>
    <row r="63" spans="1:31" ht="15.75" customHeight="1" thickBot="1" x14ac:dyDescent="0.3">
      <c r="A63" s="41"/>
      <c r="B63" s="41"/>
      <c r="C63" s="275"/>
      <c r="D63" s="100" t="s">
        <v>153</v>
      </c>
      <c r="E63" s="100" t="s">
        <v>168</v>
      </c>
      <c r="F63" s="48"/>
      <c r="G63" s="48"/>
      <c r="H63" s="48"/>
      <c r="I63" s="48">
        <v>6000</v>
      </c>
      <c r="J63" s="48"/>
      <c r="K63" s="48"/>
      <c r="L63" s="48"/>
      <c r="M63" s="48"/>
      <c r="N63" s="48"/>
      <c r="O63" s="48"/>
      <c r="P63" s="48"/>
      <c r="Q63" s="48"/>
      <c r="R63" s="48"/>
      <c r="S63" s="48">
        <f t="shared" si="21"/>
        <v>6000</v>
      </c>
      <c r="T63" s="283"/>
    </row>
    <row r="64" spans="1:31" ht="15" customHeight="1" x14ac:dyDescent="0.25">
      <c r="D64" s="101" t="s">
        <v>120</v>
      </c>
      <c r="E64" s="101" t="s">
        <v>120</v>
      </c>
      <c r="F64" s="64">
        <f t="shared" ref="F64:S64" si="22">SUM(F47:F63)</f>
        <v>101228</v>
      </c>
      <c r="G64" s="64">
        <f t="shared" si="22"/>
        <v>0</v>
      </c>
      <c r="H64" s="64">
        <f t="shared" si="22"/>
        <v>22693</v>
      </c>
      <c r="I64" s="64">
        <f t="shared" si="22"/>
        <v>21381</v>
      </c>
      <c r="J64" s="64">
        <f t="shared" si="22"/>
        <v>7743</v>
      </c>
      <c r="K64" s="64">
        <f t="shared" si="22"/>
        <v>2910</v>
      </c>
      <c r="L64" s="64">
        <f t="shared" si="22"/>
        <v>655</v>
      </c>
      <c r="M64" s="64">
        <f t="shared" si="22"/>
        <v>5045</v>
      </c>
      <c r="N64" s="64">
        <f t="shared" si="22"/>
        <v>770</v>
      </c>
      <c r="O64" s="64">
        <f t="shared" si="22"/>
        <v>0</v>
      </c>
      <c r="P64" s="64">
        <f t="shared" si="22"/>
        <v>1861</v>
      </c>
      <c r="Q64" s="64">
        <f t="shared" si="22"/>
        <v>19668</v>
      </c>
      <c r="R64" s="64">
        <f t="shared" si="22"/>
        <v>0</v>
      </c>
      <c r="S64" s="54">
        <f t="shared" si="22"/>
        <v>183954</v>
      </c>
    </row>
    <row r="65" spans="1:20" ht="15.75" customHeight="1" thickBot="1" x14ac:dyDescent="0.3">
      <c r="D65" s="101"/>
      <c r="E65" s="101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</row>
    <row r="66" spans="1:20" ht="17.25" x14ac:dyDescent="0.25">
      <c r="A66" s="166" t="s">
        <v>188</v>
      </c>
      <c r="B66" s="167">
        <f>B47+1</f>
        <v>202604</v>
      </c>
      <c r="C66" s="275">
        <f>B66</f>
        <v>202604</v>
      </c>
      <c r="D66" s="94" t="s">
        <v>151</v>
      </c>
      <c r="E66" s="177" t="s">
        <v>252</v>
      </c>
      <c r="F66" s="60">
        <f>60+250+250+460+70+103+1803+55+500+1485+170+420+440+140+113</f>
        <v>6319</v>
      </c>
      <c r="G66" s="59"/>
      <c r="H66" s="59">
        <f>111+235</f>
        <v>346</v>
      </c>
      <c r="I66" s="60">
        <f>35+445+110</f>
        <v>590</v>
      </c>
      <c r="J66" s="59">
        <f>108+150+150+10+150+80+32+1640+500</f>
        <v>2820</v>
      </c>
      <c r="K66" s="60">
        <v>500</v>
      </c>
      <c r="L66" s="60"/>
      <c r="M66" s="60">
        <f>149+367+125+768+105+245+135+119+119</f>
        <v>2132</v>
      </c>
      <c r="N66" s="60">
        <v>228</v>
      </c>
      <c r="O66" s="60"/>
      <c r="P66" s="60">
        <f>168+1300+120+93</f>
        <v>1681</v>
      </c>
      <c r="Q66" s="60">
        <f>2000+2000+2000+2000</f>
        <v>8000</v>
      </c>
      <c r="R66" s="60"/>
      <c r="S66" s="44">
        <f t="shared" ref="S66:S82" si="23">SUM(F66:R66)</f>
        <v>22616</v>
      </c>
      <c r="T66" s="277">
        <f>SUM(S66:S72)</f>
        <v>61428</v>
      </c>
    </row>
    <row r="67" spans="1:20" ht="15" customHeight="1" thickBot="1" x14ac:dyDescent="0.3">
      <c r="A67" s="164" t="s">
        <v>247</v>
      </c>
      <c r="B67" s="162">
        <f>$J$2</f>
        <v>166666.66666666666</v>
      </c>
      <c r="C67" s="275"/>
      <c r="D67" s="95" t="s">
        <v>151</v>
      </c>
      <c r="E67" s="176" t="s">
        <v>251</v>
      </c>
      <c r="F67" s="79"/>
      <c r="G67" s="78"/>
      <c r="H67" s="78"/>
      <c r="I67" s="79"/>
      <c r="J67" s="78">
        <v>2678</v>
      </c>
      <c r="K67" s="79"/>
      <c r="L67" s="79"/>
      <c r="M67" s="79"/>
      <c r="N67" s="79"/>
      <c r="O67" s="79"/>
      <c r="P67" s="79"/>
      <c r="Q67" s="79"/>
      <c r="R67" s="79"/>
      <c r="S67" s="80">
        <f t="shared" si="23"/>
        <v>2678</v>
      </c>
      <c r="T67" s="278"/>
    </row>
    <row r="68" spans="1:20" ht="15" customHeight="1" thickTop="1" x14ac:dyDescent="0.25">
      <c r="A68" s="165" t="s">
        <v>237</v>
      </c>
      <c r="B68" s="182">
        <f>SUMPRODUCT((($V$10:$V$21)&lt;=VALUE(B66))*($Z$10:$Z$21))</f>
        <v>920375.69200000004</v>
      </c>
      <c r="C68" s="275"/>
      <c r="D68" s="95" t="s">
        <v>151</v>
      </c>
      <c r="E68" s="176" t="s">
        <v>254</v>
      </c>
      <c r="F68" s="79">
        <f>3326+200+9493</f>
        <v>13019</v>
      </c>
      <c r="G68" s="78"/>
      <c r="H68" s="78"/>
      <c r="I68" s="79">
        <f>117+1665+473</f>
        <v>2255</v>
      </c>
      <c r="J68" s="78"/>
      <c r="K68" s="79"/>
      <c r="L68" s="79"/>
      <c r="M68" s="79"/>
      <c r="N68" s="79"/>
      <c r="O68" s="79"/>
      <c r="P68" s="79"/>
      <c r="Q68" s="79">
        <f>9491-7000+1500+1665</f>
        <v>5656</v>
      </c>
      <c r="R68" s="79"/>
      <c r="S68" s="80">
        <f t="shared" si="23"/>
        <v>20930</v>
      </c>
      <c r="T68" s="278"/>
    </row>
    <row r="69" spans="1:20" ht="15" customHeight="1" x14ac:dyDescent="0.25">
      <c r="A69" s="165" t="s">
        <v>264</v>
      </c>
      <c r="B69" s="181">
        <f>B68/SUMPRODUCT(('2026'!$V$10:$V$21&lt;='2026'!B66)*'2022'!$Z$10:$Z$21)</f>
        <v>1.512201428447028</v>
      </c>
      <c r="C69" s="275"/>
      <c r="D69" s="95" t="s">
        <v>151</v>
      </c>
      <c r="E69" s="176" t="s">
        <v>255</v>
      </c>
      <c r="F69" s="79">
        <f>60+698</f>
        <v>758</v>
      </c>
      <c r="G69" s="78"/>
      <c r="H69" s="78">
        <f>500+189</f>
        <v>689</v>
      </c>
      <c r="I69" s="79">
        <f>103+1674</f>
        <v>1777</v>
      </c>
      <c r="J69" s="78">
        <f>140*3+140*3</f>
        <v>840</v>
      </c>
      <c r="K69" s="79">
        <f>475+675</f>
        <v>1150</v>
      </c>
      <c r="L69" s="79"/>
      <c r="M69" s="79">
        <f>200+529</f>
        <v>729</v>
      </c>
      <c r="N69" s="79"/>
      <c r="O69" s="79"/>
      <c r="P69" s="79"/>
      <c r="Q69" s="79">
        <f>597+1376</f>
        <v>1973</v>
      </c>
      <c r="R69" s="79"/>
      <c r="S69" s="80">
        <f t="shared" si="23"/>
        <v>7916</v>
      </c>
      <c r="T69" s="278"/>
    </row>
    <row r="70" spans="1:20" ht="15" customHeight="1" x14ac:dyDescent="0.25">
      <c r="A70" s="165" t="s">
        <v>236</v>
      </c>
      <c r="B70" s="186">
        <f>B68-$K$2*VALUE(RIGHT(B66,2))/9</f>
        <v>920375.69200000004</v>
      </c>
      <c r="C70" s="275"/>
      <c r="D70" s="96" t="s">
        <v>151</v>
      </c>
      <c r="E70" s="176" t="s">
        <v>256</v>
      </c>
      <c r="F70" s="79">
        <v>6500</v>
      </c>
      <c r="G70" s="78"/>
      <c r="H70" s="78"/>
      <c r="I70" s="78"/>
      <c r="J70" s="78"/>
      <c r="K70" s="79"/>
      <c r="L70" s="79"/>
      <c r="M70" s="79"/>
      <c r="N70" s="79"/>
      <c r="O70" s="79"/>
      <c r="P70" s="79"/>
      <c r="Q70" s="79"/>
      <c r="R70" s="79"/>
      <c r="S70" s="80">
        <f t="shared" si="23"/>
        <v>6500</v>
      </c>
      <c r="T70" s="278"/>
    </row>
    <row r="71" spans="1:20" ht="15" customHeight="1" x14ac:dyDescent="0.25">
      <c r="A71" s="164" t="s">
        <v>242</v>
      </c>
      <c r="B71" s="157">
        <f>B70/($J$2*12)</f>
        <v>0.46018784600000001</v>
      </c>
      <c r="C71" s="275"/>
      <c r="D71" s="95" t="s">
        <v>151</v>
      </c>
      <c r="E71" s="176" t="s">
        <v>257</v>
      </c>
      <c r="F71" s="79">
        <v>300</v>
      </c>
      <c r="G71" s="78"/>
      <c r="H71" s="78"/>
      <c r="I71" s="79"/>
      <c r="J71" s="78"/>
      <c r="K71" s="79"/>
      <c r="L71" s="79"/>
      <c r="M71" s="79"/>
      <c r="N71" s="79"/>
      <c r="O71" s="79"/>
      <c r="P71" s="79"/>
      <c r="Q71" s="79"/>
      <c r="R71" s="79"/>
      <c r="S71" s="80">
        <f t="shared" si="23"/>
        <v>300</v>
      </c>
      <c r="T71" s="278"/>
    </row>
    <row r="72" spans="1:20" ht="15" customHeight="1" x14ac:dyDescent="0.25">
      <c r="A72" s="164" t="s">
        <v>241</v>
      </c>
      <c r="B72" s="126">
        <f>VALUE(RIGHT(B66,2))/12</f>
        <v>0.33333333333333331</v>
      </c>
      <c r="C72" s="275"/>
      <c r="D72" s="95" t="s">
        <v>151</v>
      </c>
      <c r="E72" s="176" t="s">
        <v>263</v>
      </c>
      <c r="F72" s="78">
        <v>250</v>
      </c>
      <c r="G72" s="78"/>
      <c r="H72" s="78"/>
      <c r="I72" s="79"/>
      <c r="J72" s="78"/>
      <c r="K72" s="79"/>
      <c r="L72" s="79"/>
      <c r="M72" s="79">
        <f>119+119</f>
        <v>238</v>
      </c>
      <c r="N72" s="79"/>
      <c r="O72" s="78"/>
      <c r="P72" s="79"/>
      <c r="Q72" s="79"/>
      <c r="R72" s="79"/>
      <c r="S72" s="80">
        <f t="shared" si="23"/>
        <v>488</v>
      </c>
      <c r="T72" s="279"/>
    </row>
    <row r="73" spans="1:20" ht="15" customHeight="1" x14ac:dyDescent="0.25">
      <c r="A73" s="164" t="s">
        <v>243</v>
      </c>
      <c r="B73" s="161">
        <f>B67*VALUE(RIGHT(B66,2))-B70</f>
        <v>-253709.02533333341</v>
      </c>
      <c r="C73" s="275"/>
      <c r="D73" s="97" t="s">
        <v>152</v>
      </c>
      <c r="E73" s="97" t="s">
        <v>144</v>
      </c>
      <c r="F73" s="85"/>
      <c r="G73" s="46"/>
      <c r="H73" s="85"/>
      <c r="I73" s="46"/>
      <c r="J73" s="46"/>
      <c r="K73" s="46"/>
      <c r="L73" s="46"/>
      <c r="M73" s="46"/>
      <c r="N73" s="46"/>
      <c r="O73" s="89"/>
      <c r="P73" s="46"/>
      <c r="Q73" s="46"/>
      <c r="R73" s="46"/>
      <c r="S73" s="83">
        <f t="shared" si="23"/>
        <v>0</v>
      </c>
      <c r="T73" s="280">
        <f>SUM(S73:S77)</f>
        <v>3268</v>
      </c>
    </row>
    <row r="74" spans="1:20" ht="15" customHeight="1" x14ac:dyDescent="0.25">
      <c r="A74" s="164" t="s">
        <v>265</v>
      </c>
      <c r="B74" s="184">
        <f>$J$2-(S83-F80)</f>
        <v>32746.666666666657</v>
      </c>
      <c r="C74" s="275"/>
      <c r="D74" s="97" t="s">
        <v>152</v>
      </c>
      <c r="E74" s="97" t="s">
        <v>145</v>
      </c>
      <c r="F74" s="85"/>
      <c r="G74" s="46"/>
      <c r="H74" s="85"/>
      <c r="I74" s="46"/>
      <c r="J74" s="46"/>
      <c r="K74" s="46"/>
      <c r="L74" s="46"/>
      <c r="M74" s="46"/>
      <c r="N74" s="46"/>
      <c r="O74" s="89"/>
      <c r="P74" s="46"/>
      <c r="Q74" s="46"/>
      <c r="R74" s="46"/>
      <c r="S74" s="83">
        <f t="shared" si="23"/>
        <v>0</v>
      </c>
      <c r="T74" s="281"/>
    </row>
    <row r="75" spans="1:20" ht="15" customHeight="1" x14ac:dyDescent="0.25">
      <c r="C75" s="275"/>
      <c r="D75" s="97" t="s">
        <v>152</v>
      </c>
      <c r="E75" s="97" t="s">
        <v>146</v>
      </c>
      <c r="F75" s="86"/>
      <c r="G75" s="46"/>
      <c r="H75" s="87"/>
      <c r="I75" s="89">
        <v>334</v>
      </c>
      <c r="J75" s="46"/>
      <c r="K75" s="46"/>
      <c r="L75" s="46"/>
      <c r="M75" s="89"/>
      <c r="N75" s="46"/>
      <c r="O75" s="185"/>
      <c r="P75" s="46"/>
      <c r="Q75" s="46"/>
      <c r="R75" s="46"/>
      <c r="S75" s="83">
        <f t="shared" si="23"/>
        <v>334</v>
      </c>
      <c r="T75" s="281"/>
    </row>
    <row r="76" spans="1:20" ht="15" customHeight="1" x14ac:dyDescent="0.25">
      <c r="C76" s="275"/>
      <c r="D76" s="97" t="s">
        <v>152</v>
      </c>
      <c r="E76" s="97" t="s">
        <v>147</v>
      </c>
      <c r="F76" s="85"/>
      <c r="G76" s="46"/>
      <c r="H76" s="87"/>
      <c r="I76" s="89">
        <v>334</v>
      </c>
      <c r="J76" s="46"/>
      <c r="K76" s="46"/>
      <c r="L76" s="46"/>
      <c r="M76" s="46"/>
      <c r="N76" s="46"/>
      <c r="O76" s="89"/>
      <c r="P76" s="46"/>
      <c r="Q76" s="46"/>
      <c r="R76" s="46"/>
      <c r="S76" s="83">
        <f t="shared" si="23"/>
        <v>334</v>
      </c>
      <c r="T76" s="281"/>
    </row>
    <row r="77" spans="1:20" ht="15" customHeight="1" x14ac:dyDescent="0.25">
      <c r="C77" s="275"/>
      <c r="D77" s="97" t="s">
        <v>152</v>
      </c>
      <c r="E77" s="97" t="s">
        <v>168</v>
      </c>
      <c r="F77" s="85"/>
      <c r="G77" s="46"/>
      <c r="H77" s="46"/>
      <c r="I77" s="46"/>
      <c r="J77" s="46"/>
      <c r="K77" s="46"/>
      <c r="L77" s="46"/>
      <c r="M77" s="46"/>
      <c r="N77" s="46"/>
      <c r="O77" s="183"/>
      <c r="P77" s="46"/>
      <c r="Q77" s="86">
        <v>2600</v>
      </c>
      <c r="R77" s="46"/>
      <c r="S77" s="83">
        <f t="shared" si="23"/>
        <v>2600</v>
      </c>
      <c r="T77" s="281"/>
    </row>
    <row r="78" spans="1:20" ht="15" customHeight="1" x14ac:dyDescent="0.25">
      <c r="C78" s="275"/>
      <c r="D78" s="98" t="s">
        <v>153</v>
      </c>
      <c r="E78" s="98" t="s">
        <v>170</v>
      </c>
      <c r="F78" s="81"/>
      <c r="G78" s="81"/>
      <c r="H78" s="81"/>
      <c r="I78" s="81">
        <v>651</v>
      </c>
      <c r="J78" s="81"/>
      <c r="K78" s="81"/>
      <c r="L78" s="81"/>
      <c r="M78" s="81"/>
      <c r="N78" s="81"/>
      <c r="O78" s="81"/>
      <c r="P78" s="81"/>
      <c r="Q78" s="81"/>
      <c r="R78" s="81"/>
      <c r="S78" s="81">
        <f t="shared" si="23"/>
        <v>651</v>
      </c>
      <c r="T78" s="282">
        <f>SUM(S78:S82)</f>
        <v>69224</v>
      </c>
    </row>
    <row r="79" spans="1:20" ht="15" customHeight="1" x14ac:dyDescent="0.25">
      <c r="C79" s="275"/>
      <c r="D79" s="99" t="s">
        <v>153</v>
      </c>
      <c r="E79" s="99" t="s">
        <v>171</v>
      </c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>
        <f>2882-1000</f>
        <v>1882</v>
      </c>
      <c r="R79" s="82"/>
      <c r="S79" s="82">
        <f t="shared" si="23"/>
        <v>1882</v>
      </c>
      <c r="T79" s="283"/>
    </row>
    <row r="80" spans="1:20" ht="15" customHeight="1" x14ac:dyDescent="0.25">
      <c r="C80" s="275"/>
      <c r="D80" s="99" t="s">
        <v>153</v>
      </c>
      <c r="E80" s="99" t="s">
        <v>172</v>
      </c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>
        <f>1500+1000</f>
        <v>2500</v>
      </c>
      <c r="Q80" s="82"/>
      <c r="R80" s="82"/>
      <c r="S80" s="82">
        <f t="shared" si="23"/>
        <v>2500</v>
      </c>
      <c r="T80" s="283"/>
    </row>
    <row r="81" spans="1:20" s="41" customFormat="1" ht="15" customHeight="1" x14ac:dyDescent="0.25">
      <c r="A81" s="45"/>
      <c r="B81" s="45"/>
      <c r="C81" s="276"/>
      <c r="D81" s="99" t="s">
        <v>153</v>
      </c>
      <c r="E81" s="99" t="s">
        <v>173</v>
      </c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>
        <v>3375</v>
      </c>
      <c r="R81" s="82"/>
      <c r="S81" s="82">
        <f t="shared" si="23"/>
        <v>3375</v>
      </c>
      <c r="T81" s="283"/>
    </row>
    <row r="82" spans="1:20" ht="15.75" customHeight="1" thickBot="1" x14ac:dyDescent="0.3">
      <c r="A82" s="41"/>
      <c r="B82" s="41"/>
      <c r="C82" s="276"/>
      <c r="D82" s="100" t="s">
        <v>153</v>
      </c>
      <c r="E82" s="100" t="s">
        <v>168</v>
      </c>
      <c r="F82" s="48"/>
      <c r="G82" s="48"/>
      <c r="H82" s="48"/>
      <c r="I82" s="48">
        <f>651+9+1914+28+2+135+7+509+5+373+13+918+32+2180+62+4191+288+19258+3+252+83+5584+9+663+7+477+54+3614+8+597+61+4097+25+1707+55+3686+9+660+8+547+52+3479+33+2209+4+277+4+312+10+712+50+13+880</f>
        <v>60816</v>
      </c>
      <c r="J82" s="48"/>
      <c r="K82" s="48"/>
      <c r="L82" s="48"/>
      <c r="M82" s="48"/>
      <c r="N82" s="48"/>
      <c r="O82" s="48"/>
      <c r="P82" s="48"/>
      <c r="Q82" s="48"/>
      <c r="R82" s="48"/>
      <c r="S82" s="48">
        <f t="shared" si="23"/>
        <v>60816</v>
      </c>
      <c r="T82" s="283"/>
    </row>
    <row r="83" spans="1:20" ht="15" customHeight="1" x14ac:dyDescent="0.25">
      <c r="D83" s="101" t="s">
        <v>120</v>
      </c>
      <c r="E83" s="101" t="s">
        <v>120</v>
      </c>
      <c r="F83" s="64">
        <f t="shared" ref="F83:S83" si="24">SUM(F66:F82)</f>
        <v>27146</v>
      </c>
      <c r="G83" s="64">
        <f t="shared" si="24"/>
        <v>0</v>
      </c>
      <c r="H83" s="64">
        <f t="shared" si="24"/>
        <v>1035</v>
      </c>
      <c r="I83" s="64">
        <f t="shared" si="24"/>
        <v>66757</v>
      </c>
      <c r="J83" s="64">
        <f t="shared" si="24"/>
        <v>6338</v>
      </c>
      <c r="K83" s="64">
        <f t="shared" si="24"/>
        <v>1650</v>
      </c>
      <c r="L83" s="64">
        <f t="shared" si="24"/>
        <v>0</v>
      </c>
      <c r="M83" s="64">
        <f t="shared" si="24"/>
        <v>3099</v>
      </c>
      <c r="N83" s="64">
        <f t="shared" si="24"/>
        <v>228</v>
      </c>
      <c r="O83" s="64">
        <f t="shared" si="24"/>
        <v>0</v>
      </c>
      <c r="P83" s="64">
        <f t="shared" si="24"/>
        <v>4181</v>
      </c>
      <c r="Q83" s="64">
        <f t="shared" si="24"/>
        <v>23486</v>
      </c>
      <c r="R83" s="64">
        <f t="shared" si="24"/>
        <v>0</v>
      </c>
      <c r="S83" s="54">
        <f t="shared" si="24"/>
        <v>133920</v>
      </c>
    </row>
    <row r="84" spans="1:20" ht="15.75" customHeight="1" thickBot="1" x14ac:dyDescent="0.3"/>
    <row r="85" spans="1:20" ht="17.25" x14ac:dyDescent="0.25">
      <c r="A85" s="166" t="s">
        <v>188</v>
      </c>
      <c r="B85" s="167">
        <f>B66+1</f>
        <v>202605</v>
      </c>
      <c r="C85" s="275">
        <f>B85</f>
        <v>202605</v>
      </c>
      <c r="D85" s="94" t="s">
        <v>151</v>
      </c>
      <c r="E85" s="177" t="s">
        <v>252</v>
      </c>
      <c r="F85" s="60">
        <f>390+573+140+200+200+1000+150+3834+1713+305+125+90+30+105+130+175+200+530+75+60+500</f>
        <v>10525</v>
      </c>
      <c r="G85" s="59"/>
      <c r="H85" s="59">
        <f>235+496+1360+80+50+1220</f>
        <v>3441</v>
      </c>
      <c r="I85" s="60"/>
      <c r="J85" s="59">
        <f>49+248+198+10+500</f>
        <v>1005</v>
      </c>
      <c r="K85" s="60"/>
      <c r="L85" s="60"/>
      <c r="M85" s="60">
        <f>1449+45+345+265+65+90+85+0+115+460+35</f>
        <v>2954</v>
      </c>
      <c r="N85" s="60"/>
      <c r="O85" s="60"/>
      <c r="P85" s="60"/>
      <c r="Q85" s="60">
        <f>2000+2000+2000+2000+140</f>
        <v>8140</v>
      </c>
      <c r="R85" s="60"/>
      <c r="S85" s="44">
        <f t="shared" ref="S85:S101" si="25">SUM(F85:R85)</f>
        <v>26065</v>
      </c>
      <c r="T85" s="277">
        <f>SUM(S85:S91)</f>
        <v>81247</v>
      </c>
    </row>
    <row r="86" spans="1:20" ht="18" thickBot="1" x14ac:dyDescent="0.3">
      <c r="A86" s="164" t="s">
        <v>247</v>
      </c>
      <c r="B86" s="162">
        <f>$J$2</f>
        <v>166666.66666666666</v>
      </c>
      <c r="C86" s="275"/>
      <c r="D86" s="95" t="s">
        <v>151</v>
      </c>
      <c r="E86" s="176" t="s">
        <v>251</v>
      </c>
      <c r="F86" s="79"/>
      <c r="G86" s="78"/>
      <c r="H86" s="78"/>
      <c r="I86" s="79"/>
      <c r="J86" s="78"/>
      <c r="K86" s="79"/>
      <c r="L86" s="79"/>
      <c r="M86" s="79"/>
      <c r="N86" s="79"/>
      <c r="O86" s="79"/>
      <c r="P86" s="79"/>
      <c r="Q86" s="79"/>
      <c r="R86" s="79"/>
      <c r="S86" s="80">
        <f t="shared" si="25"/>
        <v>0</v>
      </c>
      <c r="T86" s="278"/>
    </row>
    <row r="87" spans="1:20" ht="15" customHeight="1" thickTop="1" x14ac:dyDescent="0.25">
      <c r="A87" s="165" t="s">
        <v>237</v>
      </c>
      <c r="B87" s="182">
        <f>SUMPRODUCT((($V$10:$V$21)&lt;=VALUE(B85))*($Z$10:$Z$21))</f>
        <v>1116518.8586666668</v>
      </c>
      <c r="C87" s="275"/>
      <c r="D87" s="95" t="s">
        <v>151</v>
      </c>
      <c r="E87" s="176" t="s">
        <v>254</v>
      </c>
      <c r="F87" s="79">
        <f>3326+9493</f>
        <v>12819</v>
      </c>
      <c r="G87" s="78"/>
      <c r="H87" s="78">
        <v>155</v>
      </c>
      <c r="I87" s="79">
        <f>2213+634+155</f>
        <v>3002</v>
      </c>
      <c r="J87" s="78"/>
      <c r="K87" s="79"/>
      <c r="L87" s="79"/>
      <c r="M87" s="79">
        <f>767+401</f>
        <v>1168</v>
      </c>
      <c r="N87" s="79"/>
      <c r="O87" s="79"/>
      <c r="P87" s="79"/>
      <c r="Q87" s="79">
        <f>9491-7000+1300+1079</f>
        <v>4870</v>
      </c>
      <c r="R87" s="79"/>
      <c r="S87" s="80">
        <f t="shared" si="25"/>
        <v>22014</v>
      </c>
      <c r="T87" s="278"/>
    </row>
    <row r="88" spans="1:20" ht="15" customHeight="1" x14ac:dyDescent="0.25">
      <c r="A88" s="165" t="s">
        <v>264</v>
      </c>
      <c r="B88" s="181">
        <f>B87/SUMPRODUCT(('2026'!$V$10:$V$21&lt;='2026'!B85)*'2022'!$Z$10:$Z$21)</f>
        <v>1.4807903144377161</v>
      </c>
      <c r="C88" s="275"/>
      <c r="D88" s="95" t="s">
        <v>151</v>
      </c>
      <c r="E88" s="176" t="s">
        <v>255</v>
      </c>
      <c r="F88" s="79">
        <f>125+698</f>
        <v>823</v>
      </c>
      <c r="G88" s="78"/>
      <c r="H88" s="78">
        <f>1388+400</f>
        <v>1788</v>
      </c>
      <c r="I88" s="79">
        <f>100+1735</f>
        <v>1835</v>
      </c>
      <c r="J88" s="78">
        <f>100*3*4+90</f>
        <v>1290</v>
      </c>
      <c r="K88" s="79"/>
      <c r="L88" s="79"/>
      <c r="M88" s="79">
        <v>100</v>
      </c>
      <c r="N88" s="79"/>
      <c r="O88" s="79"/>
      <c r="P88" s="79"/>
      <c r="Q88" s="79">
        <v>597</v>
      </c>
      <c r="R88" s="79"/>
      <c r="S88" s="80">
        <f t="shared" si="25"/>
        <v>6433</v>
      </c>
      <c r="T88" s="278"/>
    </row>
    <row r="89" spans="1:20" ht="15" customHeight="1" x14ac:dyDescent="0.25">
      <c r="A89" s="165" t="s">
        <v>236</v>
      </c>
      <c r="B89" s="186">
        <f>B87-$K$2*VALUE(RIGHT(B85,2))/9</f>
        <v>1116518.8586666668</v>
      </c>
      <c r="C89" s="275"/>
      <c r="D89" s="96" t="s">
        <v>151</v>
      </c>
      <c r="E89" s="176" t="s">
        <v>256</v>
      </c>
      <c r="F89" s="79">
        <f>6500+2000</f>
        <v>8500</v>
      </c>
      <c r="G89" s="78"/>
      <c r="H89" s="78"/>
      <c r="I89" s="78"/>
      <c r="J89" s="78"/>
      <c r="K89" s="79"/>
      <c r="L89" s="79"/>
      <c r="M89" s="79"/>
      <c r="N89" s="79"/>
      <c r="O89" s="79"/>
      <c r="P89" s="79"/>
      <c r="Q89" s="79"/>
      <c r="R89" s="79"/>
      <c r="S89" s="80">
        <f t="shared" si="25"/>
        <v>8500</v>
      </c>
      <c r="T89" s="278"/>
    </row>
    <row r="90" spans="1:20" ht="15" customHeight="1" x14ac:dyDescent="0.25">
      <c r="A90" s="164" t="s">
        <v>242</v>
      </c>
      <c r="B90" s="157">
        <f>B89/($J$2*12)</f>
        <v>0.55825942933333339</v>
      </c>
      <c r="C90" s="275"/>
      <c r="D90" s="95" t="s">
        <v>151</v>
      </c>
      <c r="E90" s="176" t="s">
        <v>257</v>
      </c>
      <c r="F90" s="79">
        <f>7800+5130</f>
        <v>12930</v>
      </c>
      <c r="G90" s="78"/>
      <c r="H90" s="78"/>
      <c r="I90" s="79"/>
      <c r="J90" s="78"/>
      <c r="K90" s="79"/>
      <c r="L90" s="79"/>
      <c r="M90" s="79"/>
      <c r="N90" s="79"/>
      <c r="O90" s="79"/>
      <c r="P90" s="79"/>
      <c r="Q90" s="79"/>
      <c r="R90" s="79"/>
      <c r="S90" s="80">
        <f t="shared" si="25"/>
        <v>12930</v>
      </c>
      <c r="T90" s="278"/>
    </row>
    <row r="91" spans="1:20" ht="15" customHeight="1" x14ac:dyDescent="0.25">
      <c r="A91" s="164" t="s">
        <v>241</v>
      </c>
      <c r="B91" s="126">
        <f>VALUE(RIGHT(B85,2))/12</f>
        <v>0.41666666666666669</v>
      </c>
      <c r="C91" s="275"/>
      <c r="D91" s="95" t="s">
        <v>151</v>
      </c>
      <c r="E91" s="176" t="s">
        <v>263</v>
      </c>
      <c r="F91" s="78">
        <f>500+500</f>
        <v>1000</v>
      </c>
      <c r="G91" s="78"/>
      <c r="H91" s="78"/>
      <c r="I91" s="79"/>
      <c r="J91" s="78"/>
      <c r="K91" s="79"/>
      <c r="L91" s="79"/>
      <c r="M91" s="79">
        <v>45</v>
      </c>
      <c r="N91" s="79"/>
      <c r="O91" s="79"/>
      <c r="P91" s="79">
        <v>4000</v>
      </c>
      <c r="Q91" s="79">
        <v>260</v>
      </c>
      <c r="R91" s="79"/>
      <c r="S91" s="80">
        <f t="shared" si="25"/>
        <v>5305</v>
      </c>
      <c r="T91" s="279"/>
    </row>
    <row r="92" spans="1:20" ht="15" customHeight="1" x14ac:dyDescent="0.25">
      <c r="A92" s="164" t="s">
        <v>243</v>
      </c>
      <c r="B92" s="161">
        <f>B86*VALUE(RIGHT(B85,2))-B89</f>
        <v>-283185.52533333353</v>
      </c>
      <c r="C92" s="275"/>
      <c r="D92" s="97" t="s">
        <v>152</v>
      </c>
      <c r="E92" s="97" t="s">
        <v>144</v>
      </c>
      <c r="F92" s="85">
        <v>300</v>
      </c>
      <c r="G92" s="46"/>
      <c r="H92" s="85"/>
      <c r="I92" s="46"/>
      <c r="J92" s="46"/>
      <c r="K92" s="46"/>
      <c r="L92" s="46"/>
      <c r="M92" s="89">
        <f>740+339-500</f>
        <v>579</v>
      </c>
      <c r="N92" s="46"/>
      <c r="O92" s="109"/>
      <c r="P92" s="89">
        <v>5000</v>
      </c>
      <c r="Q92" s="46"/>
      <c r="R92" s="46"/>
      <c r="S92" s="83">
        <f t="shared" si="25"/>
        <v>5879</v>
      </c>
      <c r="T92" s="280">
        <f>SUM(S92:S96)</f>
        <v>6959</v>
      </c>
    </row>
    <row r="93" spans="1:20" ht="15" customHeight="1" x14ac:dyDescent="0.25">
      <c r="A93" s="164" t="s">
        <v>265</v>
      </c>
      <c r="B93" s="184">
        <f>$J$2-(S102-F99)</f>
        <v>-29476.5</v>
      </c>
      <c r="C93" s="275"/>
      <c r="D93" s="97" t="s">
        <v>152</v>
      </c>
      <c r="E93" s="97" t="s">
        <v>145</v>
      </c>
      <c r="F93" s="85">
        <v>1080</v>
      </c>
      <c r="G93" s="46"/>
      <c r="H93" s="85"/>
      <c r="I93" s="46"/>
      <c r="J93" s="46"/>
      <c r="K93" s="46"/>
      <c r="L93" s="46"/>
      <c r="M93" s="86"/>
      <c r="N93" s="46"/>
      <c r="O93" s="89"/>
      <c r="P93" s="46"/>
      <c r="Q93" s="46"/>
      <c r="R93" s="46"/>
      <c r="S93" s="83">
        <f t="shared" si="25"/>
        <v>1080</v>
      </c>
      <c r="T93" s="281"/>
    </row>
    <row r="94" spans="1:20" ht="15" customHeight="1" x14ac:dyDescent="0.25">
      <c r="C94" s="275"/>
      <c r="D94" s="97" t="s">
        <v>152</v>
      </c>
      <c r="E94" s="97" t="s">
        <v>146</v>
      </c>
      <c r="F94" s="86"/>
      <c r="G94" s="46"/>
      <c r="H94" s="87"/>
      <c r="I94" s="46"/>
      <c r="J94" s="46"/>
      <c r="K94" s="46"/>
      <c r="L94" s="46"/>
      <c r="M94" s="46"/>
      <c r="N94" s="46"/>
      <c r="O94" s="89"/>
      <c r="P94" s="46"/>
      <c r="Q94" s="46"/>
      <c r="R94" s="46"/>
      <c r="S94" s="83">
        <f t="shared" si="25"/>
        <v>0</v>
      </c>
      <c r="T94" s="281"/>
    </row>
    <row r="95" spans="1:20" ht="15" customHeight="1" x14ac:dyDescent="0.25">
      <c r="C95" s="275"/>
      <c r="D95" s="97" t="s">
        <v>152</v>
      </c>
      <c r="E95" s="97" t="s">
        <v>147</v>
      </c>
      <c r="F95" s="85"/>
      <c r="G95" s="46"/>
      <c r="H95" s="87"/>
      <c r="I95" s="46"/>
      <c r="J95" s="46"/>
      <c r="K95" s="46"/>
      <c r="L95" s="46"/>
      <c r="M95" s="46"/>
      <c r="N95" s="46"/>
      <c r="O95" s="89"/>
      <c r="P95" s="46"/>
      <c r="Q95" s="46"/>
      <c r="R95" s="46"/>
      <c r="S95" s="83">
        <f t="shared" si="25"/>
        <v>0</v>
      </c>
      <c r="T95" s="281"/>
    </row>
    <row r="96" spans="1:20" ht="15" customHeight="1" x14ac:dyDescent="0.25">
      <c r="B96" s="52"/>
      <c r="C96" s="275"/>
      <c r="D96" s="97" t="s">
        <v>152</v>
      </c>
      <c r="E96" s="97" t="s">
        <v>168</v>
      </c>
      <c r="F96" s="85"/>
      <c r="G96" s="46"/>
      <c r="H96" s="46"/>
      <c r="I96" s="46"/>
      <c r="J96" s="46"/>
      <c r="K96" s="46"/>
      <c r="L96" s="46"/>
      <c r="M96" s="46"/>
      <c r="N96" s="46"/>
      <c r="O96" s="89"/>
      <c r="P96" s="46"/>
      <c r="Q96" s="86"/>
      <c r="R96" s="46"/>
      <c r="S96" s="83">
        <f t="shared" si="25"/>
        <v>0</v>
      </c>
      <c r="T96" s="281"/>
    </row>
    <row r="97" spans="1:20" ht="15" customHeight="1" x14ac:dyDescent="0.25">
      <c r="C97" s="275"/>
      <c r="D97" s="98" t="s">
        <v>153</v>
      </c>
      <c r="E97" s="98" t="s">
        <v>170</v>
      </c>
      <c r="F97" s="81"/>
      <c r="G97" s="81"/>
      <c r="H97" s="81">
        <f>7240+22679/2+340/2+2857+90+1+9+116+2+31+140+2+90+1+116+2+9+96+1+20</f>
        <v>22332.5</v>
      </c>
      <c r="I97" s="81">
        <f>5099+1333+90+1+116+1+13+31+96+1+20</f>
        <v>6801</v>
      </c>
      <c r="J97" s="81">
        <f>5685+868+1157+868+642+2081+1131+10+31+17+96+404+1+6+70+1+20</f>
        <v>13088</v>
      </c>
      <c r="K97" s="81">
        <f>400+200+596+1241+752+4622+2312+2167+607+194+939+9+19+11+69+35+33+9+3+14+90+1+9+116+2+31</f>
        <v>14481</v>
      </c>
      <c r="L97" s="81"/>
      <c r="M97" s="81">
        <f>12947+2243+1230+609</f>
        <v>17029</v>
      </c>
      <c r="N97" s="81"/>
      <c r="O97" s="81">
        <v>5771</v>
      </c>
      <c r="P97" s="81">
        <f>142+2+255+4+1478+22+259+4+283+4+206+3+1947+29+1228+18+267+4+400+6+319+5+469+7+186+3+40+1+434+7+2791+42+47+1</f>
        <v>10913</v>
      </c>
      <c r="Q97" s="81"/>
      <c r="R97" s="81"/>
      <c r="S97" s="81">
        <f t="shared" si="25"/>
        <v>90415.5</v>
      </c>
      <c r="T97" s="282">
        <f>SUM(S97:S101)</f>
        <v>107937.16666666667</v>
      </c>
    </row>
    <row r="98" spans="1:20" ht="15" customHeight="1" x14ac:dyDescent="0.25">
      <c r="C98" s="275"/>
      <c r="D98" s="99" t="s">
        <v>153</v>
      </c>
      <c r="E98" s="99" t="s">
        <v>171</v>
      </c>
      <c r="F98" s="81">
        <v>300</v>
      </c>
      <c r="G98" s="82"/>
      <c r="H98" s="82"/>
      <c r="I98" s="82"/>
      <c r="J98" s="82"/>
      <c r="K98" s="82"/>
      <c r="L98" s="82"/>
      <c r="M98" s="82"/>
      <c r="N98" s="82"/>
      <c r="O98" s="82"/>
      <c r="P98" s="82">
        <v>700</v>
      </c>
      <c r="Q98" s="82"/>
      <c r="R98" s="82"/>
      <c r="S98" s="82">
        <f t="shared" si="25"/>
        <v>1000</v>
      </c>
      <c r="T98" s="283"/>
    </row>
    <row r="99" spans="1:20" ht="15" customHeight="1" x14ac:dyDescent="0.25">
      <c r="C99" s="275"/>
      <c r="D99" s="99" t="s">
        <v>153</v>
      </c>
      <c r="E99" s="99" t="s">
        <v>172</v>
      </c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>
        <v>6853</v>
      </c>
      <c r="Q99" s="82"/>
      <c r="R99" s="82"/>
      <c r="S99" s="82">
        <f t="shared" si="25"/>
        <v>6853</v>
      </c>
      <c r="T99" s="283"/>
    </row>
    <row r="100" spans="1:20" s="41" customFormat="1" ht="15" customHeight="1" x14ac:dyDescent="0.25">
      <c r="A100" s="45"/>
      <c r="B100" s="45"/>
      <c r="C100" s="276"/>
      <c r="D100" s="99" t="s">
        <v>153</v>
      </c>
      <c r="E100" s="99" t="s">
        <v>173</v>
      </c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>
        <v>3375.6666666666665</v>
      </c>
      <c r="R100" s="82"/>
      <c r="S100" s="82">
        <f t="shared" si="25"/>
        <v>3375.6666666666665</v>
      </c>
      <c r="T100" s="283"/>
    </row>
    <row r="101" spans="1:20" ht="15.75" customHeight="1" thickBot="1" x14ac:dyDescent="0.3">
      <c r="A101" s="41"/>
      <c r="B101" s="41"/>
      <c r="C101" s="276"/>
      <c r="D101" s="100" t="s">
        <v>153</v>
      </c>
      <c r="E101" s="100" t="s">
        <v>168</v>
      </c>
      <c r="F101" s="48"/>
      <c r="G101" s="48"/>
      <c r="H101" s="48">
        <f>12733-6440</f>
        <v>6293</v>
      </c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>
        <f t="shared" si="25"/>
        <v>6293</v>
      </c>
      <c r="T101" s="283"/>
    </row>
    <row r="102" spans="1:20" ht="14.25" customHeight="1" x14ac:dyDescent="0.25">
      <c r="D102" s="101" t="s">
        <v>120</v>
      </c>
      <c r="E102" s="101" t="s">
        <v>120</v>
      </c>
      <c r="F102" s="64">
        <f t="shared" ref="F102:O102" si="26">SUM(F85:F101)</f>
        <v>48277</v>
      </c>
      <c r="G102" s="64">
        <f t="shared" si="26"/>
        <v>0</v>
      </c>
      <c r="H102" s="64">
        <f t="shared" si="26"/>
        <v>34009.5</v>
      </c>
      <c r="I102" s="64">
        <f t="shared" si="26"/>
        <v>11638</v>
      </c>
      <c r="J102" s="64">
        <f t="shared" si="26"/>
        <v>15383</v>
      </c>
      <c r="K102" s="64">
        <f t="shared" si="26"/>
        <v>14481</v>
      </c>
      <c r="L102" s="64">
        <f t="shared" si="26"/>
        <v>0</v>
      </c>
      <c r="M102" s="64">
        <f t="shared" si="26"/>
        <v>21875</v>
      </c>
      <c r="N102" s="64">
        <f t="shared" si="26"/>
        <v>0</v>
      </c>
      <c r="O102" s="64">
        <f t="shared" si="26"/>
        <v>5771</v>
      </c>
      <c r="P102" s="64">
        <f>SUM(P85:P101)</f>
        <v>27466</v>
      </c>
      <c r="Q102" s="64">
        <f>SUM(Q85:Q101)</f>
        <v>17242.666666666668</v>
      </c>
      <c r="R102" s="64">
        <f>SUM(R85:R101)</f>
        <v>0</v>
      </c>
      <c r="S102" s="54">
        <f>SUM(S85:S101)</f>
        <v>196143.16666666666</v>
      </c>
    </row>
    <row r="103" spans="1:20" ht="15.75" customHeight="1" thickBot="1" x14ac:dyDescent="0.3"/>
    <row r="104" spans="1:20" ht="17.25" x14ac:dyDescent="0.25">
      <c r="A104" s="166" t="s">
        <v>188</v>
      </c>
      <c r="B104" s="167">
        <f>B85+1</f>
        <v>202606</v>
      </c>
      <c r="C104" s="275">
        <f>B104</f>
        <v>202606</v>
      </c>
      <c r="D104" s="94" t="s">
        <v>151</v>
      </c>
      <c r="E104" s="177" t="s">
        <v>252</v>
      </c>
      <c r="F104" s="60">
        <f>75+90+160+240+99+120+150+594+49+80+443+380+110+200+300+540+140+60+140+325+500+120</f>
        <v>4915</v>
      </c>
      <c r="G104" s="59">
        <v>1000</v>
      </c>
      <c r="H104" s="59">
        <f>50+300+15+70+25+40+169</f>
        <v>669</v>
      </c>
      <c r="I104" s="60">
        <v>320</v>
      </c>
      <c r="J104" s="59">
        <f>75+1950+167+500+234</f>
        <v>2926</v>
      </c>
      <c r="K104" s="60">
        <f>163+500+1280</f>
        <v>1943</v>
      </c>
      <c r="L104" s="60">
        <v>64</v>
      </c>
      <c r="M104" s="148">
        <f>55+147+430+35+558+50+149+104+198+780+95+150+175+75+137+213+167+45+170+234+100+1498+164+204+269+35+279</f>
        <v>6516</v>
      </c>
      <c r="N104" s="60">
        <f>976+1650</f>
        <v>2626</v>
      </c>
      <c r="O104" s="60"/>
      <c r="P104" s="60">
        <v>277</v>
      </c>
      <c r="Q104" s="60">
        <f>2000+2000+2000+2000+1000+1000+1000</f>
        <v>11000</v>
      </c>
      <c r="R104" s="60">
        <f>75+200</f>
        <v>275</v>
      </c>
      <c r="S104" s="44">
        <f t="shared" ref="S104:S120" si="27">SUM(F104:R104)</f>
        <v>32531</v>
      </c>
      <c r="T104" s="277">
        <f>SUM(S104:S110)</f>
        <v>95046</v>
      </c>
    </row>
    <row r="105" spans="1:20" ht="15" customHeight="1" thickBot="1" x14ac:dyDescent="0.3">
      <c r="A105" s="164" t="s">
        <v>247</v>
      </c>
      <c r="B105" s="162">
        <f>$J$2</f>
        <v>166666.66666666666</v>
      </c>
      <c r="C105" s="275"/>
      <c r="D105" s="95" t="s">
        <v>151</v>
      </c>
      <c r="E105" s="176" t="s">
        <v>251</v>
      </c>
      <c r="F105" s="79"/>
      <c r="G105" s="78"/>
      <c r="H105" s="78">
        <v>490</v>
      </c>
      <c r="I105" s="79"/>
      <c r="J105" s="78"/>
      <c r="K105" s="79"/>
      <c r="L105" s="79"/>
      <c r="M105" s="149"/>
      <c r="N105" s="79"/>
      <c r="O105" s="79"/>
      <c r="P105" s="79"/>
      <c r="Q105" s="79"/>
      <c r="R105" s="79"/>
      <c r="S105" s="80">
        <f t="shared" si="27"/>
        <v>490</v>
      </c>
      <c r="T105" s="278"/>
    </row>
    <row r="106" spans="1:20" ht="15" customHeight="1" thickTop="1" x14ac:dyDescent="0.25">
      <c r="A106" s="165" t="s">
        <v>237</v>
      </c>
      <c r="B106" s="182" cm="1">
        <f t="array" ref="B106">SUMPRODUCT((($V$10:$V$21)&lt;=VALUE(B104))*($Z$10:$Z$21))</f>
        <v>1227618.5253333335</v>
      </c>
      <c r="C106" s="275"/>
      <c r="D106" s="95" t="s">
        <v>151</v>
      </c>
      <c r="E106" s="176" t="s">
        <v>254</v>
      </c>
      <c r="F106" s="79">
        <f>3326+9493</f>
        <v>12819</v>
      </c>
      <c r="G106" s="78"/>
      <c r="H106" s="78"/>
      <c r="I106" s="79">
        <f>158+494</f>
        <v>652</v>
      </c>
      <c r="J106" s="78"/>
      <c r="K106" s="79"/>
      <c r="L106" s="79"/>
      <c r="M106" s="149">
        <f>198+1399+684</f>
        <v>2281</v>
      </c>
      <c r="N106" s="79"/>
      <c r="O106" s="79"/>
      <c r="P106" s="79"/>
      <c r="Q106" s="79">
        <f>9491-7000+746</f>
        <v>3237</v>
      </c>
      <c r="R106" s="79">
        <v>226</v>
      </c>
      <c r="S106" s="80">
        <f t="shared" si="27"/>
        <v>19215</v>
      </c>
      <c r="T106" s="278"/>
    </row>
    <row r="107" spans="1:20" ht="15" customHeight="1" x14ac:dyDescent="0.25">
      <c r="A107" s="165" t="s">
        <v>264</v>
      </c>
      <c r="B107" s="181">
        <f>B106/SUMPRODUCT(('2026'!$V$10:$V$21&lt;='2026'!B104)*'2022'!$Z$10:$Z$21)</f>
        <v>1.2923374947320183</v>
      </c>
      <c r="C107" s="275"/>
      <c r="D107" s="95" t="s">
        <v>151</v>
      </c>
      <c r="E107" s="176" t="s">
        <v>255</v>
      </c>
      <c r="F107" s="79">
        <f>300+698</f>
        <v>998</v>
      </c>
      <c r="G107" s="78"/>
      <c r="H107" s="78">
        <f>160*12+25+40+1402+160</f>
        <v>3547</v>
      </c>
      <c r="I107" s="79"/>
      <c r="J107" s="78">
        <f>25+1545</f>
        <v>1570</v>
      </c>
      <c r="K107" s="79">
        <f>38</f>
        <v>38</v>
      </c>
      <c r="L107" s="79"/>
      <c r="M107" s="149">
        <f>529+698</f>
        <v>1227</v>
      </c>
      <c r="N107" s="79"/>
      <c r="O107" s="79"/>
      <c r="P107" s="79"/>
      <c r="Q107" s="79">
        <f>597+493</f>
        <v>1090</v>
      </c>
      <c r="R107" s="79">
        <v>1588</v>
      </c>
      <c r="S107" s="80">
        <f t="shared" si="27"/>
        <v>10058</v>
      </c>
      <c r="T107" s="278"/>
    </row>
    <row r="108" spans="1:20" ht="15" customHeight="1" x14ac:dyDescent="0.25">
      <c r="A108" s="165" t="s">
        <v>236</v>
      </c>
      <c r="B108" s="186">
        <f>B106-$K$2*VALUE(RIGHT(B104,2))/9</f>
        <v>1227618.5253333335</v>
      </c>
      <c r="C108" s="275"/>
      <c r="D108" s="96" t="s">
        <v>151</v>
      </c>
      <c r="E108" s="176" t="s">
        <v>256</v>
      </c>
      <c r="F108" s="79">
        <f>6500+3000+200+790</f>
        <v>10490</v>
      </c>
      <c r="G108" s="78"/>
      <c r="H108" s="78">
        <v>9999</v>
      </c>
      <c r="I108" s="78"/>
      <c r="J108" s="78"/>
      <c r="K108" s="79"/>
      <c r="L108" s="79"/>
      <c r="M108" s="149">
        <f>885+1290</f>
        <v>2175</v>
      </c>
      <c r="N108" s="79"/>
      <c r="O108" s="79"/>
      <c r="P108" s="79"/>
      <c r="Q108" s="79"/>
      <c r="R108" s="79"/>
      <c r="S108" s="80">
        <f t="shared" si="27"/>
        <v>22664</v>
      </c>
      <c r="T108" s="278"/>
    </row>
    <row r="109" spans="1:20" ht="15" customHeight="1" x14ac:dyDescent="0.25">
      <c r="A109" s="164" t="s">
        <v>242</v>
      </c>
      <c r="B109" s="157">
        <f>B108/($J$2*12)</f>
        <v>0.6138092626666668</v>
      </c>
      <c r="C109" s="275"/>
      <c r="D109" s="95" t="s">
        <v>151</v>
      </c>
      <c r="E109" s="176" t="s">
        <v>257</v>
      </c>
      <c r="F109" s="79">
        <f>5867+2571+1000</f>
        <v>9438</v>
      </c>
      <c r="G109" s="78"/>
      <c r="H109" s="78"/>
      <c r="I109" s="79"/>
      <c r="J109" s="78"/>
      <c r="K109" s="79"/>
      <c r="L109" s="79"/>
      <c r="M109" s="149"/>
      <c r="N109" s="79"/>
      <c r="O109" s="79"/>
      <c r="P109" s="79"/>
      <c r="Q109" s="79"/>
      <c r="R109" s="79"/>
      <c r="S109" s="80">
        <f t="shared" si="27"/>
        <v>9438</v>
      </c>
      <c r="T109" s="278"/>
    </row>
    <row r="110" spans="1:20" ht="15" customHeight="1" x14ac:dyDescent="0.25">
      <c r="A110" s="164" t="s">
        <v>241</v>
      </c>
      <c r="B110" s="126">
        <f>VALUE(RIGHT(B104,2))/12</f>
        <v>0.5</v>
      </c>
      <c r="C110" s="275"/>
      <c r="D110" s="95" t="s">
        <v>151</v>
      </c>
      <c r="E110" s="176" t="s">
        <v>263</v>
      </c>
      <c r="F110" s="78">
        <v>250</v>
      </c>
      <c r="G110" s="78"/>
      <c r="H110" s="78"/>
      <c r="I110" s="79"/>
      <c r="J110" s="78"/>
      <c r="K110" s="79"/>
      <c r="L110" s="79"/>
      <c r="M110" s="149"/>
      <c r="N110" s="79"/>
      <c r="O110" s="79"/>
      <c r="P110" s="79"/>
      <c r="Q110" s="79">
        <v>400</v>
      </c>
      <c r="R110" s="79"/>
      <c r="S110" s="80">
        <f>SUM(F110:R110)</f>
        <v>650</v>
      </c>
      <c r="T110" s="279"/>
    </row>
    <row r="111" spans="1:20" ht="15" customHeight="1" x14ac:dyDescent="0.25">
      <c r="A111" s="164" t="s">
        <v>243</v>
      </c>
      <c r="B111" s="161">
        <f>B105*VALUE(RIGHT(B104,2))-B108</f>
        <v>-227618.52533333353</v>
      </c>
      <c r="C111" s="275"/>
      <c r="D111" s="97" t="s">
        <v>152</v>
      </c>
      <c r="E111" s="97" t="s">
        <v>144</v>
      </c>
      <c r="F111" s="85"/>
      <c r="G111" s="46"/>
      <c r="H111" s="85"/>
      <c r="I111" s="46"/>
      <c r="J111" s="46"/>
      <c r="K111" s="46"/>
      <c r="L111" s="46"/>
      <c r="M111" s="152"/>
      <c r="N111" s="46"/>
      <c r="O111" s="86"/>
      <c r="P111" s="46"/>
      <c r="Q111" s="46"/>
      <c r="R111" s="46"/>
      <c r="S111" s="83">
        <f t="shared" si="27"/>
        <v>0</v>
      </c>
      <c r="T111" s="280">
        <f>SUM(S111:S115)</f>
        <v>11569</v>
      </c>
    </row>
    <row r="112" spans="1:20" ht="15" customHeight="1" x14ac:dyDescent="0.25">
      <c r="A112" s="164" t="s">
        <v>265</v>
      </c>
      <c r="B112" s="184">
        <f>$J$2-(S121-F118)</f>
        <v>55566.999999999985</v>
      </c>
      <c r="C112" s="275"/>
      <c r="D112" s="97" t="s">
        <v>152</v>
      </c>
      <c r="E112" s="97" t="s">
        <v>145</v>
      </c>
      <c r="F112" s="85">
        <f>300+450</f>
        <v>750</v>
      </c>
      <c r="G112" s="46"/>
      <c r="H112" s="85">
        <v>490</v>
      </c>
      <c r="I112" s="46"/>
      <c r="J112" s="46"/>
      <c r="K112" s="46"/>
      <c r="L112" s="46"/>
      <c r="M112" s="152"/>
      <c r="N112" s="46"/>
      <c r="O112" s="89"/>
      <c r="P112" s="46"/>
      <c r="Q112" s="46"/>
      <c r="R112" s="46"/>
      <c r="S112" s="83">
        <f t="shared" si="27"/>
        <v>1240</v>
      </c>
      <c r="T112" s="281"/>
    </row>
    <row r="113" spans="1:23" ht="15" customHeight="1" x14ac:dyDescent="0.25">
      <c r="C113" s="275"/>
      <c r="D113" s="97" t="s">
        <v>152</v>
      </c>
      <c r="E113" s="97" t="s">
        <v>146</v>
      </c>
      <c r="F113" s="86"/>
      <c r="G113" s="46"/>
      <c r="H113" s="87">
        <v>9999</v>
      </c>
      <c r="I113" s="89"/>
      <c r="J113" s="46"/>
      <c r="K113" s="46"/>
      <c r="L113" s="46"/>
      <c r="M113" s="152"/>
      <c r="N113" s="46"/>
      <c r="O113" s="46"/>
      <c r="P113" s="46"/>
      <c r="Q113" s="46"/>
      <c r="R113" s="46"/>
      <c r="S113" s="83">
        <f t="shared" si="27"/>
        <v>9999</v>
      </c>
      <c r="T113" s="281"/>
    </row>
    <row r="114" spans="1:23" ht="15" customHeight="1" x14ac:dyDescent="0.25">
      <c r="C114" s="275"/>
      <c r="D114" s="97" t="s">
        <v>152</v>
      </c>
      <c r="E114" s="97" t="s">
        <v>147</v>
      </c>
      <c r="F114" s="85"/>
      <c r="G114" s="46"/>
      <c r="H114" s="87">
        <v>330</v>
      </c>
      <c r="I114" s="46"/>
      <c r="J114" s="46"/>
      <c r="K114" s="46"/>
      <c r="L114" s="46"/>
      <c r="M114" s="152"/>
      <c r="N114" s="46"/>
      <c r="O114" s="46"/>
      <c r="P114" s="46"/>
      <c r="Q114" s="46"/>
      <c r="R114" s="46"/>
      <c r="S114" s="83">
        <f t="shared" si="27"/>
        <v>330</v>
      </c>
      <c r="T114" s="281"/>
    </row>
    <row r="115" spans="1:23" ht="15" customHeight="1" x14ac:dyDescent="0.25">
      <c r="C115" s="275"/>
      <c r="D115" s="97" t="s">
        <v>152</v>
      </c>
      <c r="E115" s="97" t="s">
        <v>168</v>
      </c>
      <c r="F115" s="85"/>
      <c r="G115" s="46"/>
      <c r="H115" s="85"/>
      <c r="I115" s="46"/>
      <c r="J115" s="46"/>
      <c r="K115" s="46"/>
      <c r="L115" s="46"/>
      <c r="M115" s="152"/>
      <c r="N115" s="46"/>
      <c r="O115" s="46"/>
      <c r="P115" s="46"/>
      <c r="Q115" s="46"/>
      <c r="R115" s="46"/>
      <c r="S115" s="83">
        <f t="shared" si="27"/>
        <v>0</v>
      </c>
      <c r="T115" s="281"/>
    </row>
    <row r="116" spans="1:23" ht="15" customHeight="1" x14ac:dyDescent="0.25">
      <c r="C116" s="275"/>
      <c r="D116" s="98" t="s">
        <v>153</v>
      </c>
      <c r="E116" s="98" t="s">
        <v>170</v>
      </c>
      <c r="F116" s="81"/>
      <c r="G116" s="81"/>
      <c r="H116" s="81"/>
      <c r="I116" s="81"/>
      <c r="J116" s="81"/>
      <c r="K116" s="81"/>
      <c r="L116" s="81"/>
      <c r="M116" s="81">
        <v>260</v>
      </c>
      <c r="N116" s="81"/>
      <c r="O116" s="81"/>
      <c r="P116" s="81"/>
      <c r="Q116" s="81"/>
      <c r="R116" s="81"/>
      <c r="S116" s="81">
        <f t="shared" si="27"/>
        <v>260</v>
      </c>
      <c r="T116" s="282">
        <f>SUM(S116:S120)</f>
        <v>4484.6666666666661</v>
      </c>
    </row>
    <row r="117" spans="1:23" ht="15" customHeight="1" x14ac:dyDescent="0.25">
      <c r="C117" s="275"/>
      <c r="D117" s="99" t="s">
        <v>153</v>
      </c>
      <c r="E117" s="99" t="s">
        <v>171</v>
      </c>
      <c r="F117" s="82"/>
      <c r="G117" s="82"/>
      <c r="H117" s="82"/>
      <c r="I117" s="82"/>
      <c r="J117" s="82"/>
      <c r="K117" s="82"/>
      <c r="L117" s="82"/>
      <c r="M117" s="140">
        <v>850</v>
      </c>
      <c r="N117" s="82"/>
      <c r="O117" s="82"/>
      <c r="P117" s="82"/>
      <c r="Q117" s="82"/>
      <c r="R117" s="82"/>
      <c r="S117" s="82">
        <f t="shared" si="27"/>
        <v>850</v>
      </c>
      <c r="T117" s="283"/>
    </row>
    <row r="118" spans="1:23" ht="15" customHeight="1" x14ac:dyDescent="0.25">
      <c r="C118" s="275"/>
      <c r="D118" s="99" t="s">
        <v>153</v>
      </c>
      <c r="E118" s="99" t="s">
        <v>172</v>
      </c>
      <c r="F118" s="82"/>
      <c r="G118" s="82"/>
      <c r="H118" s="81"/>
      <c r="I118" s="82"/>
      <c r="J118" s="82"/>
      <c r="K118" s="82"/>
      <c r="L118" s="82"/>
      <c r="M118" s="140"/>
      <c r="N118" s="82"/>
      <c r="O118" s="82"/>
      <c r="P118" s="82"/>
      <c r="Q118" s="82"/>
      <c r="R118" s="82"/>
      <c r="S118" s="82">
        <f t="shared" si="27"/>
        <v>0</v>
      </c>
      <c r="T118" s="283"/>
    </row>
    <row r="119" spans="1:23" s="41" customFormat="1" ht="15" customHeight="1" x14ac:dyDescent="0.25">
      <c r="A119" s="45"/>
      <c r="B119" s="45"/>
      <c r="C119" s="276"/>
      <c r="D119" s="99" t="s">
        <v>153</v>
      </c>
      <c r="E119" s="99" t="s">
        <v>173</v>
      </c>
      <c r="F119" s="82"/>
      <c r="G119" s="82"/>
      <c r="H119" s="82"/>
      <c r="I119" s="82"/>
      <c r="J119" s="82"/>
      <c r="K119" s="82"/>
      <c r="L119" s="82"/>
      <c r="M119" s="140"/>
      <c r="N119" s="82"/>
      <c r="O119" s="82"/>
      <c r="P119" s="82"/>
      <c r="Q119" s="82">
        <f>40508/12-1</f>
        <v>3374.6666666666665</v>
      </c>
      <c r="R119" s="82"/>
      <c r="S119" s="82">
        <f t="shared" si="27"/>
        <v>3374.6666666666665</v>
      </c>
      <c r="T119" s="283"/>
    </row>
    <row r="120" spans="1:23" ht="15.75" customHeight="1" thickBot="1" x14ac:dyDescent="0.3">
      <c r="A120" s="41"/>
      <c r="B120" s="41"/>
      <c r="C120" s="276"/>
      <c r="D120" s="100" t="s">
        <v>153</v>
      </c>
      <c r="E120" s="100" t="s">
        <v>168</v>
      </c>
      <c r="F120" s="48"/>
      <c r="G120" s="48"/>
      <c r="H120" s="48"/>
      <c r="I120" s="48"/>
      <c r="J120" s="48"/>
      <c r="K120" s="48"/>
      <c r="L120" s="48"/>
      <c r="M120" s="141"/>
      <c r="N120" s="48"/>
      <c r="O120" s="48"/>
      <c r="P120" s="48"/>
      <c r="Q120" s="48"/>
      <c r="R120" s="48"/>
      <c r="S120" s="48">
        <f t="shared" si="27"/>
        <v>0</v>
      </c>
      <c r="T120" s="283"/>
    </row>
    <row r="121" spans="1:23" ht="15" customHeight="1" x14ac:dyDescent="0.25">
      <c r="D121" s="101" t="s">
        <v>120</v>
      </c>
      <c r="E121" s="101" t="s">
        <v>120</v>
      </c>
      <c r="F121" s="64">
        <f>SUM(F104:F120)</f>
        <v>39660</v>
      </c>
      <c r="G121" s="64">
        <f>SUM(G104:G120)</f>
        <v>1000</v>
      </c>
      <c r="H121" s="64">
        <f>SUM(H104:H120)</f>
        <v>25524</v>
      </c>
      <c r="I121" s="64">
        <f t="shared" ref="I121:P121" si="28">SUM(I104:I120)</f>
        <v>972</v>
      </c>
      <c r="J121" s="64">
        <f t="shared" si="28"/>
        <v>4496</v>
      </c>
      <c r="K121" s="64">
        <f t="shared" si="28"/>
        <v>1981</v>
      </c>
      <c r="L121" s="64">
        <f t="shared" si="28"/>
        <v>64</v>
      </c>
      <c r="M121" s="150">
        <f t="shared" si="28"/>
        <v>13309</v>
      </c>
      <c r="N121" s="64">
        <f t="shared" si="28"/>
        <v>2626</v>
      </c>
      <c r="O121" s="64">
        <f t="shared" si="28"/>
        <v>0</v>
      </c>
      <c r="P121" s="64">
        <f t="shared" si="28"/>
        <v>277</v>
      </c>
      <c r="Q121" s="64">
        <f>SUM(Q104:Q120)</f>
        <v>19101.666666666668</v>
      </c>
      <c r="R121" s="64">
        <f>SUM(R104:R120)</f>
        <v>2089</v>
      </c>
      <c r="S121" s="54">
        <f>SUM(S104:S120)</f>
        <v>111099.66666666667</v>
      </c>
      <c r="T121" s="52"/>
      <c r="U121" s="52"/>
    </row>
    <row r="122" spans="1:23" ht="15.75" customHeight="1" thickBot="1" x14ac:dyDescent="0.3">
      <c r="M122" s="151"/>
    </row>
    <row r="123" spans="1:23" ht="17.25" x14ac:dyDescent="0.25">
      <c r="A123" s="166" t="s">
        <v>188</v>
      </c>
      <c r="B123" s="167">
        <f>B104+1</f>
        <v>202607</v>
      </c>
      <c r="C123" s="275">
        <f>B123</f>
        <v>202607</v>
      </c>
      <c r="D123" s="94" t="s">
        <v>151</v>
      </c>
      <c r="E123" s="177" t="s">
        <v>252</v>
      </c>
      <c r="F123" s="60">
        <f>400+140+420+112+40+50+161+125+1485+140+30+59+1485+75</f>
        <v>4722</v>
      </c>
      <c r="G123" s="59"/>
      <c r="H123" s="59">
        <f>2592+294</f>
        <v>2886</v>
      </c>
      <c r="I123" s="60">
        <f>60+114</f>
        <v>174</v>
      </c>
      <c r="J123" s="59">
        <v>115</v>
      </c>
      <c r="K123" s="60">
        <f>360+60</f>
        <v>420</v>
      </c>
      <c r="L123" s="60">
        <v>1304</v>
      </c>
      <c r="M123" s="148">
        <f>295+269</f>
        <v>564</v>
      </c>
      <c r="N123" s="60">
        <v>270</v>
      </c>
      <c r="O123" s="60"/>
      <c r="P123" s="60">
        <f>1300+168+61</f>
        <v>1529</v>
      </c>
      <c r="Q123" s="60">
        <f>2000+2000+2000+2000</f>
        <v>8000</v>
      </c>
      <c r="R123" s="60"/>
      <c r="S123" s="44">
        <f t="shared" ref="S123:S139" si="29">SUM(F123:R123)</f>
        <v>19984</v>
      </c>
      <c r="T123" s="277">
        <f>SUM(S123:S129)</f>
        <v>60595</v>
      </c>
      <c r="V123" s="52"/>
    </row>
    <row r="124" spans="1:23" ht="15" customHeight="1" thickBot="1" x14ac:dyDescent="0.3">
      <c r="A124" s="164" t="s">
        <v>247</v>
      </c>
      <c r="B124" s="162">
        <f>$J$2</f>
        <v>166666.66666666666</v>
      </c>
      <c r="C124" s="275"/>
      <c r="D124" s="95" t="s">
        <v>151</v>
      </c>
      <c r="E124" s="176" t="s">
        <v>251</v>
      </c>
      <c r="F124" s="79"/>
      <c r="G124" s="78"/>
      <c r="H124" s="78"/>
      <c r="I124" s="79"/>
      <c r="J124" s="78"/>
      <c r="K124" s="79"/>
      <c r="L124" s="79"/>
      <c r="M124" s="149"/>
      <c r="N124" s="79"/>
      <c r="O124" s="79"/>
      <c r="P124" s="79"/>
      <c r="Q124" s="79"/>
      <c r="R124" s="79"/>
      <c r="S124" s="80">
        <f t="shared" si="29"/>
        <v>0</v>
      </c>
      <c r="T124" s="278"/>
      <c r="V124" s="52"/>
    </row>
    <row r="125" spans="1:23" ht="15" customHeight="1" thickTop="1" x14ac:dyDescent="0.25">
      <c r="A125" s="165" t="s">
        <v>237</v>
      </c>
      <c r="B125" s="182">
        <f>SUMPRODUCT((($V$10:$V$21)&lt;=VALUE(B123))*($Z$10:$Z$21))</f>
        <v>1517168.5420000001</v>
      </c>
      <c r="C125" s="275"/>
      <c r="D125" s="95" t="s">
        <v>151</v>
      </c>
      <c r="E125" s="176" t="s">
        <v>254</v>
      </c>
      <c r="F125" s="79">
        <f>3326+9493+154</f>
        <v>12973</v>
      </c>
      <c r="G125" s="78"/>
      <c r="H125" s="78">
        <f>160*4*4</f>
        <v>2560</v>
      </c>
      <c r="I125" s="79">
        <v>4156</v>
      </c>
      <c r="J125" s="78"/>
      <c r="K125" s="79"/>
      <c r="L125" s="79"/>
      <c r="M125" s="149"/>
      <c r="N125" s="79"/>
      <c r="O125" s="79"/>
      <c r="P125" s="79"/>
      <c r="Q125" s="79">
        <f>9491-7000+1376+1500</f>
        <v>5367</v>
      </c>
      <c r="R125" s="79"/>
      <c r="S125" s="80">
        <f t="shared" si="29"/>
        <v>25056</v>
      </c>
      <c r="T125" s="278"/>
      <c r="V125" s="52"/>
      <c r="W125" s="55"/>
    </row>
    <row r="126" spans="1:23" ht="15" customHeight="1" x14ac:dyDescent="0.25">
      <c r="A126" s="165" t="s">
        <v>264</v>
      </c>
      <c r="B126" s="181">
        <f>B125/SUMPRODUCT(('2026'!$V$10:$V$21&lt;='2026'!B123)*'2022'!$Z$10:$Z$21)</f>
        <v>1.3697047580442032</v>
      </c>
      <c r="C126" s="275"/>
      <c r="D126" s="95" t="s">
        <v>151</v>
      </c>
      <c r="E126" s="176" t="s">
        <v>255</v>
      </c>
      <c r="F126" s="79">
        <f>100+698</f>
        <v>798</v>
      </c>
      <c r="G126" s="78"/>
      <c r="H126" s="78">
        <f>1474+1411</f>
        <v>2885</v>
      </c>
      <c r="I126" s="79"/>
      <c r="J126" s="78"/>
      <c r="K126" s="79">
        <v>60</v>
      </c>
      <c r="L126" s="79"/>
      <c r="M126" s="149"/>
      <c r="N126" s="79"/>
      <c r="O126" s="79"/>
      <c r="P126" s="79"/>
      <c r="Q126" s="79">
        <v>597</v>
      </c>
      <c r="R126" s="79"/>
      <c r="S126" s="80">
        <f t="shared" si="29"/>
        <v>4340</v>
      </c>
      <c r="T126" s="278"/>
      <c r="V126" s="52"/>
    </row>
    <row r="127" spans="1:23" ht="15" customHeight="1" x14ac:dyDescent="0.25">
      <c r="A127" s="165" t="s">
        <v>236</v>
      </c>
      <c r="B127" s="186">
        <f>B125-$K$2*VALUE(RIGHT(B123,2))/9</f>
        <v>1517168.5420000001</v>
      </c>
      <c r="C127" s="275"/>
      <c r="D127" s="96" t="s">
        <v>151</v>
      </c>
      <c r="E127" s="176" t="s">
        <v>256</v>
      </c>
      <c r="F127" s="79">
        <v>5000</v>
      </c>
      <c r="G127" s="78"/>
      <c r="H127" s="78"/>
      <c r="I127" s="78"/>
      <c r="J127" s="78"/>
      <c r="K127" s="79"/>
      <c r="L127" s="79"/>
      <c r="M127" s="149">
        <v>215</v>
      </c>
      <c r="N127" s="79"/>
      <c r="O127" s="79"/>
      <c r="P127" s="79"/>
      <c r="Q127" s="79"/>
      <c r="R127" s="79"/>
      <c r="S127" s="80">
        <f t="shared" si="29"/>
        <v>5215</v>
      </c>
      <c r="T127" s="278"/>
      <c r="V127" s="52"/>
    </row>
    <row r="128" spans="1:23" ht="15" customHeight="1" x14ac:dyDescent="0.25">
      <c r="A128" s="164" t="s">
        <v>242</v>
      </c>
      <c r="B128" s="157">
        <f>B127/($J$2*12)</f>
        <v>0.75858427100000003</v>
      </c>
      <c r="C128" s="275"/>
      <c r="D128" s="95" t="s">
        <v>151</v>
      </c>
      <c r="E128" s="176" t="s">
        <v>257</v>
      </c>
      <c r="F128" s="79">
        <v>1000</v>
      </c>
      <c r="G128" s="78"/>
      <c r="H128" s="78"/>
      <c r="I128" s="79">
        <v>5000</v>
      </c>
      <c r="J128" s="78"/>
      <c r="K128" s="79"/>
      <c r="L128" s="79"/>
      <c r="M128" s="149"/>
      <c r="N128" s="79"/>
      <c r="O128" s="79"/>
      <c r="P128" s="79"/>
      <c r="Q128" s="79"/>
      <c r="R128" s="79"/>
      <c r="S128" s="80">
        <f t="shared" si="29"/>
        <v>6000</v>
      </c>
      <c r="T128" s="278"/>
      <c r="V128" s="52"/>
    </row>
    <row r="129" spans="1:23" ht="15" customHeight="1" x14ac:dyDescent="0.25">
      <c r="A129" s="164" t="s">
        <v>282</v>
      </c>
      <c r="B129" s="126">
        <f>VALUE(RIGHT(B123,2))/12</f>
        <v>0.58333333333333337</v>
      </c>
      <c r="C129" s="275"/>
      <c r="D129" s="95" t="s">
        <v>151</v>
      </c>
      <c r="E129" s="176" t="s">
        <v>263</v>
      </c>
      <c r="F129" s="78"/>
      <c r="G129" s="78"/>
      <c r="H129" s="78"/>
      <c r="I129" s="79"/>
      <c r="J129" s="78"/>
      <c r="K129" s="79"/>
      <c r="L129" s="79"/>
      <c r="M129" s="149"/>
      <c r="N129" s="79"/>
      <c r="O129" s="79"/>
      <c r="P129" s="79"/>
      <c r="Q129" s="79"/>
      <c r="R129" s="79"/>
      <c r="S129" s="80">
        <f t="shared" si="29"/>
        <v>0</v>
      </c>
      <c r="T129" s="279"/>
      <c r="V129" s="52"/>
    </row>
    <row r="130" spans="1:23" ht="15" customHeight="1" x14ac:dyDescent="0.25">
      <c r="A130" s="164" t="s">
        <v>243</v>
      </c>
      <c r="B130" s="161">
        <f>B124*VALUE(RIGHT(B123,2))-B127</f>
        <v>-350501.87533333362</v>
      </c>
      <c r="C130" s="275"/>
      <c r="D130" s="97" t="s">
        <v>152</v>
      </c>
      <c r="E130" s="97" t="s">
        <v>144</v>
      </c>
      <c r="F130" s="85">
        <v>450</v>
      </c>
      <c r="G130" s="46"/>
      <c r="H130" s="85"/>
      <c r="I130" s="89"/>
      <c r="J130" s="46"/>
      <c r="K130" s="46"/>
      <c r="L130" s="46"/>
      <c r="M130" s="152"/>
      <c r="N130" s="46"/>
      <c r="O130" s="86"/>
      <c r="P130" s="46"/>
      <c r="Q130" s="46"/>
      <c r="R130" s="46"/>
      <c r="S130" s="83">
        <f t="shared" si="29"/>
        <v>450</v>
      </c>
      <c r="T130" s="280">
        <f>SUM(S130:S134)</f>
        <v>1428</v>
      </c>
    </row>
    <row r="131" spans="1:23" ht="15" customHeight="1" x14ac:dyDescent="0.25">
      <c r="A131" s="164" t="s">
        <v>265</v>
      </c>
      <c r="B131" s="184">
        <f>$J$2-(S140-F137)</f>
        <v>-116703.35</v>
      </c>
      <c r="C131" s="275"/>
      <c r="D131" s="97" t="s">
        <v>152</v>
      </c>
      <c r="E131" s="97" t="s">
        <v>145</v>
      </c>
      <c r="F131" s="85"/>
      <c r="G131" s="46"/>
      <c r="H131" s="85"/>
      <c r="I131" s="46"/>
      <c r="J131" s="46"/>
      <c r="K131" s="46"/>
      <c r="L131" s="46"/>
      <c r="M131" s="152"/>
      <c r="N131" s="46"/>
      <c r="O131" s="85"/>
      <c r="P131" s="46"/>
      <c r="Q131" s="46"/>
      <c r="R131" s="46"/>
      <c r="S131" s="83">
        <f t="shared" si="29"/>
        <v>0</v>
      </c>
      <c r="T131" s="281"/>
    </row>
    <row r="132" spans="1:23" ht="15" customHeight="1" x14ac:dyDescent="0.25">
      <c r="C132" s="275"/>
      <c r="D132" s="97" t="s">
        <v>152</v>
      </c>
      <c r="E132" s="97" t="s">
        <v>146</v>
      </c>
      <c r="F132" s="86">
        <f>136+2</f>
        <v>138</v>
      </c>
      <c r="G132" s="46"/>
      <c r="H132" s="87">
        <f>330+5</f>
        <v>335</v>
      </c>
      <c r="I132" s="46"/>
      <c r="J132" s="46"/>
      <c r="K132" s="46"/>
      <c r="L132" s="46"/>
      <c r="M132" s="152"/>
      <c r="N132" s="46"/>
      <c r="O132" s="85"/>
      <c r="P132" s="46"/>
      <c r="Q132" s="46"/>
      <c r="R132" s="46"/>
      <c r="S132" s="83">
        <f t="shared" si="29"/>
        <v>473</v>
      </c>
      <c r="T132" s="281"/>
    </row>
    <row r="133" spans="1:23" ht="15" customHeight="1" x14ac:dyDescent="0.25">
      <c r="C133" s="275"/>
      <c r="D133" s="97" t="s">
        <v>152</v>
      </c>
      <c r="E133" s="97" t="s">
        <v>147</v>
      </c>
      <c r="F133" s="85">
        <f>131+2</f>
        <v>133</v>
      </c>
      <c r="G133" s="46"/>
      <c r="H133" s="87"/>
      <c r="I133" s="46"/>
      <c r="J133" s="46"/>
      <c r="K133" s="46"/>
      <c r="L133" s="46"/>
      <c r="M133" s="152"/>
      <c r="N133" s="46"/>
      <c r="O133" s="85"/>
      <c r="P133" s="46"/>
      <c r="Q133" s="46"/>
      <c r="R133" s="46"/>
      <c r="S133" s="83">
        <f t="shared" si="29"/>
        <v>133</v>
      </c>
      <c r="T133" s="281"/>
    </row>
    <row r="134" spans="1:23" ht="15" customHeight="1" x14ac:dyDescent="0.25">
      <c r="C134" s="275"/>
      <c r="D134" s="97" t="s">
        <v>152</v>
      </c>
      <c r="E134" s="97" t="s">
        <v>168</v>
      </c>
      <c r="F134" s="85">
        <v>100</v>
      </c>
      <c r="G134" s="46"/>
      <c r="H134" s="46"/>
      <c r="I134" s="46"/>
      <c r="J134" s="89">
        <v>272</v>
      </c>
      <c r="K134" s="46"/>
      <c r="L134" s="46"/>
      <c r="M134" s="152"/>
      <c r="N134" s="46"/>
      <c r="O134" s="86"/>
      <c r="P134" s="46"/>
      <c r="Q134" s="46"/>
      <c r="R134" s="46"/>
      <c r="S134" s="83">
        <f t="shared" si="29"/>
        <v>372</v>
      </c>
      <c r="T134" s="281"/>
    </row>
    <row r="135" spans="1:23" ht="15" customHeight="1" x14ac:dyDescent="0.25">
      <c r="C135" s="275"/>
      <c r="D135" s="98" t="s">
        <v>153</v>
      </c>
      <c r="E135" s="178" t="s">
        <v>258</v>
      </c>
      <c r="F135" s="81">
        <v>2000</v>
      </c>
      <c r="G135" s="81"/>
      <c r="H135" s="81">
        <f>13459+4129+2669+4027+4125+338+5+238+3+193+3+478+7+38+39+2403+36+1383+21+271+4+1384+21+372+6+134+2+435+6+277+4+425+6+1588+24+655+10+1925+29+595+9+283+4+5789+87+252+4+688+10+218+3+892+13+146+2+165+3+1015+15+281+4+193+3+60+1</f>
        <v>51907</v>
      </c>
      <c r="I135" s="81">
        <f>22679/2+340/2+801+12+801+12+12707+190+13951+209+15532+2924+478+7+630+9+636+9+630+26085*0.21+19003+2204</f>
        <v>87732.35</v>
      </c>
      <c r="J135" s="81">
        <f>5558+7528+113+20</f>
        <v>13219</v>
      </c>
      <c r="K135" s="81">
        <f>2678+1995+30+479+7+2536+38+3746+56+2598+39+1455+22+113+2+1332+20+9679+145+2185+33+551+8+356+5+2377+36+216+3</f>
        <v>32740</v>
      </c>
      <c r="L135" s="81"/>
      <c r="M135" s="81">
        <f>4129+2669</f>
        <v>6798</v>
      </c>
      <c r="N135" s="81"/>
      <c r="O135" s="81"/>
      <c r="P135" s="81">
        <f>18697-3000+280+2694</f>
        <v>18671</v>
      </c>
      <c r="Q135" s="81"/>
      <c r="R135" s="81">
        <f>975+775</f>
        <v>1750</v>
      </c>
      <c r="S135" s="81">
        <f t="shared" si="29"/>
        <v>214817.35</v>
      </c>
      <c r="T135" s="282">
        <f>SUM(S135:S139)</f>
        <v>227527.01666666666</v>
      </c>
      <c r="V135" s="52"/>
    </row>
    <row r="136" spans="1:23" ht="15" customHeight="1" x14ac:dyDescent="0.25">
      <c r="C136" s="275"/>
      <c r="D136" s="99" t="s">
        <v>153</v>
      </c>
      <c r="E136" s="99" t="s">
        <v>171</v>
      </c>
      <c r="F136" s="82"/>
      <c r="G136" s="82"/>
      <c r="H136" s="82">
        <v>913</v>
      </c>
      <c r="I136" s="82"/>
      <c r="J136" s="82"/>
      <c r="K136" s="82"/>
      <c r="L136" s="82"/>
      <c r="M136" s="140"/>
      <c r="N136" s="82"/>
      <c r="O136" s="82"/>
      <c r="P136" s="82"/>
      <c r="Q136" s="82"/>
      <c r="R136" s="82"/>
      <c r="S136" s="82">
        <f t="shared" si="29"/>
        <v>913</v>
      </c>
      <c r="T136" s="283"/>
      <c r="V136" s="52"/>
    </row>
    <row r="137" spans="1:23" ht="15" customHeight="1" x14ac:dyDescent="0.25">
      <c r="C137" s="275"/>
      <c r="D137" s="99" t="s">
        <v>153</v>
      </c>
      <c r="E137" s="99" t="s">
        <v>172</v>
      </c>
      <c r="F137" s="82">
        <v>6180</v>
      </c>
      <c r="G137" s="82"/>
      <c r="H137" s="82"/>
      <c r="I137" s="82"/>
      <c r="J137" s="82"/>
      <c r="K137" s="82"/>
      <c r="L137" s="82"/>
      <c r="M137" s="140"/>
      <c r="N137" s="82"/>
      <c r="O137" s="82"/>
      <c r="P137" s="82"/>
      <c r="Q137" s="82"/>
      <c r="R137" s="82"/>
      <c r="S137" s="82">
        <f t="shared" si="29"/>
        <v>6180</v>
      </c>
      <c r="T137" s="283"/>
      <c r="U137" s="52"/>
      <c r="V137" s="52"/>
      <c r="W137" s="55"/>
    </row>
    <row r="138" spans="1:23" s="41" customFormat="1" ht="15" customHeight="1" x14ac:dyDescent="0.25">
      <c r="A138" s="45"/>
      <c r="B138" s="45"/>
      <c r="C138" s="276"/>
      <c r="D138" s="99" t="s">
        <v>153</v>
      </c>
      <c r="E138" s="99" t="s">
        <v>173</v>
      </c>
      <c r="F138" s="82"/>
      <c r="G138" s="82"/>
      <c r="H138" s="82"/>
      <c r="I138" s="82"/>
      <c r="J138" s="82"/>
      <c r="K138" s="82"/>
      <c r="L138" s="82"/>
      <c r="M138" s="140"/>
      <c r="N138" s="82"/>
      <c r="O138" s="82"/>
      <c r="P138" s="82"/>
      <c r="Q138" s="82">
        <f>40508/12</f>
        <v>3375.6666666666665</v>
      </c>
      <c r="R138" s="82"/>
      <c r="S138" s="82">
        <f t="shared" si="29"/>
        <v>3375.6666666666665</v>
      </c>
      <c r="T138" s="283"/>
      <c r="V138" s="52"/>
    </row>
    <row r="139" spans="1:23" ht="15.75" customHeight="1" thickBot="1" x14ac:dyDescent="0.3">
      <c r="A139" s="41"/>
      <c r="B139" s="41"/>
      <c r="C139" s="276"/>
      <c r="D139" s="100" t="s">
        <v>153</v>
      </c>
      <c r="E139" s="100" t="s">
        <v>168</v>
      </c>
      <c r="F139" s="48"/>
      <c r="G139" s="48"/>
      <c r="H139" s="48">
        <v>2241</v>
      </c>
      <c r="I139" s="48"/>
      <c r="J139" s="48"/>
      <c r="K139" s="48"/>
      <c r="L139" s="48"/>
      <c r="M139" s="141"/>
      <c r="N139" s="48"/>
      <c r="O139" s="48"/>
      <c r="P139" s="48"/>
      <c r="Q139" s="48"/>
      <c r="R139" s="48"/>
      <c r="S139" s="48">
        <f t="shared" si="29"/>
        <v>2241</v>
      </c>
      <c r="T139" s="283"/>
      <c r="V139" s="52"/>
    </row>
    <row r="140" spans="1:23" ht="15" customHeight="1" x14ac:dyDescent="0.25">
      <c r="D140" s="101" t="s">
        <v>120</v>
      </c>
      <c r="E140" s="101" t="s">
        <v>120</v>
      </c>
      <c r="F140" s="64">
        <f>SUM(F123:F139)</f>
        <v>33494</v>
      </c>
      <c r="G140" s="64">
        <f>SUM(G123:G139)</f>
        <v>0</v>
      </c>
      <c r="H140" s="64">
        <f>SUM(H123:H139)</f>
        <v>63727</v>
      </c>
      <c r="I140" s="64">
        <f t="shared" ref="I140:P140" si="30">SUM(I123:I139)</f>
        <v>97062.35</v>
      </c>
      <c r="J140" s="64">
        <f t="shared" si="30"/>
        <v>13606</v>
      </c>
      <c r="K140" s="64">
        <f t="shared" si="30"/>
        <v>33220</v>
      </c>
      <c r="L140" s="64">
        <f t="shared" si="30"/>
        <v>1304</v>
      </c>
      <c r="M140" s="150">
        <f t="shared" si="30"/>
        <v>7577</v>
      </c>
      <c r="N140" s="64">
        <f t="shared" si="30"/>
        <v>270</v>
      </c>
      <c r="O140" s="64">
        <f t="shared" si="30"/>
        <v>0</v>
      </c>
      <c r="P140" s="64">
        <f t="shared" si="30"/>
        <v>20200</v>
      </c>
      <c r="Q140" s="64">
        <f>SUM(Q123:Q139)</f>
        <v>17339.666666666668</v>
      </c>
      <c r="R140" s="64">
        <f>SUM(R123:R139)</f>
        <v>1750</v>
      </c>
      <c r="S140" s="54">
        <f>SUM(S123:S139)</f>
        <v>289550.01666666666</v>
      </c>
    </row>
    <row r="141" spans="1:23" ht="15.75" customHeight="1" thickBot="1" x14ac:dyDescent="0.3">
      <c r="M141" s="151"/>
    </row>
    <row r="142" spans="1:23" ht="17.25" x14ac:dyDescent="0.25">
      <c r="A142" s="166" t="s">
        <v>188</v>
      </c>
      <c r="B142" s="167">
        <f>B123+1</f>
        <v>202608</v>
      </c>
      <c r="C142" s="275">
        <f>B142</f>
        <v>202608</v>
      </c>
      <c r="D142" s="94" t="s">
        <v>151</v>
      </c>
      <c r="E142" s="177" t="s">
        <v>252</v>
      </c>
      <c r="F142" s="60">
        <f>69+400+60+120+135+150+100+100+55+297+180+110+29+275+56+155</f>
        <v>2291</v>
      </c>
      <c r="G142" s="59"/>
      <c r="H142" s="59">
        <v>1310</v>
      </c>
      <c r="I142" s="60"/>
      <c r="J142" s="59">
        <f>200+223+134</f>
        <v>557</v>
      </c>
      <c r="K142" s="60"/>
      <c r="L142" s="60"/>
      <c r="M142" s="148">
        <f>300+1000+235</f>
        <v>1535</v>
      </c>
      <c r="N142" s="60">
        <f>709+328+45</f>
        <v>1082</v>
      </c>
      <c r="O142" s="60"/>
      <c r="P142" s="60">
        <f>269+54</f>
        <v>323</v>
      </c>
      <c r="Q142" s="60">
        <f>2000+2000+2000+2000</f>
        <v>8000</v>
      </c>
      <c r="R142" s="60"/>
      <c r="S142" s="44">
        <f t="shared" ref="S142:S158" si="31">SUM(F142:R142)</f>
        <v>15098</v>
      </c>
      <c r="T142" s="277">
        <f>SUM(S142:S148)</f>
        <v>64393</v>
      </c>
    </row>
    <row r="143" spans="1:23" ht="15" customHeight="1" thickBot="1" x14ac:dyDescent="0.3">
      <c r="A143" s="164" t="s">
        <v>247</v>
      </c>
      <c r="B143" s="162">
        <f>$J$2</f>
        <v>166666.66666666666</v>
      </c>
      <c r="C143" s="275"/>
      <c r="D143" s="95" t="s">
        <v>151</v>
      </c>
      <c r="E143" s="176" t="s">
        <v>251</v>
      </c>
      <c r="F143" s="79"/>
      <c r="G143" s="78"/>
      <c r="H143" s="78"/>
      <c r="I143" s="79"/>
      <c r="J143" s="78"/>
      <c r="K143" s="79"/>
      <c r="L143" s="79"/>
      <c r="M143" s="149"/>
      <c r="N143" s="79"/>
      <c r="O143" s="79"/>
      <c r="P143" s="79"/>
      <c r="Q143" s="79"/>
      <c r="R143" s="79"/>
      <c r="S143" s="80">
        <f t="shared" si="31"/>
        <v>0</v>
      </c>
      <c r="T143" s="278"/>
    </row>
    <row r="144" spans="1:23" ht="15" customHeight="1" thickTop="1" x14ac:dyDescent="0.25">
      <c r="A144" s="165" t="s">
        <v>237</v>
      </c>
      <c r="B144" s="182">
        <f>SUMPRODUCT((($V$10:$V$21)&lt;=VALUE(B142))*($Z$10:$Z$21))</f>
        <v>1593325.2086666669</v>
      </c>
      <c r="C144" s="275"/>
      <c r="D144" s="95" t="s">
        <v>151</v>
      </c>
      <c r="E144" s="176" t="s">
        <v>254</v>
      </c>
      <c r="F144" s="79">
        <f>3326+9493+66</f>
        <v>12885</v>
      </c>
      <c r="G144" s="78"/>
      <c r="H144" s="78"/>
      <c r="I144" s="79"/>
      <c r="J144" s="78"/>
      <c r="K144" s="79"/>
      <c r="L144" s="79"/>
      <c r="M144" s="149"/>
      <c r="N144" s="79"/>
      <c r="O144" s="79"/>
      <c r="P144" s="79">
        <v>500</v>
      </c>
      <c r="Q144" s="79">
        <f>9491-7000</f>
        <v>2491</v>
      </c>
      <c r="R144" s="79"/>
      <c r="S144" s="80">
        <f t="shared" si="31"/>
        <v>15876</v>
      </c>
      <c r="T144" s="278"/>
    </row>
    <row r="145" spans="1:20" ht="15" customHeight="1" x14ac:dyDescent="0.25">
      <c r="A145" s="165" t="s">
        <v>264</v>
      </c>
      <c r="B145" s="181">
        <f>B144/SUMPRODUCT(('2026'!$V$10:$V$21&lt;='2026'!B142)*'2022'!$Z$10:$Z$21)</f>
        <v>1.2649945962225164</v>
      </c>
      <c r="C145" s="275"/>
      <c r="D145" s="95" t="s">
        <v>151</v>
      </c>
      <c r="E145" s="176" t="s">
        <v>255</v>
      </c>
      <c r="F145" s="79">
        <f>698+35</f>
        <v>733</v>
      </c>
      <c r="G145" s="78"/>
      <c r="H145" s="78">
        <f>1455+160*6+200*6+25</f>
        <v>3640</v>
      </c>
      <c r="I145" s="79"/>
      <c r="J145" s="78"/>
      <c r="K145" s="79"/>
      <c r="L145" s="79"/>
      <c r="M145" s="149"/>
      <c r="N145" s="79"/>
      <c r="O145" s="79"/>
      <c r="P145" s="79"/>
      <c r="Q145" s="79">
        <v>597</v>
      </c>
      <c r="R145" s="79"/>
      <c r="S145" s="80">
        <f t="shared" si="31"/>
        <v>4970</v>
      </c>
      <c r="T145" s="278"/>
    </row>
    <row r="146" spans="1:20" ht="15" customHeight="1" x14ac:dyDescent="0.25">
      <c r="A146" s="165" t="s">
        <v>236</v>
      </c>
      <c r="B146" s="186">
        <f>B144-$K$2*VALUE(RIGHT(B142,2))/9</f>
        <v>1593325.2086666669</v>
      </c>
      <c r="C146" s="275"/>
      <c r="D146" s="96" t="s">
        <v>151</v>
      </c>
      <c r="E146" s="176" t="s">
        <v>256</v>
      </c>
      <c r="F146" s="79">
        <v>800</v>
      </c>
      <c r="G146" s="78"/>
      <c r="H146" s="78"/>
      <c r="I146" s="78"/>
      <c r="J146" s="78"/>
      <c r="K146" s="79">
        <f>910+5739</f>
        <v>6649</v>
      </c>
      <c r="L146" s="79"/>
      <c r="M146" s="149"/>
      <c r="N146" s="79"/>
      <c r="O146" s="79"/>
      <c r="P146" s="79"/>
      <c r="Q146" s="79"/>
      <c r="R146" s="79"/>
      <c r="S146" s="80">
        <f t="shared" si="31"/>
        <v>7449</v>
      </c>
      <c r="T146" s="278"/>
    </row>
    <row r="147" spans="1:20" ht="15" customHeight="1" x14ac:dyDescent="0.25">
      <c r="A147" s="164" t="s">
        <v>242</v>
      </c>
      <c r="B147" s="157">
        <f>B146/($J$2*12)</f>
        <v>0.79666260433333347</v>
      </c>
      <c r="C147" s="275"/>
      <c r="D147" s="95" t="s">
        <v>151</v>
      </c>
      <c r="E147" s="176" t="s">
        <v>257</v>
      </c>
      <c r="F147" s="79">
        <v>21000</v>
      </c>
      <c r="G147" s="78"/>
      <c r="H147" s="78"/>
      <c r="I147" s="79"/>
      <c r="J147" s="78"/>
      <c r="K147" s="79"/>
      <c r="L147" s="79"/>
      <c r="M147" s="149"/>
      <c r="N147" s="79"/>
      <c r="O147" s="79"/>
      <c r="P147" s="79"/>
      <c r="Q147" s="79"/>
      <c r="R147" s="79"/>
      <c r="S147" s="80">
        <f t="shared" si="31"/>
        <v>21000</v>
      </c>
      <c r="T147" s="278"/>
    </row>
    <row r="148" spans="1:20" ht="15" customHeight="1" x14ac:dyDescent="0.25">
      <c r="A148" s="164" t="s">
        <v>282</v>
      </c>
      <c r="B148" s="126">
        <f>VALUE(RIGHT(B142,2))/12</f>
        <v>0.66666666666666663</v>
      </c>
      <c r="C148" s="275"/>
      <c r="D148" s="95" t="s">
        <v>151</v>
      </c>
      <c r="E148" s="176" t="s">
        <v>263</v>
      </c>
      <c r="F148" s="78"/>
      <c r="G148" s="78"/>
      <c r="H148" s="78"/>
      <c r="I148" s="79"/>
      <c r="J148" s="78"/>
      <c r="K148" s="79"/>
      <c r="L148" s="79"/>
      <c r="M148" s="149"/>
      <c r="N148" s="79"/>
      <c r="O148" s="79"/>
      <c r="P148" s="79"/>
      <c r="Q148" s="79"/>
      <c r="R148" s="79"/>
      <c r="S148" s="80">
        <f t="shared" si="31"/>
        <v>0</v>
      </c>
      <c r="T148" s="279"/>
    </row>
    <row r="149" spans="1:20" ht="15" customHeight="1" x14ac:dyDescent="0.25">
      <c r="A149" s="164" t="s">
        <v>243</v>
      </c>
      <c r="B149" s="161">
        <f>B143*VALUE(RIGHT(B142,2))-B146</f>
        <v>-259991.87533333362</v>
      </c>
      <c r="C149" s="275"/>
      <c r="D149" s="97" t="s">
        <v>152</v>
      </c>
      <c r="E149" s="97" t="s">
        <v>144</v>
      </c>
      <c r="F149" s="85"/>
      <c r="G149" s="46"/>
      <c r="H149" s="85"/>
      <c r="I149" s="46"/>
      <c r="J149" s="46"/>
      <c r="K149" s="46"/>
      <c r="L149" s="46"/>
      <c r="M149" s="152"/>
      <c r="N149" s="46"/>
      <c r="O149" s="86"/>
      <c r="P149" s="46"/>
      <c r="Q149" s="46"/>
      <c r="R149" s="46"/>
      <c r="S149" s="83">
        <f t="shared" si="31"/>
        <v>0</v>
      </c>
      <c r="T149" s="280">
        <f>SUM(S149:S153)</f>
        <v>3649</v>
      </c>
    </row>
    <row r="150" spans="1:20" ht="15" customHeight="1" x14ac:dyDescent="0.25">
      <c r="A150" s="164" t="s">
        <v>265</v>
      </c>
      <c r="B150" s="184">
        <f>$J$2-(S159-F156)</f>
        <v>90509.999999999985</v>
      </c>
      <c r="C150" s="275"/>
      <c r="D150" s="97" t="s">
        <v>152</v>
      </c>
      <c r="E150" s="97" t="s">
        <v>145</v>
      </c>
      <c r="F150" s="85"/>
      <c r="G150" s="46"/>
      <c r="H150" s="85"/>
      <c r="I150" s="46"/>
      <c r="J150" s="46"/>
      <c r="K150" s="46"/>
      <c r="L150" s="46"/>
      <c r="M150" s="152"/>
      <c r="N150" s="46"/>
      <c r="O150" s="86"/>
      <c r="P150" s="46"/>
      <c r="Q150" s="46"/>
      <c r="R150" s="46"/>
      <c r="S150" s="83">
        <f t="shared" si="31"/>
        <v>0</v>
      </c>
      <c r="T150" s="281"/>
    </row>
    <row r="151" spans="1:20" ht="15" customHeight="1" x14ac:dyDescent="0.25">
      <c r="C151" s="275"/>
      <c r="D151" s="97" t="s">
        <v>152</v>
      </c>
      <c r="E151" s="97" t="s">
        <v>146</v>
      </c>
      <c r="F151" s="86"/>
      <c r="G151" s="46"/>
      <c r="H151" s="87"/>
      <c r="I151" s="46"/>
      <c r="J151" s="46"/>
      <c r="K151" s="46"/>
      <c r="L151" s="46"/>
      <c r="M151" s="152"/>
      <c r="N151" s="46"/>
      <c r="O151" s="86">
        <v>1500</v>
      </c>
      <c r="P151" s="46"/>
      <c r="Q151" s="46"/>
      <c r="R151" s="46"/>
      <c r="S151" s="83">
        <f t="shared" si="31"/>
        <v>1500</v>
      </c>
      <c r="T151" s="281"/>
    </row>
    <row r="152" spans="1:20" ht="15" customHeight="1" x14ac:dyDescent="0.25">
      <c r="C152" s="275"/>
      <c r="D152" s="97" t="s">
        <v>152</v>
      </c>
      <c r="E152" s="97" t="s">
        <v>147</v>
      </c>
      <c r="F152" s="85"/>
      <c r="G152" s="46"/>
      <c r="H152" s="87"/>
      <c r="I152" s="46"/>
      <c r="J152" s="46"/>
      <c r="K152" s="46"/>
      <c r="L152" s="46"/>
      <c r="M152" s="86">
        <v>2149</v>
      </c>
      <c r="N152" s="46"/>
      <c r="O152" s="46"/>
      <c r="P152" s="46"/>
      <c r="Q152" s="86"/>
      <c r="R152" s="46"/>
      <c r="S152" s="83">
        <f t="shared" si="31"/>
        <v>2149</v>
      </c>
      <c r="T152" s="281"/>
    </row>
    <row r="153" spans="1:20" ht="15" customHeight="1" x14ac:dyDescent="0.25">
      <c r="C153" s="275"/>
      <c r="D153" s="97" t="s">
        <v>152</v>
      </c>
      <c r="E153" s="97" t="s">
        <v>168</v>
      </c>
      <c r="F153" s="85"/>
      <c r="G153" s="46"/>
      <c r="H153" s="46"/>
      <c r="I153" s="46"/>
      <c r="J153" s="46"/>
      <c r="K153" s="46"/>
      <c r="L153" s="46"/>
      <c r="M153" s="152"/>
      <c r="N153" s="46"/>
      <c r="O153" s="86"/>
      <c r="P153" s="46"/>
      <c r="Q153" s="46"/>
      <c r="R153" s="46"/>
      <c r="S153" s="83">
        <f t="shared" si="31"/>
        <v>0</v>
      </c>
      <c r="T153" s="281"/>
    </row>
    <row r="154" spans="1:20" ht="15" customHeight="1" x14ac:dyDescent="0.25">
      <c r="C154" s="275"/>
      <c r="D154" s="98" t="s">
        <v>153</v>
      </c>
      <c r="E154" s="98" t="s">
        <v>170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>
        <f t="shared" si="31"/>
        <v>0</v>
      </c>
      <c r="T154" s="282">
        <f>SUM(S154:S158)</f>
        <v>8114.6666666666661</v>
      </c>
    </row>
    <row r="155" spans="1:20" ht="15" customHeight="1" x14ac:dyDescent="0.25">
      <c r="C155" s="275"/>
      <c r="D155" s="99" t="s">
        <v>153</v>
      </c>
      <c r="E155" s="99" t="s">
        <v>171</v>
      </c>
      <c r="F155" s="82"/>
      <c r="G155" s="82"/>
      <c r="H155" s="82"/>
      <c r="I155" s="82"/>
      <c r="J155" s="82"/>
      <c r="K155" s="82"/>
      <c r="L155" s="82"/>
      <c r="M155" s="140"/>
      <c r="N155" s="82"/>
      <c r="O155" s="82"/>
      <c r="P155" s="82"/>
      <c r="Q155" s="82"/>
      <c r="R155" s="82"/>
      <c r="S155" s="82">
        <f t="shared" si="31"/>
        <v>0</v>
      </c>
      <c r="T155" s="283"/>
    </row>
    <row r="156" spans="1:20" ht="15" customHeight="1" x14ac:dyDescent="0.25">
      <c r="C156" s="275"/>
      <c r="D156" s="99" t="s">
        <v>153</v>
      </c>
      <c r="E156" s="99" t="s">
        <v>172</v>
      </c>
      <c r="F156" s="82"/>
      <c r="G156" s="82"/>
      <c r="H156" s="82"/>
      <c r="I156" s="82"/>
      <c r="J156" s="82"/>
      <c r="K156" s="82"/>
      <c r="L156" s="82"/>
      <c r="M156" s="140"/>
      <c r="N156" s="82"/>
      <c r="O156" s="82"/>
      <c r="P156" s="82"/>
      <c r="Q156" s="82"/>
      <c r="R156" s="82"/>
      <c r="S156" s="82">
        <f t="shared" si="31"/>
        <v>0</v>
      </c>
      <c r="T156" s="283"/>
    </row>
    <row r="157" spans="1:20" s="41" customFormat="1" ht="15" customHeight="1" x14ac:dyDescent="0.25">
      <c r="A157" s="45"/>
      <c r="B157" s="52"/>
      <c r="C157" s="276"/>
      <c r="D157" s="99" t="s">
        <v>153</v>
      </c>
      <c r="E157" s="99" t="s">
        <v>173</v>
      </c>
      <c r="F157" s="82"/>
      <c r="G157" s="82"/>
      <c r="H157" s="82"/>
      <c r="I157" s="82"/>
      <c r="J157" s="82"/>
      <c r="K157" s="82">
        <v>739</v>
      </c>
      <c r="L157" s="82"/>
      <c r="M157" s="140"/>
      <c r="N157" s="82"/>
      <c r="O157" s="82"/>
      <c r="P157" s="82"/>
      <c r="Q157" s="82">
        <f>40508/12</f>
        <v>3375.6666666666665</v>
      </c>
      <c r="R157" s="82"/>
      <c r="S157" s="82">
        <f t="shared" si="31"/>
        <v>4114.6666666666661</v>
      </c>
      <c r="T157" s="283"/>
    </row>
    <row r="158" spans="1:20" ht="15.75" customHeight="1" thickBot="1" x14ac:dyDescent="0.3">
      <c r="A158" s="41"/>
      <c r="B158" s="163"/>
      <c r="C158" s="276"/>
      <c r="D158" s="100" t="s">
        <v>153</v>
      </c>
      <c r="E158" s="100" t="s">
        <v>168</v>
      </c>
      <c r="F158" s="48"/>
      <c r="G158" s="48"/>
      <c r="H158" s="48"/>
      <c r="I158" s="48"/>
      <c r="J158" s="48"/>
      <c r="K158" s="48"/>
      <c r="L158" s="48"/>
      <c r="M158" s="141"/>
      <c r="N158" s="48"/>
      <c r="O158" s="48"/>
      <c r="P158" s="48"/>
      <c r="Q158" s="48">
        <f>3000+1000</f>
        <v>4000</v>
      </c>
      <c r="R158" s="48"/>
      <c r="S158" s="48">
        <f t="shared" si="31"/>
        <v>4000</v>
      </c>
      <c r="T158" s="283"/>
    </row>
    <row r="159" spans="1:20" ht="15" customHeight="1" x14ac:dyDescent="0.25">
      <c r="D159" s="101" t="s">
        <v>120</v>
      </c>
      <c r="E159" s="101" t="s">
        <v>120</v>
      </c>
      <c r="F159" s="64">
        <f>SUM(F142:F158)</f>
        <v>37709</v>
      </c>
      <c r="G159" s="64">
        <f>SUM(G142:G158)</f>
        <v>0</v>
      </c>
      <c r="H159" s="64">
        <f>SUM(H142:H158)</f>
        <v>4950</v>
      </c>
      <c r="I159" s="64">
        <f t="shared" ref="I159:P159" si="32">SUM(I142:I158)</f>
        <v>0</v>
      </c>
      <c r="J159" s="64">
        <f t="shared" si="32"/>
        <v>557</v>
      </c>
      <c r="K159" s="64">
        <f t="shared" si="32"/>
        <v>7388</v>
      </c>
      <c r="L159" s="64">
        <f t="shared" si="32"/>
        <v>0</v>
      </c>
      <c r="M159" s="150">
        <f t="shared" si="32"/>
        <v>3684</v>
      </c>
      <c r="N159" s="64">
        <f t="shared" si="32"/>
        <v>1082</v>
      </c>
      <c r="O159" s="64">
        <f t="shared" si="32"/>
        <v>1500</v>
      </c>
      <c r="P159" s="64">
        <f t="shared" si="32"/>
        <v>823</v>
      </c>
      <c r="Q159" s="64">
        <f>SUM(Q142:Q158)</f>
        <v>18463.666666666664</v>
      </c>
      <c r="R159" s="64">
        <f>SUM(R142:R158)</f>
        <v>0</v>
      </c>
      <c r="S159" s="54">
        <f>SUM(S142:S158)</f>
        <v>76156.666666666672</v>
      </c>
    </row>
    <row r="160" spans="1:20" ht="15.75" customHeight="1" thickBot="1" x14ac:dyDescent="0.3">
      <c r="M160" s="151"/>
    </row>
    <row r="161" spans="1:20" ht="17.25" x14ac:dyDescent="0.25">
      <c r="A161" s="166" t="s">
        <v>188</v>
      </c>
      <c r="B161" s="167">
        <f>B142+1</f>
        <v>202609</v>
      </c>
      <c r="C161" s="275">
        <f>B161</f>
        <v>202609</v>
      </c>
      <c r="D161" s="94" t="s">
        <v>151</v>
      </c>
      <c r="E161" s="177" t="s">
        <v>252</v>
      </c>
      <c r="F161" s="60"/>
      <c r="G161" s="59"/>
      <c r="H161" s="59"/>
      <c r="I161" s="60"/>
      <c r="J161" s="59"/>
      <c r="K161" s="60"/>
      <c r="L161" s="60"/>
      <c r="M161" s="148"/>
      <c r="N161" s="60"/>
      <c r="O161" s="60"/>
      <c r="P161" s="60"/>
      <c r="Q161" s="60">
        <f>2000+2000+2000+2000</f>
        <v>8000</v>
      </c>
      <c r="R161" s="60"/>
      <c r="S161" s="44">
        <f t="shared" ref="S161:S177" si="33">SUM(F161:R161)</f>
        <v>8000</v>
      </c>
      <c r="T161" s="277">
        <f>SUM(S161:S167)</f>
        <v>64413</v>
      </c>
    </row>
    <row r="162" spans="1:20" ht="15" customHeight="1" thickBot="1" x14ac:dyDescent="0.3">
      <c r="A162" s="164" t="s">
        <v>247</v>
      </c>
      <c r="B162" s="162">
        <f>$J$2</f>
        <v>166666.66666666666</v>
      </c>
      <c r="C162" s="275"/>
      <c r="D162" s="95" t="s">
        <v>151</v>
      </c>
      <c r="E162" s="176" t="s">
        <v>251</v>
      </c>
      <c r="F162" s="79"/>
      <c r="G162" s="78"/>
      <c r="H162" s="78"/>
      <c r="I162" s="79"/>
      <c r="J162" s="78"/>
      <c r="K162" s="79"/>
      <c r="L162" s="79"/>
      <c r="M162" s="149"/>
      <c r="N162" s="79"/>
      <c r="O162" s="79"/>
      <c r="P162" s="79"/>
      <c r="Q162" s="79"/>
      <c r="R162" s="79"/>
      <c r="S162" s="80">
        <f t="shared" si="33"/>
        <v>0</v>
      </c>
      <c r="T162" s="278"/>
    </row>
    <row r="163" spans="1:20" ht="15" customHeight="1" thickTop="1" x14ac:dyDescent="0.25">
      <c r="A163" s="165" t="s">
        <v>237</v>
      </c>
      <c r="B163" s="182">
        <f>SUMPRODUCT((($V$10:$V$21)&lt;=VALUE(B161))*($Z$10:$Z$21))</f>
        <v>1661113.8753333336</v>
      </c>
      <c r="C163" s="275"/>
      <c r="D163" s="95" t="s">
        <v>151</v>
      </c>
      <c r="E163" s="176" t="s">
        <v>254</v>
      </c>
      <c r="F163" s="79">
        <f>3326+9493</f>
        <v>12819</v>
      </c>
      <c r="G163" s="78"/>
      <c r="H163" s="78"/>
      <c r="I163" s="79"/>
      <c r="J163" s="78"/>
      <c r="K163" s="79"/>
      <c r="L163" s="79"/>
      <c r="M163" s="149"/>
      <c r="N163" s="79"/>
      <c r="O163" s="79"/>
      <c r="P163" s="79"/>
      <c r="Q163" s="79">
        <f>9491-7000</f>
        <v>2491</v>
      </c>
      <c r="R163" s="79"/>
      <c r="S163" s="80">
        <f t="shared" si="33"/>
        <v>15310</v>
      </c>
      <c r="T163" s="278"/>
    </row>
    <row r="164" spans="1:20" ht="15" customHeight="1" x14ac:dyDescent="0.25">
      <c r="A164" s="165" t="s">
        <v>264</v>
      </c>
      <c r="B164" s="181">
        <f>B163/SUMPRODUCT(('2026'!$V$10:$V$21&lt;='2026'!B161)*'2022'!$Z$10:$Z$21)</f>
        <v>1.137683773901593</v>
      </c>
      <c r="C164" s="275"/>
      <c r="D164" s="95" t="s">
        <v>151</v>
      </c>
      <c r="E164" s="176" t="s">
        <v>255</v>
      </c>
      <c r="F164" s="79">
        <v>698</v>
      </c>
      <c r="G164" s="78"/>
      <c r="H164" s="78"/>
      <c r="I164" s="79"/>
      <c r="J164" s="78"/>
      <c r="K164" s="79"/>
      <c r="L164" s="79"/>
      <c r="M164" s="149"/>
      <c r="N164" s="79"/>
      <c r="O164" s="79"/>
      <c r="P164" s="79"/>
      <c r="Q164" s="79">
        <v>597</v>
      </c>
      <c r="R164" s="79"/>
      <c r="S164" s="80">
        <f t="shared" si="33"/>
        <v>1295</v>
      </c>
      <c r="T164" s="278"/>
    </row>
    <row r="165" spans="1:20" ht="15" customHeight="1" x14ac:dyDescent="0.25">
      <c r="A165" s="165" t="s">
        <v>236</v>
      </c>
      <c r="B165" s="186">
        <f>B163-$K$2*VALUE(RIGHT(B161,2))/9</f>
        <v>1661113.8753333336</v>
      </c>
      <c r="C165" s="275"/>
      <c r="D165" s="96" t="s">
        <v>151</v>
      </c>
      <c r="E165" s="176" t="s">
        <v>256</v>
      </c>
      <c r="F165" s="79">
        <v>6500</v>
      </c>
      <c r="G165" s="78"/>
      <c r="H165" s="78"/>
      <c r="I165" s="78"/>
      <c r="J165" s="78"/>
      <c r="K165" s="79">
        <f>38081/3+61843/3</f>
        <v>33308</v>
      </c>
      <c r="L165" s="79"/>
      <c r="M165" s="149"/>
      <c r="N165" s="79"/>
      <c r="O165" s="79"/>
      <c r="P165" s="79"/>
      <c r="Q165" s="79"/>
      <c r="R165" s="79"/>
      <c r="S165" s="80">
        <f t="shared" si="33"/>
        <v>39808</v>
      </c>
      <c r="T165" s="278"/>
    </row>
    <row r="166" spans="1:20" ht="15" customHeight="1" x14ac:dyDescent="0.25">
      <c r="A166" s="164" t="s">
        <v>242</v>
      </c>
      <c r="B166" s="157">
        <f>B165/($J$2*12)</f>
        <v>0.83055693766666683</v>
      </c>
      <c r="C166" s="275"/>
      <c r="D166" s="95" t="s">
        <v>151</v>
      </c>
      <c r="E166" s="176" t="s">
        <v>257</v>
      </c>
      <c r="F166" s="79"/>
      <c r="G166" s="78"/>
      <c r="H166" s="78"/>
      <c r="I166" s="79"/>
      <c r="J166" s="78"/>
      <c r="K166" s="79"/>
      <c r="L166" s="79"/>
      <c r="M166" s="149"/>
      <c r="N166" s="79"/>
      <c r="O166" s="79"/>
      <c r="P166" s="79"/>
      <c r="Q166" s="79"/>
      <c r="R166" s="79"/>
      <c r="S166" s="80">
        <f t="shared" si="33"/>
        <v>0</v>
      </c>
      <c r="T166" s="278"/>
    </row>
    <row r="167" spans="1:20" ht="15" customHeight="1" x14ac:dyDescent="0.25">
      <c r="A167" s="164" t="s">
        <v>282</v>
      </c>
      <c r="B167" s="126">
        <f>VALUE(RIGHT(B161,2))/12</f>
        <v>0.75</v>
      </c>
      <c r="C167" s="275"/>
      <c r="D167" s="95" t="s">
        <v>151</v>
      </c>
      <c r="E167" s="176" t="s">
        <v>263</v>
      </c>
      <c r="F167" s="78"/>
      <c r="G167" s="78"/>
      <c r="H167" s="78"/>
      <c r="I167" s="79"/>
      <c r="J167" s="78"/>
      <c r="K167" s="79"/>
      <c r="L167" s="79"/>
      <c r="M167" s="149"/>
      <c r="N167" s="79"/>
      <c r="O167" s="79"/>
      <c r="P167" s="79"/>
      <c r="Q167" s="79"/>
      <c r="R167" s="79"/>
      <c r="S167" s="80">
        <f t="shared" si="33"/>
        <v>0</v>
      </c>
      <c r="T167" s="279"/>
    </row>
    <row r="168" spans="1:20" ht="15" customHeight="1" x14ac:dyDescent="0.25">
      <c r="A168" s="164" t="s">
        <v>243</v>
      </c>
      <c r="B168" s="161">
        <f>B162*VALUE(RIGHT(B161,2))-B165</f>
        <v>-161113.87533333362</v>
      </c>
      <c r="C168" s="275"/>
      <c r="D168" s="97" t="s">
        <v>152</v>
      </c>
      <c r="E168" s="97" t="s">
        <v>144</v>
      </c>
      <c r="F168" s="85"/>
      <c r="G168" s="46"/>
      <c r="H168" s="85"/>
      <c r="I168" s="46"/>
      <c r="J168" s="46"/>
      <c r="K168" s="46"/>
      <c r="L168" s="46"/>
      <c r="M168" s="152"/>
      <c r="N168" s="46"/>
      <c r="O168" s="89"/>
      <c r="P168" s="46"/>
      <c r="Q168" s="46"/>
      <c r="R168" s="46"/>
      <c r="S168" s="83">
        <f t="shared" si="33"/>
        <v>0</v>
      </c>
      <c r="T168" s="280">
        <f>SUM(S168:S172)</f>
        <v>0</v>
      </c>
    </row>
    <row r="169" spans="1:20" ht="15" customHeight="1" x14ac:dyDescent="0.25">
      <c r="A169" s="164" t="s">
        <v>265</v>
      </c>
      <c r="B169" s="184">
        <f>$J$2-(S178-F175)</f>
        <v>98877.999999999985</v>
      </c>
      <c r="C169" s="275"/>
      <c r="D169" s="97" t="s">
        <v>152</v>
      </c>
      <c r="E169" s="97" t="s">
        <v>145</v>
      </c>
      <c r="F169" s="85"/>
      <c r="G169" s="46"/>
      <c r="H169" s="85"/>
      <c r="I169" s="46"/>
      <c r="J169" s="46"/>
      <c r="K169" s="46"/>
      <c r="L169" s="46"/>
      <c r="M169" s="152"/>
      <c r="N169" s="46"/>
      <c r="O169" s="46"/>
      <c r="P169" s="46"/>
      <c r="Q169" s="46"/>
      <c r="R169" s="46"/>
      <c r="S169" s="83">
        <f t="shared" si="33"/>
        <v>0</v>
      </c>
      <c r="T169" s="281"/>
    </row>
    <row r="170" spans="1:20" ht="15" customHeight="1" x14ac:dyDescent="0.25">
      <c r="C170" s="275"/>
      <c r="D170" s="97" t="s">
        <v>152</v>
      </c>
      <c r="E170" s="97" t="s">
        <v>146</v>
      </c>
      <c r="F170" s="85"/>
      <c r="G170" s="46"/>
      <c r="H170" s="87"/>
      <c r="I170" s="46"/>
      <c r="J170" s="46"/>
      <c r="K170" s="46"/>
      <c r="L170" s="46"/>
      <c r="M170" s="152"/>
      <c r="N170" s="46"/>
      <c r="O170" s="46"/>
      <c r="P170" s="46"/>
      <c r="Q170" s="46"/>
      <c r="R170" s="46"/>
      <c r="S170" s="83">
        <f t="shared" si="33"/>
        <v>0</v>
      </c>
      <c r="T170" s="281"/>
    </row>
    <row r="171" spans="1:20" ht="15" customHeight="1" x14ac:dyDescent="0.25">
      <c r="C171" s="275"/>
      <c r="D171" s="97" t="s">
        <v>152</v>
      </c>
      <c r="E171" s="97" t="s">
        <v>147</v>
      </c>
      <c r="F171" s="85"/>
      <c r="G171" s="46"/>
      <c r="H171" s="87"/>
      <c r="I171" s="46"/>
      <c r="J171" s="46"/>
      <c r="K171" s="46"/>
      <c r="L171" s="46"/>
      <c r="M171" s="152"/>
      <c r="N171" s="46"/>
      <c r="O171" s="46"/>
      <c r="P171" s="46"/>
      <c r="Q171" s="46"/>
      <c r="R171" s="46"/>
      <c r="S171" s="83">
        <f t="shared" si="33"/>
        <v>0</v>
      </c>
      <c r="T171" s="281"/>
    </row>
    <row r="172" spans="1:20" ht="15" customHeight="1" x14ac:dyDescent="0.25">
      <c r="C172" s="275"/>
      <c r="D172" s="97" t="s">
        <v>152</v>
      </c>
      <c r="E172" s="97" t="s">
        <v>168</v>
      </c>
      <c r="F172" s="85"/>
      <c r="G172" s="46"/>
      <c r="H172" s="46"/>
      <c r="I172" s="46"/>
      <c r="J172" s="46"/>
      <c r="K172" s="46"/>
      <c r="L172" s="46"/>
      <c r="M172" s="152"/>
      <c r="N172" s="46"/>
      <c r="O172" s="86"/>
      <c r="P172" s="46"/>
      <c r="Q172" s="46"/>
      <c r="R172" s="46"/>
      <c r="S172" s="83">
        <f t="shared" si="33"/>
        <v>0</v>
      </c>
      <c r="T172" s="281"/>
    </row>
    <row r="173" spans="1:20" ht="15" customHeight="1" x14ac:dyDescent="0.25">
      <c r="C173" s="275"/>
      <c r="D173" s="98" t="s">
        <v>153</v>
      </c>
      <c r="E173" s="98" t="s">
        <v>170</v>
      </c>
      <c r="F173" s="81"/>
      <c r="G173" s="81"/>
      <c r="H173" s="81"/>
      <c r="I173" s="81"/>
      <c r="J173" s="81"/>
      <c r="K173" s="81"/>
      <c r="L173" s="81"/>
      <c r="M173" s="91"/>
      <c r="N173" s="81"/>
      <c r="O173" s="81"/>
      <c r="P173" s="81"/>
      <c r="Q173" s="81"/>
      <c r="R173" s="81"/>
      <c r="S173" s="81">
        <f t="shared" si="33"/>
        <v>0</v>
      </c>
      <c r="T173" s="282">
        <f>SUM(S173:S177)</f>
        <v>3375.6666666666665</v>
      </c>
    </row>
    <row r="174" spans="1:20" ht="15" customHeight="1" x14ac:dyDescent="0.25">
      <c r="B174" s="52"/>
      <c r="C174" s="275"/>
      <c r="D174" s="99" t="s">
        <v>153</v>
      </c>
      <c r="E174" s="99" t="s">
        <v>171</v>
      </c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>
        <f t="shared" si="33"/>
        <v>0</v>
      </c>
      <c r="T174" s="283"/>
    </row>
    <row r="175" spans="1:20" ht="15" customHeight="1" x14ac:dyDescent="0.25">
      <c r="B175" s="52"/>
      <c r="C175" s="275"/>
      <c r="D175" s="99" t="s">
        <v>153</v>
      </c>
      <c r="E175" s="99" t="s">
        <v>172</v>
      </c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>
        <f t="shared" si="33"/>
        <v>0</v>
      </c>
      <c r="T175" s="283"/>
    </row>
    <row r="176" spans="1:20" s="41" customFormat="1" ht="15" customHeight="1" x14ac:dyDescent="0.25">
      <c r="A176" s="45"/>
      <c r="B176" s="45"/>
      <c r="C176" s="276"/>
      <c r="D176" s="99" t="s">
        <v>153</v>
      </c>
      <c r="E176" s="99" t="s">
        <v>173</v>
      </c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>
        <f>40508/12</f>
        <v>3375.6666666666665</v>
      </c>
      <c r="R176" s="82"/>
      <c r="S176" s="82">
        <f t="shared" si="33"/>
        <v>3375.6666666666665</v>
      </c>
      <c r="T176" s="283"/>
    </row>
    <row r="177" spans="1:20" ht="15.75" customHeight="1" thickBot="1" x14ac:dyDescent="0.3">
      <c r="A177" s="41"/>
      <c r="B177" s="41"/>
      <c r="C177" s="276"/>
      <c r="D177" s="100" t="s">
        <v>153</v>
      </c>
      <c r="E177" s="100" t="s">
        <v>168</v>
      </c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>
        <f t="shared" si="33"/>
        <v>0</v>
      </c>
      <c r="T177" s="283"/>
    </row>
    <row r="178" spans="1:20" ht="15" customHeight="1" x14ac:dyDescent="0.25">
      <c r="D178" s="101" t="s">
        <v>120</v>
      </c>
      <c r="E178" s="101" t="s">
        <v>120</v>
      </c>
      <c r="F178" s="64">
        <f>SUM(F161:F177)</f>
        <v>20017</v>
      </c>
      <c r="G178" s="64">
        <f>SUM(G161:G177)</f>
        <v>0</v>
      </c>
      <c r="H178" s="64">
        <f>SUM(H161:H177)</f>
        <v>0</v>
      </c>
      <c r="I178" s="64">
        <f t="shared" ref="I178:P178" si="34">SUM(I161:I177)</f>
        <v>0</v>
      </c>
      <c r="J178" s="64">
        <f t="shared" si="34"/>
        <v>0</v>
      </c>
      <c r="K178" s="64">
        <f t="shared" si="34"/>
        <v>33308</v>
      </c>
      <c r="L178" s="64">
        <f t="shared" si="34"/>
        <v>0</v>
      </c>
      <c r="M178" s="64">
        <f t="shared" si="34"/>
        <v>0</v>
      </c>
      <c r="N178" s="64">
        <f t="shared" si="34"/>
        <v>0</v>
      </c>
      <c r="O178" s="64">
        <f t="shared" si="34"/>
        <v>0</v>
      </c>
      <c r="P178" s="64">
        <f t="shared" si="34"/>
        <v>0</v>
      </c>
      <c r="Q178" s="64">
        <f>SUM(Q161:Q177)</f>
        <v>14463.666666666666</v>
      </c>
      <c r="R178" s="64">
        <f>SUM(R161:R177)</f>
        <v>0</v>
      </c>
      <c r="S178" s="54">
        <f>SUM(S161:S177)</f>
        <v>67788.666666666672</v>
      </c>
    </row>
    <row r="179" spans="1:20" ht="15.75" customHeight="1" thickBot="1" x14ac:dyDescent="0.3"/>
    <row r="180" spans="1:20" ht="17.25" x14ac:dyDescent="0.25">
      <c r="A180" s="166" t="s">
        <v>188</v>
      </c>
      <c r="B180" s="167">
        <f>B161+1</f>
        <v>202610</v>
      </c>
      <c r="C180" s="275">
        <f>B180</f>
        <v>202610</v>
      </c>
      <c r="D180" s="94" t="s">
        <v>151</v>
      </c>
      <c r="E180" s="177" t="s">
        <v>252</v>
      </c>
      <c r="F180" s="60"/>
      <c r="G180" s="59"/>
      <c r="H180" s="59"/>
      <c r="I180" s="60"/>
      <c r="J180" s="59"/>
      <c r="K180" s="60"/>
      <c r="L180" s="60"/>
      <c r="M180" s="60"/>
      <c r="N180" s="60"/>
      <c r="O180" s="60"/>
      <c r="P180" s="60"/>
      <c r="Q180" s="60">
        <f>2000+2000+2000+2000</f>
        <v>8000</v>
      </c>
      <c r="R180" s="60"/>
      <c r="S180" s="44">
        <f t="shared" ref="S180:S196" si="35">SUM(F180:R180)</f>
        <v>8000</v>
      </c>
      <c r="T180" s="277">
        <f>SUM(S180:S186)</f>
        <v>64413</v>
      </c>
    </row>
    <row r="181" spans="1:20" ht="15" customHeight="1" thickBot="1" x14ac:dyDescent="0.3">
      <c r="A181" s="164" t="s">
        <v>247</v>
      </c>
      <c r="B181" s="162">
        <f>$J$2</f>
        <v>166666.66666666666</v>
      </c>
      <c r="C181" s="275"/>
      <c r="D181" s="95" t="s">
        <v>151</v>
      </c>
      <c r="E181" s="176" t="s">
        <v>251</v>
      </c>
      <c r="F181" s="79"/>
      <c r="G181" s="78"/>
      <c r="H181" s="78"/>
      <c r="I181" s="79"/>
      <c r="J181" s="78"/>
      <c r="K181" s="79"/>
      <c r="L181" s="79"/>
      <c r="M181" s="79"/>
      <c r="N181" s="79"/>
      <c r="O181" s="79"/>
      <c r="P181" s="79"/>
      <c r="Q181" s="79"/>
      <c r="R181" s="79"/>
      <c r="S181" s="80">
        <f t="shared" si="35"/>
        <v>0</v>
      </c>
      <c r="T181" s="278"/>
    </row>
    <row r="182" spans="1:20" ht="15" customHeight="1" thickTop="1" x14ac:dyDescent="0.25">
      <c r="A182" s="165" t="s">
        <v>237</v>
      </c>
      <c r="B182" s="182">
        <f>SUMPRODUCT((($V$10:$V$21)&lt;=VALUE(B180))*($Z$10:$Z$21))</f>
        <v>1728902.5420000004</v>
      </c>
      <c r="C182" s="275"/>
      <c r="D182" s="95" t="s">
        <v>151</v>
      </c>
      <c r="E182" s="176" t="s">
        <v>254</v>
      </c>
      <c r="F182" s="79">
        <f>3326+9493</f>
        <v>12819</v>
      </c>
      <c r="G182" s="78"/>
      <c r="H182" s="78"/>
      <c r="I182" s="79"/>
      <c r="J182" s="78"/>
      <c r="K182" s="79"/>
      <c r="L182" s="79"/>
      <c r="M182" s="79"/>
      <c r="N182" s="79"/>
      <c r="O182" s="79"/>
      <c r="P182" s="79"/>
      <c r="Q182" s="79">
        <f>9491-7000</f>
        <v>2491</v>
      </c>
      <c r="R182" s="79"/>
      <c r="S182" s="80">
        <f t="shared" si="35"/>
        <v>15310</v>
      </c>
      <c r="T182" s="278"/>
    </row>
    <row r="183" spans="1:20" ht="15" customHeight="1" x14ac:dyDescent="0.25">
      <c r="A183" s="165" t="s">
        <v>264</v>
      </c>
      <c r="B183" s="181">
        <f>B182/SUMPRODUCT(('2026'!$V$10:$V$21&lt;='2026'!B180)*'2022'!$Z$10:$Z$21)</f>
        <v>1.0795432456683152</v>
      </c>
      <c r="C183" s="275"/>
      <c r="D183" s="95" t="s">
        <v>151</v>
      </c>
      <c r="E183" s="176" t="s">
        <v>255</v>
      </c>
      <c r="F183" s="79">
        <v>698</v>
      </c>
      <c r="G183" s="78"/>
      <c r="H183" s="78"/>
      <c r="I183" s="79"/>
      <c r="J183" s="78"/>
      <c r="K183" s="79"/>
      <c r="L183" s="79"/>
      <c r="M183" s="79"/>
      <c r="N183" s="79"/>
      <c r="O183" s="79"/>
      <c r="P183" s="79"/>
      <c r="Q183" s="79">
        <v>597</v>
      </c>
      <c r="R183" s="79"/>
      <c r="S183" s="80">
        <f t="shared" si="35"/>
        <v>1295</v>
      </c>
      <c r="T183" s="278"/>
    </row>
    <row r="184" spans="1:20" ht="15" customHeight="1" x14ac:dyDescent="0.25">
      <c r="A184" s="165" t="s">
        <v>236</v>
      </c>
      <c r="B184" s="186">
        <f>B182-$K$2</f>
        <v>1728902.5420000004</v>
      </c>
      <c r="C184" s="275"/>
      <c r="D184" s="96" t="s">
        <v>151</v>
      </c>
      <c r="E184" s="176" t="s">
        <v>256</v>
      </c>
      <c r="F184" s="79">
        <f>6500</f>
        <v>6500</v>
      </c>
      <c r="G184" s="78"/>
      <c r="H184" s="79"/>
      <c r="I184" s="78"/>
      <c r="J184" s="78"/>
      <c r="K184" s="79">
        <f>38081/3+61843/3</f>
        <v>33308</v>
      </c>
      <c r="L184" s="79"/>
      <c r="M184" s="79"/>
      <c r="N184" s="79"/>
      <c r="O184" s="79"/>
      <c r="P184" s="79"/>
      <c r="Q184" s="79"/>
      <c r="R184" s="79"/>
      <c r="S184" s="80">
        <f t="shared" si="35"/>
        <v>39808</v>
      </c>
      <c r="T184" s="278"/>
    </row>
    <row r="185" spans="1:20" ht="15" customHeight="1" x14ac:dyDescent="0.25">
      <c r="A185" s="164" t="s">
        <v>242</v>
      </c>
      <c r="B185" s="157">
        <f>B184/($J$2*12)</f>
        <v>0.86445127100000019</v>
      </c>
      <c r="C185" s="275"/>
      <c r="D185" s="95" t="s">
        <v>151</v>
      </c>
      <c r="E185" s="176" t="s">
        <v>257</v>
      </c>
      <c r="F185" s="79"/>
      <c r="G185" s="78"/>
      <c r="H185" s="78"/>
      <c r="I185" s="79"/>
      <c r="J185" s="78"/>
      <c r="K185" s="79"/>
      <c r="L185" s="79"/>
      <c r="M185" s="79"/>
      <c r="N185" s="79"/>
      <c r="O185" s="79"/>
      <c r="P185" s="79"/>
      <c r="Q185" s="79"/>
      <c r="R185" s="79"/>
      <c r="S185" s="80">
        <f t="shared" si="35"/>
        <v>0</v>
      </c>
      <c r="T185" s="278"/>
    </row>
    <row r="186" spans="1:20" ht="15" customHeight="1" x14ac:dyDescent="0.25">
      <c r="A186" s="164" t="s">
        <v>282</v>
      </c>
      <c r="B186" s="126">
        <f>VALUE(RIGHT(B180,2))/12</f>
        <v>0.83333333333333337</v>
      </c>
      <c r="C186" s="275"/>
      <c r="D186" s="95" t="s">
        <v>151</v>
      </c>
      <c r="E186" s="176" t="s">
        <v>263</v>
      </c>
      <c r="F186" s="78"/>
      <c r="G186" s="78"/>
      <c r="H186" s="78"/>
      <c r="I186" s="79"/>
      <c r="J186" s="78"/>
      <c r="K186" s="79"/>
      <c r="L186" s="79"/>
      <c r="M186" s="79"/>
      <c r="N186" s="79"/>
      <c r="O186" s="79"/>
      <c r="P186" s="79"/>
      <c r="Q186" s="79"/>
      <c r="R186" s="79"/>
      <c r="S186" s="80">
        <f t="shared" si="35"/>
        <v>0</v>
      </c>
      <c r="T186" s="279"/>
    </row>
    <row r="187" spans="1:20" ht="15" customHeight="1" x14ac:dyDescent="0.25">
      <c r="A187" s="164" t="s">
        <v>243</v>
      </c>
      <c r="B187" s="161">
        <f>B181*VALUE(RIGHT(B180,2))-B184</f>
        <v>-62235.875333333854</v>
      </c>
      <c r="C187" s="275"/>
      <c r="D187" s="97" t="s">
        <v>152</v>
      </c>
      <c r="E187" s="97" t="s">
        <v>144</v>
      </c>
      <c r="F187" s="85"/>
      <c r="G187" s="46"/>
      <c r="H187" s="85"/>
      <c r="I187" s="46"/>
      <c r="J187" s="46"/>
      <c r="K187" s="46"/>
      <c r="L187" s="46"/>
      <c r="M187" s="152"/>
      <c r="N187" s="46"/>
      <c r="O187" s="46"/>
      <c r="P187" s="46"/>
      <c r="Q187" s="46"/>
      <c r="R187" s="46"/>
      <c r="S187" s="83">
        <f t="shared" si="35"/>
        <v>0</v>
      </c>
      <c r="T187" s="280">
        <f>SUM(S187:S191)</f>
        <v>0</v>
      </c>
    </row>
    <row r="188" spans="1:20" ht="15" customHeight="1" x14ac:dyDescent="0.25">
      <c r="A188" s="164" t="s">
        <v>265</v>
      </c>
      <c r="B188" s="184">
        <f>$J$2-(S197-F194)</f>
        <v>98877.999999999985</v>
      </c>
      <c r="C188" s="275"/>
      <c r="D188" s="97" t="s">
        <v>152</v>
      </c>
      <c r="E188" s="97" t="s">
        <v>145</v>
      </c>
      <c r="F188" s="85"/>
      <c r="G188" s="46"/>
      <c r="H188" s="85"/>
      <c r="I188" s="46"/>
      <c r="J188" s="46"/>
      <c r="K188" s="46"/>
      <c r="L188" s="46"/>
      <c r="M188" s="152"/>
      <c r="N188" s="46"/>
      <c r="O188" s="85"/>
      <c r="P188" s="46"/>
      <c r="Q188" s="46"/>
      <c r="R188" s="46"/>
      <c r="S188" s="83">
        <f t="shared" si="35"/>
        <v>0</v>
      </c>
      <c r="T188" s="281"/>
    </row>
    <row r="189" spans="1:20" ht="15" customHeight="1" x14ac:dyDescent="0.25">
      <c r="C189" s="275"/>
      <c r="D189" s="97" t="s">
        <v>152</v>
      </c>
      <c r="E189" s="97" t="s">
        <v>146</v>
      </c>
      <c r="F189" s="86"/>
      <c r="G189" s="46"/>
      <c r="H189" s="87"/>
      <c r="I189" s="46"/>
      <c r="J189" s="46"/>
      <c r="K189" s="46"/>
      <c r="L189" s="46"/>
      <c r="M189" s="152"/>
      <c r="N189" s="46"/>
      <c r="O189" s="87"/>
      <c r="P189" s="46"/>
      <c r="Q189" s="46"/>
      <c r="R189" s="46"/>
      <c r="S189" s="83">
        <f t="shared" si="35"/>
        <v>0</v>
      </c>
      <c r="T189" s="281"/>
    </row>
    <row r="190" spans="1:20" ht="15" customHeight="1" x14ac:dyDescent="0.25">
      <c r="C190" s="275"/>
      <c r="D190" s="97" t="s">
        <v>152</v>
      </c>
      <c r="E190" s="97" t="s">
        <v>147</v>
      </c>
      <c r="F190" s="86"/>
      <c r="G190" s="46"/>
      <c r="H190" s="87"/>
      <c r="I190" s="46"/>
      <c r="J190" s="46"/>
      <c r="K190" s="46"/>
      <c r="L190" s="46"/>
      <c r="M190" s="152"/>
      <c r="N190" s="46"/>
      <c r="O190" s="87"/>
      <c r="P190" s="46"/>
      <c r="Q190" s="46"/>
      <c r="R190" s="46"/>
      <c r="S190" s="83">
        <f t="shared" si="35"/>
        <v>0</v>
      </c>
      <c r="T190" s="281"/>
    </row>
    <row r="191" spans="1:20" ht="15" customHeight="1" x14ac:dyDescent="0.25">
      <c r="C191" s="275"/>
      <c r="D191" s="97" t="s">
        <v>152</v>
      </c>
      <c r="E191" s="97" t="s">
        <v>168</v>
      </c>
      <c r="F191" s="85"/>
      <c r="G191" s="46"/>
      <c r="H191" s="46"/>
      <c r="I191" s="46"/>
      <c r="J191" s="46"/>
      <c r="K191" s="46"/>
      <c r="L191" s="46"/>
      <c r="M191" s="152"/>
      <c r="N191" s="46"/>
      <c r="O191" s="86"/>
      <c r="P191" s="46"/>
      <c r="Q191" s="46"/>
      <c r="R191" s="46"/>
      <c r="S191" s="83">
        <f t="shared" si="35"/>
        <v>0</v>
      </c>
      <c r="T191" s="281"/>
    </row>
    <row r="192" spans="1:20" ht="15" customHeight="1" x14ac:dyDescent="0.25">
      <c r="C192" s="275"/>
      <c r="D192" s="98" t="s">
        <v>153</v>
      </c>
      <c r="E192" s="98" t="s">
        <v>170</v>
      </c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>
        <f t="shared" si="35"/>
        <v>0</v>
      </c>
      <c r="T192" s="282">
        <f>SUM(S192:S196)</f>
        <v>3375.6666666666665</v>
      </c>
    </row>
    <row r="193" spans="1:20" ht="15" customHeight="1" x14ac:dyDescent="0.25">
      <c r="C193" s="275"/>
      <c r="D193" s="99" t="s">
        <v>153</v>
      </c>
      <c r="E193" s="99" t="s">
        <v>171</v>
      </c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>
        <f t="shared" si="35"/>
        <v>0</v>
      </c>
      <c r="T193" s="283"/>
    </row>
    <row r="194" spans="1:20" ht="15" customHeight="1" x14ac:dyDescent="0.25">
      <c r="C194" s="275"/>
      <c r="D194" s="99" t="s">
        <v>153</v>
      </c>
      <c r="E194" s="99" t="s">
        <v>172</v>
      </c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>
        <f t="shared" si="35"/>
        <v>0</v>
      </c>
      <c r="T194" s="283"/>
    </row>
    <row r="195" spans="1:20" s="41" customFormat="1" ht="15" customHeight="1" x14ac:dyDescent="0.25">
      <c r="A195" s="45"/>
      <c r="B195" s="45"/>
      <c r="C195" s="276"/>
      <c r="D195" s="99" t="s">
        <v>153</v>
      </c>
      <c r="E195" s="99" t="s">
        <v>173</v>
      </c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>
        <f>40508/12</f>
        <v>3375.6666666666665</v>
      </c>
      <c r="R195" s="82"/>
      <c r="S195" s="82">
        <f t="shared" si="35"/>
        <v>3375.6666666666665</v>
      </c>
      <c r="T195" s="283"/>
    </row>
    <row r="196" spans="1:20" ht="15.75" customHeight="1" thickBot="1" x14ac:dyDescent="0.3">
      <c r="A196" s="41"/>
      <c r="B196" s="41"/>
      <c r="C196" s="276"/>
      <c r="D196" s="100" t="s">
        <v>153</v>
      </c>
      <c r="E196" s="100" t="s">
        <v>168</v>
      </c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>
        <f t="shared" si="35"/>
        <v>0</v>
      </c>
      <c r="T196" s="283"/>
    </row>
    <row r="197" spans="1:20" ht="15" customHeight="1" x14ac:dyDescent="0.25">
      <c r="D197" s="101" t="s">
        <v>120</v>
      </c>
      <c r="E197" s="101" t="s">
        <v>120</v>
      </c>
      <c r="F197" s="64">
        <f>SUM(F180:F196)</f>
        <v>20017</v>
      </c>
      <c r="G197" s="64">
        <f>SUM(G180:G196)</f>
        <v>0</v>
      </c>
      <c r="H197" s="64">
        <f>SUM(H180:H196)</f>
        <v>0</v>
      </c>
      <c r="I197" s="64">
        <f t="shared" ref="I197:P197" si="36">SUM(I180:I196)</f>
        <v>0</v>
      </c>
      <c r="J197" s="64">
        <f t="shared" si="36"/>
        <v>0</v>
      </c>
      <c r="K197" s="64">
        <f t="shared" si="36"/>
        <v>33308</v>
      </c>
      <c r="L197" s="64">
        <f t="shared" si="36"/>
        <v>0</v>
      </c>
      <c r="M197" s="64">
        <f t="shared" si="36"/>
        <v>0</v>
      </c>
      <c r="N197" s="64">
        <f t="shared" si="36"/>
        <v>0</v>
      </c>
      <c r="O197" s="64">
        <f t="shared" si="36"/>
        <v>0</v>
      </c>
      <c r="P197" s="64">
        <f t="shared" si="36"/>
        <v>0</v>
      </c>
      <c r="Q197" s="64">
        <f>SUM(Q180:Q196)</f>
        <v>14463.666666666666</v>
      </c>
      <c r="R197" s="64">
        <f>SUM(R180:R196)</f>
        <v>0</v>
      </c>
      <c r="S197" s="54">
        <f>SUM(S180:S196)</f>
        <v>67788.666666666672</v>
      </c>
    </row>
    <row r="198" spans="1:20" ht="15.75" customHeight="1" thickBot="1" x14ac:dyDescent="0.3"/>
    <row r="199" spans="1:20" ht="17.25" x14ac:dyDescent="0.25">
      <c r="A199" s="166" t="s">
        <v>188</v>
      </c>
      <c r="B199" s="167">
        <f>B180+1</f>
        <v>202611</v>
      </c>
      <c r="C199" s="275">
        <f>B199</f>
        <v>202611</v>
      </c>
      <c r="D199" s="94" t="s">
        <v>151</v>
      </c>
      <c r="E199" s="177" t="s">
        <v>252</v>
      </c>
      <c r="F199" s="60"/>
      <c r="G199" s="59"/>
      <c r="H199" s="59"/>
      <c r="I199" s="60"/>
      <c r="J199" s="59"/>
      <c r="K199" s="60"/>
      <c r="L199" s="60"/>
      <c r="M199" s="60"/>
      <c r="N199" s="60"/>
      <c r="O199" s="60"/>
      <c r="P199" s="60"/>
      <c r="Q199" s="60">
        <f>2000+2000+2000+2000</f>
        <v>8000</v>
      </c>
      <c r="R199" s="60"/>
      <c r="S199" s="44">
        <f t="shared" ref="S199:S215" si="37">SUM(F199:R199)</f>
        <v>8000</v>
      </c>
      <c r="T199" s="277">
        <f>SUM(S199:S205)</f>
        <v>54920</v>
      </c>
    </row>
    <row r="200" spans="1:20" ht="15" customHeight="1" thickBot="1" x14ac:dyDescent="0.3">
      <c r="A200" s="164" t="s">
        <v>247</v>
      </c>
      <c r="B200" s="162">
        <f>$J$2</f>
        <v>166666.66666666666</v>
      </c>
      <c r="C200" s="275"/>
      <c r="D200" s="95" t="s">
        <v>151</v>
      </c>
      <c r="E200" s="176" t="s">
        <v>251</v>
      </c>
      <c r="F200" s="79"/>
      <c r="G200" s="78"/>
      <c r="H200" s="78"/>
      <c r="I200" s="79"/>
      <c r="J200" s="78"/>
      <c r="K200" s="79"/>
      <c r="L200" s="79"/>
      <c r="M200" s="79"/>
      <c r="N200" s="79"/>
      <c r="O200" s="79"/>
      <c r="P200" s="79"/>
      <c r="Q200" s="79"/>
      <c r="R200" s="79"/>
      <c r="S200" s="80">
        <f t="shared" si="37"/>
        <v>0</v>
      </c>
      <c r="T200" s="278"/>
    </row>
    <row r="201" spans="1:20" ht="15" customHeight="1" thickTop="1" x14ac:dyDescent="0.25">
      <c r="A201" s="165" t="s">
        <v>237</v>
      </c>
      <c r="B201" s="182">
        <f>SUMPRODUCT((($V$10:$V$21)&lt;=VALUE(B199))*($Z$10:$Z$21))</f>
        <v>1787198.2086666671</v>
      </c>
      <c r="C201" s="275"/>
      <c r="D201" s="95" t="s">
        <v>151</v>
      </c>
      <c r="E201" s="176" t="s">
        <v>254</v>
      </c>
      <c r="F201" s="79">
        <v>3326</v>
      </c>
      <c r="G201" s="78"/>
      <c r="H201" s="78"/>
      <c r="I201" s="79"/>
      <c r="J201" s="78"/>
      <c r="K201" s="79"/>
      <c r="L201" s="79"/>
      <c r="M201" s="79"/>
      <c r="N201" s="79"/>
      <c r="O201" s="79"/>
      <c r="P201" s="79"/>
      <c r="Q201" s="79">
        <f>9491-7000</f>
        <v>2491</v>
      </c>
      <c r="R201" s="79"/>
      <c r="S201" s="80">
        <f t="shared" si="37"/>
        <v>5817</v>
      </c>
      <c r="T201" s="278"/>
    </row>
    <row r="202" spans="1:20" ht="15" customHeight="1" x14ac:dyDescent="0.25">
      <c r="A202" s="165" t="s">
        <v>264</v>
      </c>
      <c r="B202" s="181">
        <f>B201/SUMPRODUCT(('2026'!$V$10:$V$21&lt;='2026'!B199)*'2022'!$Z$10:$Z$21)</f>
        <v>1.0293319637306797</v>
      </c>
      <c r="C202" s="275"/>
      <c r="D202" s="95" t="s">
        <v>151</v>
      </c>
      <c r="E202" s="176" t="s">
        <v>255</v>
      </c>
      <c r="F202" s="79">
        <v>698</v>
      </c>
      <c r="G202" s="78"/>
      <c r="H202" s="78"/>
      <c r="I202" s="79"/>
      <c r="J202" s="78"/>
      <c r="K202" s="79"/>
      <c r="L202" s="79"/>
      <c r="M202" s="79"/>
      <c r="N202" s="79"/>
      <c r="O202" s="79"/>
      <c r="P202" s="79"/>
      <c r="Q202" s="79">
        <v>597</v>
      </c>
      <c r="R202" s="79"/>
      <c r="S202" s="80">
        <f t="shared" si="37"/>
        <v>1295</v>
      </c>
      <c r="T202" s="278"/>
    </row>
    <row r="203" spans="1:20" ht="15" customHeight="1" x14ac:dyDescent="0.25">
      <c r="A203" s="165" t="s">
        <v>236</v>
      </c>
      <c r="B203" s="186">
        <f>B201-$K$2</f>
        <v>1787198.2086666671</v>
      </c>
      <c r="C203" s="275"/>
      <c r="D203" s="96" t="s">
        <v>151</v>
      </c>
      <c r="E203" s="176" t="s">
        <v>256</v>
      </c>
      <c r="F203" s="79">
        <v>6500</v>
      </c>
      <c r="G203" s="78"/>
      <c r="H203" s="78"/>
      <c r="I203" s="78"/>
      <c r="J203" s="78"/>
      <c r="K203" s="79">
        <f>38081/3+61843/3</f>
        <v>33308</v>
      </c>
      <c r="L203" s="79"/>
      <c r="M203" s="79"/>
      <c r="N203" s="79"/>
      <c r="O203" s="79"/>
      <c r="P203" s="79"/>
      <c r="Q203" s="79"/>
      <c r="R203" s="79"/>
      <c r="S203" s="80">
        <f t="shared" si="37"/>
        <v>39808</v>
      </c>
      <c r="T203" s="278"/>
    </row>
    <row r="204" spans="1:20" ht="15" customHeight="1" x14ac:dyDescent="0.25">
      <c r="A204" s="164" t="s">
        <v>242</v>
      </c>
      <c r="B204" s="157">
        <f>B203/($J$2*12)</f>
        <v>0.89359910433333356</v>
      </c>
      <c r="C204" s="275"/>
      <c r="D204" s="95" t="s">
        <v>151</v>
      </c>
      <c r="E204" s="176" t="s">
        <v>257</v>
      </c>
      <c r="F204" s="79"/>
      <c r="G204" s="78"/>
      <c r="H204" s="78"/>
      <c r="I204" s="79"/>
      <c r="J204" s="78"/>
      <c r="K204" s="79"/>
      <c r="L204" s="79"/>
      <c r="M204" s="79"/>
      <c r="N204" s="79"/>
      <c r="O204" s="79"/>
      <c r="P204" s="79"/>
      <c r="Q204" s="79"/>
      <c r="R204" s="79"/>
      <c r="S204" s="80">
        <f t="shared" si="37"/>
        <v>0</v>
      </c>
      <c r="T204" s="278"/>
    </row>
    <row r="205" spans="1:20" ht="15" customHeight="1" x14ac:dyDescent="0.25">
      <c r="A205" s="164" t="s">
        <v>282</v>
      </c>
      <c r="B205" s="126">
        <f>VALUE(RIGHT(B199,2))/12</f>
        <v>0.91666666666666663</v>
      </c>
      <c r="C205" s="275"/>
      <c r="D205" s="95" t="s">
        <v>151</v>
      </c>
      <c r="E205" s="176" t="s">
        <v>263</v>
      </c>
      <c r="F205" s="78"/>
      <c r="G205" s="78"/>
      <c r="H205" s="78"/>
      <c r="I205" s="79"/>
      <c r="J205" s="78"/>
      <c r="K205" s="79"/>
      <c r="L205" s="79"/>
      <c r="M205" s="79"/>
      <c r="N205" s="79"/>
      <c r="O205" s="79"/>
      <c r="P205" s="79"/>
      <c r="Q205" s="79"/>
      <c r="R205" s="79"/>
      <c r="S205" s="80">
        <f t="shared" si="37"/>
        <v>0</v>
      </c>
      <c r="T205" s="279"/>
    </row>
    <row r="206" spans="1:20" ht="15" customHeight="1" x14ac:dyDescent="0.25">
      <c r="A206" s="164" t="s">
        <v>243</v>
      </c>
      <c r="B206" s="161">
        <f>B200*VALUE(RIGHT(B199,2))-B203</f>
        <v>46135.124666666146</v>
      </c>
      <c r="C206" s="275"/>
      <c r="D206" s="97" t="s">
        <v>152</v>
      </c>
      <c r="E206" s="97" t="s">
        <v>144</v>
      </c>
      <c r="F206" s="85"/>
      <c r="G206" s="46"/>
      <c r="H206" s="85"/>
      <c r="I206" s="46"/>
      <c r="J206" s="46"/>
      <c r="K206" s="46"/>
      <c r="L206" s="46"/>
      <c r="M206" s="152"/>
      <c r="N206" s="46"/>
      <c r="O206" s="46"/>
      <c r="P206" s="46"/>
      <c r="Q206" s="46"/>
      <c r="R206" s="46"/>
      <c r="S206" s="83">
        <f t="shared" si="37"/>
        <v>0</v>
      </c>
      <c r="T206" s="280">
        <f>SUM(S206:S210)</f>
        <v>0</v>
      </c>
    </row>
    <row r="207" spans="1:20" ht="15" customHeight="1" x14ac:dyDescent="0.25">
      <c r="A207" s="164" t="s">
        <v>265</v>
      </c>
      <c r="B207" s="184">
        <f>$J$2-(S216-F213)</f>
        <v>108371</v>
      </c>
      <c r="C207" s="275"/>
      <c r="D207" s="97" t="s">
        <v>152</v>
      </c>
      <c r="E207" s="97" t="s">
        <v>145</v>
      </c>
      <c r="F207" s="85"/>
      <c r="G207" s="46"/>
      <c r="H207" s="85"/>
      <c r="I207" s="46"/>
      <c r="J207" s="46"/>
      <c r="K207" s="46"/>
      <c r="L207" s="46"/>
      <c r="M207" s="152"/>
      <c r="N207" s="46"/>
      <c r="O207" s="46"/>
      <c r="P207" s="46"/>
      <c r="Q207" s="46"/>
      <c r="R207" s="46"/>
      <c r="S207" s="83">
        <f t="shared" si="37"/>
        <v>0</v>
      </c>
      <c r="T207" s="281"/>
    </row>
    <row r="208" spans="1:20" ht="15" customHeight="1" x14ac:dyDescent="0.25">
      <c r="C208" s="275"/>
      <c r="D208" s="97" t="s">
        <v>152</v>
      </c>
      <c r="E208" s="97" t="s">
        <v>146</v>
      </c>
      <c r="F208" s="86"/>
      <c r="G208" s="46"/>
      <c r="H208" s="87"/>
      <c r="I208" s="46"/>
      <c r="J208" s="46"/>
      <c r="K208" s="46"/>
      <c r="L208" s="46"/>
      <c r="M208" s="152"/>
      <c r="N208" s="46"/>
      <c r="O208" s="46"/>
      <c r="P208" s="46"/>
      <c r="Q208" s="46"/>
      <c r="R208" s="46"/>
      <c r="S208" s="83">
        <f t="shared" si="37"/>
        <v>0</v>
      </c>
      <c r="T208" s="281"/>
    </row>
    <row r="209" spans="1:20" ht="15" customHeight="1" x14ac:dyDescent="0.25">
      <c r="C209" s="275"/>
      <c r="D209" s="97" t="s">
        <v>152</v>
      </c>
      <c r="E209" s="97" t="s">
        <v>147</v>
      </c>
      <c r="F209" s="85"/>
      <c r="G209" s="46"/>
      <c r="H209" s="87"/>
      <c r="I209" s="46"/>
      <c r="J209" s="46"/>
      <c r="K209" s="46"/>
      <c r="L209" s="46"/>
      <c r="M209" s="152"/>
      <c r="N209" s="46"/>
      <c r="O209" s="46"/>
      <c r="P209" s="46"/>
      <c r="Q209" s="46"/>
      <c r="R209" s="46"/>
      <c r="S209" s="83">
        <f t="shared" si="37"/>
        <v>0</v>
      </c>
      <c r="T209" s="281"/>
    </row>
    <row r="210" spans="1:20" ht="15" customHeight="1" x14ac:dyDescent="0.25">
      <c r="C210" s="275"/>
      <c r="D210" s="97" t="s">
        <v>152</v>
      </c>
      <c r="E210" s="97" t="s">
        <v>168</v>
      </c>
      <c r="F210" s="85"/>
      <c r="G210" s="46"/>
      <c r="H210" s="46"/>
      <c r="I210" s="46"/>
      <c r="J210" s="46"/>
      <c r="K210" s="46"/>
      <c r="L210" s="46"/>
      <c r="M210" s="152"/>
      <c r="N210" s="46"/>
      <c r="O210" s="86"/>
      <c r="P210" s="46"/>
      <c r="Q210" s="46"/>
      <c r="R210" s="46"/>
      <c r="S210" s="83">
        <f t="shared" si="37"/>
        <v>0</v>
      </c>
      <c r="T210" s="281"/>
    </row>
    <row r="211" spans="1:20" ht="15" customHeight="1" x14ac:dyDescent="0.25">
      <c r="C211" s="275"/>
      <c r="D211" s="98" t="s">
        <v>153</v>
      </c>
      <c r="E211" s="98" t="s">
        <v>170</v>
      </c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>
        <f t="shared" si="37"/>
        <v>0</v>
      </c>
      <c r="T211" s="282">
        <f>SUM(S211:S215)</f>
        <v>3375.6666666666665</v>
      </c>
    </row>
    <row r="212" spans="1:20" ht="15" customHeight="1" x14ac:dyDescent="0.25">
      <c r="C212" s="275"/>
      <c r="D212" s="99" t="s">
        <v>153</v>
      </c>
      <c r="E212" s="99" t="s">
        <v>171</v>
      </c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>
        <f t="shared" si="37"/>
        <v>0</v>
      </c>
      <c r="T212" s="283"/>
    </row>
    <row r="213" spans="1:20" ht="15" customHeight="1" x14ac:dyDescent="0.25">
      <c r="C213" s="275"/>
      <c r="D213" s="99" t="s">
        <v>153</v>
      </c>
      <c r="E213" s="99" t="s">
        <v>172</v>
      </c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>
        <f t="shared" si="37"/>
        <v>0</v>
      </c>
      <c r="T213" s="283"/>
    </row>
    <row r="214" spans="1:20" s="41" customFormat="1" ht="15" customHeight="1" x14ac:dyDescent="0.25">
      <c r="A214" s="45"/>
      <c r="B214" s="45"/>
      <c r="C214" s="276"/>
      <c r="D214" s="99" t="s">
        <v>153</v>
      </c>
      <c r="E214" s="99" t="s">
        <v>173</v>
      </c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>
        <f>40508/12</f>
        <v>3375.6666666666665</v>
      </c>
      <c r="R214" s="82"/>
      <c r="S214" s="82">
        <f t="shared" si="37"/>
        <v>3375.6666666666665</v>
      </c>
      <c r="T214" s="283"/>
    </row>
    <row r="215" spans="1:20" ht="15.75" customHeight="1" thickBot="1" x14ac:dyDescent="0.3">
      <c r="A215" s="41"/>
      <c r="B215" s="41"/>
      <c r="C215" s="276"/>
      <c r="D215" s="100" t="s">
        <v>153</v>
      </c>
      <c r="E215" s="100" t="s">
        <v>168</v>
      </c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>
        <f t="shared" si="37"/>
        <v>0</v>
      </c>
      <c r="T215" s="283"/>
    </row>
    <row r="216" spans="1:20" ht="15" customHeight="1" x14ac:dyDescent="0.25">
      <c r="D216" s="101" t="s">
        <v>120</v>
      </c>
      <c r="E216" s="101" t="s">
        <v>120</v>
      </c>
      <c r="F216" s="64">
        <f>SUM(F199:F215)</f>
        <v>10524</v>
      </c>
      <c r="G216" s="64">
        <f>SUM(G199:G215)</f>
        <v>0</v>
      </c>
      <c r="H216" s="64">
        <f>SUM(H199:H215)</f>
        <v>0</v>
      </c>
      <c r="I216" s="64">
        <f t="shared" ref="I216:P216" si="38">SUM(I199:I215)</f>
        <v>0</v>
      </c>
      <c r="J216" s="64">
        <f t="shared" si="38"/>
        <v>0</v>
      </c>
      <c r="K216" s="64">
        <f t="shared" si="38"/>
        <v>33308</v>
      </c>
      <c r="L216" s="64">
        <f t="shared" si="38"/>
        <v>0</v>
      </c>
      <c r="M216" s="64">
        <f t="shared" si="38"/>
        <v>0</v>
      </c>
      <c r="N216" s="64">
        <f t="shared" si="38"/>
        <v>0</v>
      </c>
      <c r="O216" s="64">
        <f t="shared" si="38"/>
        <v>0</v>
      </c>
      <c r="P216" s="64">
        <f t="shared" si="38"/>
        <v>0</v>
      </c>
      <c r="Q216" s="64">
        <f>SUM(Q199:Q215)</f>
        <v>14463.666666666666</v>
      </c>
      <c r="R216" s="64">
        <f>SUM(R199:R215)</f>
        <v>0</v>
      </c>
      <c r="S216" s="54">
        <f>SUM(S199:S215)</f>
        <v>58295.666666666664</v>
      </c>
    </row>
    <row r="217" spans="1:20" ht="15.75" customHeight="1" thickBot="1" x14ac:dyDescent="0.3"/>
    <row r="218" spans="1:20" ht="17.25" x14ac:dyDescent="0.25">
      <c r="A218" s="166" t="s">
        <v>188</v>
      </c>
      <c r="B218" s="167">
        <f>B199+1</f>
        <v>202612</v>
      </c>
      <c r="C218" s="275">
        <f>B218</f>
        <v>202612</v>
      </c>
      <c r="D218" s="94" t="s">
        <v>151</v>
      </c>
      <c r="E218" s="177" t="s">
        <v>252</v>
      </c>
      <c r="F218" s="60"/>
      <c r="G218" s="59"/>
      <c r="H218" s="59"/>
      <c r="I218" s="60"/>
      <c r="J218" s="59"/>
      <c r="K218" s="60"/>
      <c r="L218" s="60"/>
      <c r="M218" s="60"/>
      <c r="N218" s="60"/>
      <c r="O218" s="60"/>
      <c r="P218" s="60"/>
      <c r="Q218" s="60">
        <f>2000+2000+2000+2000</f>
        <v>8000</v>
      </c>
      <c r="R218" s="60"/>
      <c r="S218" s="44">
        <f t="shared" ref="S218:S234" si="39">SUM(F218:R218)</f>
        <v>8000</v>
      </c>
      <c r="T218" s="277">
        <f>SUM(S218:S224)</f>
        <v>21612</v>
      </c>
    </row>
    <row r="219" spans="1:20" ht="15" customHeight="1" thickBot="1" x14ac:dyDescent="0.3">
      <c r="A219" s="164" t="s">
        <v>247</v>
      </c>
      <c r="B219" s="162">
        <f>$J$2</f>
        <v>166666.66666666666</v>
      </c>
      <c r="C219" s="275"/>
      <c r="D219" s="95" t="s">
        <v>151</v>
      </c>
      <c r="E219" s="176" t="s">
        <v>251</v>
      </c>
      <c r="F219" s="79"/>
      <c r="G219" s="78"/>
      <c r="H219" s="78"/>
      <c r="I219" s="79"/>
      <c r="J219" s="78"/>
      <c r="K219" s="79"/>
      <c r="L219" s="79"/>
      <c r="M219" s="79"/>
      <c r="N219" s="79"/>
      <c r="O219" s="79"/>
      <c r="P219" s="79"/>
      <c r="Q219" s="79"/>
      <c r="R219" s="79"/>
      <c r="S219" s="80">
        <f t="shared" si="39"/>
        <v>0</v>
      </c>
      <c r="T219" s="278"/>
    </row>
    <row r="220" spans="1:20" ht="15" customHeight="1" thickTop="1" x14ac:dyDescent="0.25">
      <c r="A220" s="165" t="s">
        <v>237</v>
      </c>
      <c r="B220" s="182">
        <f>SUMPRODUCT((($V$10:$V$21)&lt;=VALUE(B218))*($Z$10:$Z$21))</f>
        <v>1808810.2086666671</v>
      </c>
      <c r="C220" s="275"/>
      <c r="D220" s="95" t="s">
        <v>151</v>
      </c>
      <c r="E220" s="176" t="s">
        <v>254</v>
      </c>
      <c r="F220" s="79">
        <v>3326</v>
      </c>
      <c r="G220" s="78"/>
      <c r="H220" s="78"/>
      <c r="I220" s="79"/>
      <c r="J220" s="78"/>
      <c r="K220" s="79"/>
      <c r="L220" s="79"/>
      <c r="M220" s="79"/>
      <c r="N220" s="79"/>
      <c r="O220" s="79"/>
      <c r="P220" s="79"/>
      <c r="Q220" s="79">
        <f>9491-7000</f>
        <v>2491</v>
      </c>
      <c r="R220" s="79"/>
      <c r="S220" s="80">
        <f t="shared" si="39"/>
        <v>5817</v>
      </c>
      <c r="T220" s="278"/>
    </row>
    <row r="221" spans="1:20" ht="15" customHeight="1" x14ac:dyDescent="0.25">
      <c r="A221" s="165" t="s">
        <v>264</v>
      </c>
      <c r="B221" s="181">
        <f>B220/SUMPRODUCT(('2026'!$V$10:$V$21&lt;='2026'!B218)*'2022'!$Z$10:$Z$21)</f>
        <v>0.94272302438237976</v>
      </c>
      <c r="C221" s="275"/>
      <c r="D221" s="95" t="s">
        <v>151</v>
      </c>
      <c r="E221" s="176" t="s">
        <v>255</v>
      </c>
      <c r="F221" s="79">
        <v>698</v>
      </c>
      <c r="G221" s="78"/>
      <c r="H221" s="78"/>
      <c r="I221" s="79"/>
      <c r="J221" s="78"/>
      <c r="K221" s="79"/>
      <c r="L221" s="79"/>
      <c r="M221" s="79"/>
      <c r="N221" s="79"/>
      <c r="O221" s="79"/>
      <c r="P221" s="79"/>
      <c r="Q221" s="79">
        <v>597</v>
      </c>
      <c r="R221" s="79"/>
      <c r="S221" s="80">
        <f t="shared" si="39"/>
        <v>1295</v>
      </c>
      <c r="T221" s="278"/>
    </row>
    <row r="222" spans="1:20" ht="15" customHeight="1" x14ac:dyDescent="0.25">
      <c r="A222" s="165" t="s">
        <v>236</v>
      </c>
      <c r="B222" s="186">
        <f>B220-$K$2</f>
        <v>1808810.2086666671</v>
      </c>
      <c r="C222" s="275"/>
      <c r="D222" s="96" t="s">
        <v>151</v>
      </c>
      <c r="E222" s="176" t="s">
        <v>256</v>
      </c>
      <c r="F222" s="79">
        <v>6500</v>
      </c>
      <c r="G222" s="78"/>
      <c r="H222" s="78"/>
      <c r="I222" s="78"/>
      <c r="J222" s="78"/>
      <c r="K222" s="79"/>
      <c r="L222" s="79"/>
      <c r="M222" s="79"/>
      <c r="N222" s="79"/>
      <c r="O222" s="79"/>
      <c r="P222" s="79"/>
      <c r="Q222" s="79"/>
      <c r="R222" s="79"/>
      <c r="S222" s="80">
        <f t="shared" si="39"/>
        <v>6500</v>
      </c>
      <c r="T222" s="278"/>
    </row>
    <row r="223" spans="1:20" ht="15" customHeight="1" x14ac:dyDescent="0.25">
      <c r="A223" s="164" t="s">
        <v>242</v>
      </c>
      <c r="B223" s="157">
        <f>B222/($J$2*12)</f>
        <v>0.90440510433333354</v>
      </c>
      <c r="C223" s="275"/>
      <c r="D223" s="95" t="s">
        <v>151</v>
      </c>
      <c r="E223" s="176" t="s">
        <v>257</v>
      </c>
      <c r="F223" s="79"/>
      <c r="G223" s="78"/>
      <c r="H223" s="78"/>
      <c r="I223" s="79"/>
      <c r="J223" s="78"/>
      <c r="K223" s="79"/>
      <c r="L223" s="79"/>
      <c r="M223" s="79"/>
      <c r="N223" s="79"/>
      <c r="O223" s="79"/>
      <c r="P223" s="79"/>
      <c r="Q223" s="79"/>
      <c r="R223" s="79"/>
      <c r="S223" s="80">
        <f t="shared" si="39"/>
        <v>0</v>
      </c>
      <c r="T223" s="278"/>
    </row>
    <row r="224" spans="1:20" ht="15" customHeight="1" x14ac:dyDescent="0.25">
      <c r="A224" s="164" t="s">
        <v>241</v>
      </c>
      <c r="B224" s="126">
        <f>VALUE(RIGHT(B218,2))/12</f>
        <v>1</v>
      </c>
      <c r="C224" s="275"/>
      <c r="D224" s="95" t="s">
        <v>151</v>
      </c>
      <c r="E224" s="176" t="s">
        <v>263</v>
      </c>
      <c r="F224" s="78"/>
      <c r="G224" s="78"/>
      <c r="H224" s="78"/>
      <c r="I224" s="79"/>
      <c r="J224" s="78"/>
      <c r="K224" s="79"/>
      <c r="L224" s="79"/>
      <c r="M224" s="79"/>
      <c r="N224" s="79"/>
      <c r="O224" s="79"/>
      <c r="P224" s="79"/>
      <c r="Q224" s="79"/>
      <c r="R224" s="79"/>
      <c r="S224" s="80">
        <f t="shared" si="39"/>
        <v>0</v>
      </c>
      <c r="T224" s="279"/>
    </row>
    <row r="225" spans="1:20" ht="15" customHeight="1" x14ac:dyDescent="0.25">
      <c r="A225" s="164" t="s">
        <v>243</v>
      </c>
      <c r="B225" s="161">
        <f>B219*VALUE(RIGHT(B218,2))-B222</f>
        <v>191189.79133333289</v>
      </c>
      <c r="C225" s="275"/>
      <c r="D225" s="97" t="s">
        <v>152</v>
      </c>
      <c r="E225" s="97" t="s">
        <v>144</v>
      </c>
      <c r="F225" s="85"/>
      <c r="G225" s="46"/>
      <c r="H225" s="85"/>
      <c r="I225" s="46"/>
      <c r="J225" s="46"/>
      <c r="K225" s="46"/>
      <c r="L225" s="46"/>
      <c r="M225" s="152"/>
      <c r="N225" s="46"/>
      <c r="O225" s="46"/>
      <c r="P225" s="46"/>
      <c r="Q225" s="46"/>
      <c r="R225" s="46"/>
      <c r="S225" s="83">
        <f t="shared" si="39"/>
        <v>0</v>
      </c>
      <c r="T225" s="280">
        <f>SUM(S225:S229)</f>
        <v>0</v>
      </c>
    </row>
    <row r="226" spans="1:20" ht="15" customHeight="1" x14ac:dyDescent="0.25">
      <c r="A226" s="164" t="s">
        <v>265</v>
      </c>
      <c r="B226" s="184">
        <f>$J$2-(S235-F232)</f>
        <v>145054.66666666666</v>
      </c>
      <c r="C226" s="275"/>
      <c r="D226" s="97" t="s">
        <v>152</v>
      </c>
      <c r="E226" s="97" t="s">
        <v>145</v>
      </c>
      <c r="F226" s="85"/>
      <c r="G226" s="46"/>
      <c r="H226" s="85"/>
      <c r="I226" s="46"/>
      <c r="J226" s="46"/>
      <c r="K226" s="46"/>
      <c r="L226" s="46"/>
      <c r="M226" s="152"/>
      <c r="N226" s="46"/>
      <c r="O226" s="46"/>
      <c r="P226" s="46"/>
      <c r="Q226" s="46"/>
      <c r="R226" s="46"/>
      <c r="S226" s="83">
        <f t="shared" si="39"/>
        <v>0</v>
      </c>
      <c r="T226" s="281"/>
    </row>
    <row r="227" spans="1:20" ht="15" customHeight="1" x14ac:dyDescent="0.25">
      <c r="C227" s="275"/>
      <c r="D227" s="97" t="s">
        <v>152</v>
      </c>
      <c r="E227" s="97" t="s">
        <v>146</v>
      </c>
      <c r="F227" s="86"/>
      <c r="G227" s="46"/>
      <c r="H227" s="87"/>
      <c r="I227" s="46"/>
      <c r="J227" s="46"/>
      <c r="K227" s="46"/>
      <c r="L227" s="46"/>
      <c r="M227" s="152"/>
      <c r="N227" s="46"/>
      <c r="O227" s="46"/>
      <c r="P227" s="46"/>
      <c r="Q227" s="46"/>
      <c r="R227" s="46"/>
      <c r="S227" s="83">
        <f t="shared" si="39"/>
        <v>0</v>
      </c>
      <c r="T227" s="281"/>
    </row>
    <row r="228" spans="1:20" ht="15" customHeight="1" x14ac:dyDescent="0.25">
      <c r="C228" s="275"/>
      <c r="D228" s="97" t="s">
        <v>152</v>
      </c>
      <c r="E228" s="97" t="s">
        <v>147</v>
      </c>
      <c r="F228" s="85"/>
      <c r="G228" s="46"/>
      <c r="H228" s="87"/>
      <c r="I228" s="46"/>
      <c r="J228" s="46"/>
      <c r="K228" s="46"/>
      <c r="L228" s="46"/>
      <c r="M228" s="152"/>
      <c r="N228" s="46"/>
      <c r="O228" s="46"/>
      <c r="P228" s="46"/>
      <c r="Q228" s="46"/>
      <c r="R228" s="46"/>
      <c r="S228" s="83">
        <f t="shared" si="39"/>
        <v>0</v>
      </c>
      <c r="T228" s="281"/>
    </row>
    <row r="229" spans="1:20" ht="15" customHeight="1" x14ac:dyDescent="0.25">
      <c r="C229" s="275"/>
      <c r="D229" s="97" t="s">
        <v>152</v>
      </c>
      <c r="E229" s="97" t="s">
        <v>168</v>
      </c>
      <c r="F229" s="85"/>
      <c r="G229" s="46"/>
      <c r="H229" s="46"/>
      <c r="I229" s="46"/>
      <c r="J229" s="46"/>
      <c r="K229" s="46"/>
      <c r="L229" s="46"/>
      <c r="M229" s="152"/>
      <c r="N229" s="46"/>
      <c r="O229" s="86"/>
      <c r="P229" s="46"/>
      <c r="Q229" s="46"/>
      <c r="R229" s="46"/>
      <c r="S229" s="83">
        <f t="shared" si="39"/>
        <v>0</v>
      </c>
      <c r="T229" s="281"/>
    </row>
    <row r="230" spans="1:20" ht="15" customHeight="1" x14ac:dyDescent="0.25">
      <c r="C230" s="275"/>
      <c r="D230" s="98" t="s">
        <v>153</v>
      </c>
      <c r="E230" s="98" t="s">
        <v>170</v>
      </c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>
        <f t="shared" si="39"/>
        <v>0</v>
      </c>
      <c r="T230" s="282">
        <f>SUM(S230:S234)</f>
        <v>0</v>
      </c>
    </row>
    <row r="231" spans="1:20" ht="15" customHeight="1" x14ac:dyDescent="0.25">
      <c r="C231" s="275"/>
      <c r="D231" s="99" t="s">
        <v>153</v>
      </c>
      <c r="E231" s="99" t="s">
        <v>171</v>
      </c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>
        <f t="shared" si="39"/>
        <v>0</v>
      </c>
      <c r="T231" s="283"/>
    </row>
    <row r="232" spans="1:20" ht="15" customHeight="1" x14ac:dyDescent="0.25">
      <c r="C232" s="275"/>
      <c r="D232" s="99" t="s">
        <v>153</v>
      </c>
      <c r="E232" s="99" t="s">
        <v>172</v>
      </c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>
        <f t="shared" si="39"/>
        <v>0</v>
      </c>
      <c r="T232" s="283"/>
    </row>
    <row r="233" spans="1:20" s="41" customFormat="1" ht="15" customHeight="1" x14ac:dyDescent="0.25">
      <c r="A233" s="45"/>
      <c r="B233" s="45"/>
      <c r="C233" s="276"/>
      <c r="D233" s="99" t="s">
        <v>153</v>
      </c>
      <c r="E233" s="99" t="s">
        <v>173</v>
      </c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>
        <f t="shared" si="39"/>
        <v>0</v>
      </c>
      <c r="T233" s="283"/>
    </row>
    <row r="234" spans="1:20" ht="15.75" customHeight="1" thickBot="1" x14ac:dyDescent="0.3">
      <c r="A234" s="41"/>
      <c r="B234" s="41"/>
      <c r="C234" s="276"/>
      <c r="D234" s="100" t="s">
        <v>153</v>
      </c>
      <c r="E234" s="100" t="s">
        <v>168</v>
      </c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>
        <f t="shared" si="39"/>
        <v>0</v>
      </c>
      <c r="T234" s="283"/>
    </row>
    <row r="235" spans="1:20" ht="15" customHeight="1" x14ac:dyDescent="0.25">
      <c r="D235" s="101" t="s">
        <v>120</v>
      </c>
      <c r="E235" s="101" t="s">
        <v>120</v>
      </c>
      <c r="F235" s="64">
        <f>SUM(F218:F234)</f>
        <v>10524</v>
      </c>
      <c r="G235" s="64">
        <f>SUM(G218:G234)</f>
        <v>0</v>
      </c>
      <c r="H235" s="64">
        <f>SUM(H218:H234)</f>
        <v>0</v>
      </c>
      <c r="I235" s="64">
        <f t="shared" ref="I235:P235" si="40">SUM(I218:I234)</f>
        <v>0</v>
      </c>
      <c r="J235" s="64">
        <f t="shared" si="40"/>
        <v>0</v>
      </c>
      <c r="K235" s="64">
        <f t="shared" si="40"/>
        <v>0</v>
      </c>
      <c r="L235" s="64">
        <f t="shared" si="40"/>
        <v>0</v>
      </c>
      <c r="M235" s="64">
        <f t="shared" si="40"/>
        <v>0</v>
      </c>
      <c r="N235" s="64">
        <f t="shared" si="40"/>
        <v>0</v>
      </c>
      <c r="O235" s="64">
        <f t="shared" si="40"/>
        <v>0</v>
      </c>
      <c r="P235" s="64">
        <f t="shared" si="40"/>
        <v>0</v>
      </c>
      <c r="Q235" s="64">
        <f>SUM(Q218:Q234)</f>
        <v>11088</v>
      </c>
      <c r="R235" s="64">
        <f>SUM(R218:R234)</f>
        <v>0</v>
      </c>
      <c r="S235" s="54">
        <f>SUM(S218:S234)</f>
        <v>21612</v>
      </c>
    </row>
    <row r="240" spans="1:20" x14ac:dyDescent="0.25">
      <c r="E240" s="129">
        <f>SUM(G240:P240)</f>
        <v>0.25016077170418005</v>
      </c>
      <c r="F240" s="130" t="s">
        <v>223</v>
      </c>
      <c r="G240" s="131">
        <f t="shared" ref="G240:M240" si="41">G242/$E$243</f>
        <v>6.4308681672025723E-3</v>
      </c>
      <c r="H240" s="131">
        <f t="shared" si="41"/>
        <v>2.3579849946409433E-2</v>
      </c>
      <c r="I240" s="131">
        <f t="shared" si="41"/>
        <v>1.5005359056806002E-2</v>
      </c>
      <c r="J240" s="131">
        <f t="shared" si="41"/>
        <v>5.5091103965702035E-2</v>
      </c>
      <c r="K240" s="131">
        <f t="shared" si="41"/>
        <v>5.0160771704180061E-2</v>
      </c>
      <c r="L240" s="131">
        <f t="shared" si="41"/>
        <v>4.9946409431939981E-2</v>
      </c>
      <c r="M240" s="131">
        <f t="shared" si="41"/>
        <v>4.9946409431939981E-2</v>
      </c>
      <c r="N240" s="143"/>
      <c r="O240" s="143"/>
    </row>
    <row r="241" spans="5:15" ht="16.5" x14ac:dyDescent="0.25">
      <c r="F241" s="132" t="s">
        <v>97</v>
      </c>
      <c r="G241" s="133">
        <v>44478</v>
      </c>
      <c r="H241" s="133">
        <v>44482</v>
      </c>
      <c r="I241" s="133">
        <v>44487</v>
      </c>
      <c r="J241" s="133">
        <v>44501</v>
      </c>
      <c r="K241" s="133">
        <v>44526</v>
      </c>
      <c r="L241" s="133">
        <v>44725</v>
      </c>
      <c r="M241" s="133">
        <v>45056</v>
      </c>
      <c r="N241" s="133">
        <v>45343</v>
      </c>
      <c r="O241" s="133"/>
    </row>
    <row r="242" spans="5:15" ht="16.5" x14ac:dyDescent="0.25">
      <c r="E242" s="128">
        <f>SUM(G242:P242)</f>
        <v>11670000</v>
      </c>
      <c r="F242" s="132" t="s">
        <v>96</v>
      </c>
      <c r="G242" s="134">
        <v>300000</v>
      </c>
      <c r="H242" s="134">
        <v>1100000</v>
      </c>
      <c r="I242" s="134">
        <v>700000</v>
      </c>
      <c r="J242" s="134">
        <v>2570000</v>
      </c>
      <c r="K242" s="134">
        <v>2340000</v>
      </c>
      <c r="L242" s="134">
        <v>2330000</v>
      </c>
      <c r="M242" s="134">
        <v>2330000</v>
      </c>
      <c r="N242" s="143"/>
      <c r="O242" s="143"/>
    </row>
    <row r="243" spans="5:15" ht="19.5" x14ac:dyDescent="0.25">
      <c r="E243" s="127">
        <v>46650000</v>
      </c>
      <c r="F243" s="132" t="s">
        <v>57</v>
      </c>
      <c r="G243" s="132" t="s">
        <v>218</v>
      </c>
      <c r="H243" s="132" t="s">
        <v>218</v>
      </c>
      <c r="I243" s="132" t="s">
        <v>219</v>
      </c>
      <c r="J243" s="132" t="s">
        <v>219</v>
      </c>
      <c r="K243" s="132" t="s">
        <v>225</v>
      </c>
      <c r="L243" s="132" t="s">
        <v>226</v>
      </c>
      <c r="M243" s="132" t="s">
        <v>227</v>
      </c>
      <c r="N243" s="132" t="s">
        <v>228</v>
      </c>
      <c r="O243" s="130" t="s">
        <v>229</v>
      </c>
    </row>
  </sheetData>
  <mergeCells count="56">
    <mergeCell ref="C218:C234"/>
    <mergeCell ref="T218:T224"/>
    <mergeCell ref="T225:T229"/>
    <mergeCell ref="T230:T234"/>
    <mergeCell ref="C180:C196"/>
    <mergeCell ref="T180:T186"/>
    <mergeCell ref="T187:T191"/>
    <mergeCell ref="T192:T196"/>
    <mergeCell ref="C199:C215"/>
    <mergeCell ref="T199:T205"/>
    <mergeCell ref="T206:T210"/>
    <mergeCell ref="T211:T215"/>
    <mergeCell ref="C142:C158"/>
    <mergeCell ref="T142:T148"/>
    <mergeCell ref="T149:T153"/>
    <mergeCell ref="T154:T158"/>
    <mergeCell ref="C161:C177"/>
    <mergeCell ref="T161:T167"/>
    <mergeCell ref="T168:T172"/>
    <mergeCell ref="T173:T177"/>
    <mergeCell ref="C104:C120"/>
    <mergeCell ref="T104:T110"/>
    <mergeCell ref="T111:T115"/>
    <mergeCell ref="T116:T120"/>
    <mergeCell ref="C123:C139"/>
    <mergeCell ref="T123:T129"/>
    <mergeCell ref="T130:T134"/>
    <mergeCell ref="T135:T139"/>
    <mergeCell ref="C66:C82"/>
    <mergeCell ref="T66:T72"/>
    <mergeCell ref="T73:T77"/>
    <mergeCell ref="T78:T82"/>
    <mergeCell ref="C85:C101"/>
    <mergeCell ref="T85:T91"/>
    <mergeCell ref="T92:T96"/>
    <mergeCell ref="T97:T101"/>
    <mergeCell ref="C28:C44"/>
    <mergeCell ref="T28:T34"/>
    <mergeCell ref="T35:T39"/>
    <mergeCell ref="T40:T44"/>
    <mergeCell ref="C47:C63"/>
    <mergeCell ref="T47:T53"/>
    <mergeCell ref="T54:T58"/>
    <mergeCell ref="T59:T63"/>
    <mergeCell ref="AF8:AH8"/>
    <mergeCell ref="AI8:AJ8"/>
    <mergeCell ref="C9:C25"/>
    <mergeCell ref="T9:T15"/>
    <mergeCell ref="T16:T20"/>
    <mergeCell ref="T21:T25"/>
    <mergeCell ref="AE6:AK6"/>
    <mergeCell ref="AL6:AP6"/>
    <mergeCell ref="AQ6:AU6"/>
    <mergeCell ref="AE7:AK7"/>
    <mergeCell ref="AL7:AP7"/>
    <mergeCell ref="AQ7:AU7"/>
  </mergeCells>
  <phoneticPr fontId="1" type="noConversion"/>
  <conditionalFormatting sqref="J6:R6 F6:H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K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:AP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:AU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8">
    <cfRule type="expression" dxfId="35" priority="12">
      <formula>$B$88&gt;1</formula>
    </cfRule>
  </conditionalFormatting>
  <conditionalFormatting sqref="B69">
    <cfRule type="expression" dxfId="34" priority="11">
      <formula>$B$88&gt;1</formula>
    </cfRule>
  </conditionalFormatting>
  <conditionalFormatting sqref="B12">
    <cfRule type="expression" dxfId="33" priority="10">
      <formula>$B$88&gt;1</formula>
    </cfRule>
  </conditionalFormatting>
  <conditionalFormatting sqref="B31">
    <cfRule type="expression" dxfId="32" priority="9">
      <formula>$B$88&gt;1</formula>
    </cfRule>
  </conditionalFormatting>
  <conditionalFormatting sqref="B50">
    <cfRule type="expression" dxfId="31" priority="8">
      <formula>$B$88&gt;1</formula>
    </cfRule>
  </conditionalFormatting>
  <conditionalFormatting sqref="B107">
    <cfRule type="expression" dxfId="30" priority="7">
      <formula>$B$88&gt;1</formula>
    </cfRule>
  </conditionalFormatting>
  <conditionalFormatting sqref="B126">
    <cfRule type="expression" dxfId="29" priority="6">
      <formula>$B$88&gt;1</formula>
    </cfRule>
  </conditionalFormatting>
  <conditionalFormatting sqref="B145">
    <cfRule type="expression" dxfId="28" priority="5">
      <formula>$B$88&gt;1</formula>
    </cfRule>
  </conditionalFormatting>
  <conditionalFormatting sqref="B221">
    <cfRule type="expression" dxfId="27" priority="1">
      <formula>$B$88&gt;1</formula>
    </cfRule>
  </conditionalFormatting>
  <conditionalFormatting sqref="B164">
    <cfRule type="expression" dxfId="26" priority="4">
      <formula>$B$88&gt;1</formula>
    </cfRule>
  </conditionalFormatting>
  <conditionalFormatting sqref="B183">
    <cfRule type="expression" dxfId="25" priority="3">
      <formula>$B$88&gt;1</formula>
    </cfRule>
  </conditionalFormatting>
  <conditionalFormatting sqref="B202">
    <cfRule type="expression" dxfId="24" priority="2">
      <formula>$B$88&gt;1</formula>
    </cfRule>
  </conditionalFormatting>
  <pageMargins left="0.7" right="0.7" top="0.75" bottom="0.75" header="0.3" footer="0.3"/>
  <pageSetup paperSize="9" scale="6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6AF5-08B5-444C-B141-3F1B4CF89D45}">
  <sheetPr codeName="工作表16">
    <tabColor theme="1" tint="0.34998626667073579"/>
  </sheetPr>
  <dimension ref="A1:AV243"/>
  <sheetViews>
    <sheetView zoomScale="85" zoomScaleNormal="85" workbookViewId="0">
      <pane ySplit="8" topLeftCell="A9" activePane="bottomLeft" state="frozen"/>
      <selection pane="bottomLeft" activeCell="E15" sqref="E15"/>
    </sheetView>
  </sheetViews>
  <sheetFormatPr defaultColWidth="9" defaultRowHeight="15" x14ac:dyDescent="0.25"/>
  <cols>
    <col min="1" max="1" width="26" style="45" customWidth="1"/>
    <col min="2" max="2" width="16.5" style="45" bestFit="1" customWidth="1"/>
    <col min="3" max="3" width="11" style="45" customWidth="1"/>
    <col min="4" max="4" width="13.625" style="92" bestFit="1" customWidth="1"/>
    <col min="5" max="5" width="18" style="92" bestFit="1" customWidth="1"/>
    <col min="6" max="6" width="16.125" style="45" bestFit="1" customWidth="1"/>
    <col min="7" max="7" width="17.375" style="45" bestFit="1" customWidth="1"/>
    <col min="8" max="8" width="12.625" style="45" bestFit="1" customWidth="1"/>
    <col min="9" max="9" width="15.125" style="45" bestFit="1" customWidth="1"/>
    <col min="10" max="10" width="13.375" style="45" bestFit="1" customWidth="1"/>
    <col min="11" max="11" width="16.125" style="45" bestFit="1" customWidth="1"/>
    <col min="12" max="12" width="20.125" style="45" customWidth="1"/>
    <col min="13" max="13" width="18.375" style="45" bestFit="1" customWidth="1"/>
    <col min="14" max="14" width="16.125" style="45" bestFit="1" customWidth="1"/>
    <col min="15" max="15" width="17.5" style="45" bestFit="1" customWidth="1"/>
    <col min="16" max="16" width="16.125" style="45" bestFit="1" customWidth="1"/>
    <col min="17" max="18" width="15" style="45" customWidth="1"/>
    <col min="19" max="19" width="13.5" style="45" bestFit="1" customWidth="1"/>
    <col min="20" max="20" width="12.625" style="45" bestFit="1" customWidth="1"/>
    <col min="21" max="21" width="9.625" style="45" bestFit="1" customWidth="1"/>
    <col min="22" max="22" width="10.875" style="45" bestFit="1" customWidth="1"/>
    <col min="23" max="23" width="12.125" style="45" bestFit="1" customWidth="1"/>
    <col min="24" max="24" width="13.75" style="45" bestFit="1" customWidth="1"/>
    <col min="25" max="25" width="14.25" style="45" bestFit="1" customWidth="1"/>
    <col min="26" max="26" width="10.875" style="45" bestFit="1" customWidth="1"/>
    <col min="27" max="27" width="12.625" style="45" customWidth="1"/>
    <col min="28" max="29" width="9" style="45"/>
    <col min="30" max="30" width="12.875" style="45" bestFit="1" customWidth="1"/>
    <col min="31" max="31" width="14.25" style="45" bestFit="1" customWidth="1"/>
    <col min="32" max="33" width="10.875" style="45" bestFit="1" customWidth="1"/>
    <col min="34" max="34" width="9" style="45" bestFit="1" customWidth="1"/>
    <col min="35" max="37" width="10.875" style="45" bestFit="1" customWidth="1"/>
    <col min="38" max="40" width="9.625" style="45" bestFit="1" customWidth="1"/>
    <col min="41" max="41" width="10.875" style="45" bestFit="1" customWidth="1"/>
    <col min="42" max="43" width="9.625" style="45" bestFit="1" customWidth="1"/>
    <col min="44" max="44" width="10" style="45" bestFit="1" customWidth="1"/>
    <col min="45" max="45" width="14.25" style="45" bestFit="1" customWidth="1"/>
    <col min="46" max="47" width="9.625" style="45" bestFit="1" customWidth="1"/>
    <col min="48" max="48" width="10.875" style="45" bestFit="1" customWidth="1"/>
    <col min="49" max="16384" width="9" style="45"/>
  </cols>
  <sheetData>
    <row r="1" spans="1:48" ht="16.5" x14ac:dyDescent="0.25">
      <c r="A1" s="55" t="s">
        <v>119</v>
      </c>
      <c r="B1" s="51">
        <f>SUMIF(D:D,A1,S:S)</f>
        <v>216394</v>
      </c>
      <c r="C1" s="57">
        <f>B1/$B$4</f>
        <v>0.62793457769454952</v>
      </c>
      <c r="J1" s="53" t="s">
        <v>246</v>
      </c>
      <c r="K1" s="179" t="s">
        <v>283</v>
      </c>
      <c r="L1" s="227" t="s">
        <v>276</v>
      </c>
      <c r="O1" s="126"/>
      <c r="P1" s="126"/>
    </row>
    <row r="2" spans="1:48" ht="18" thickBot="1" x14ac:dyDescent="0.3">
      <c r="A2" s="45" t="s">
        <v>152</v>
      </c>
      <c r="B2" s="51">
        <f>SUMIF(D:D,A2,S:S)</f>
        <v>0</v>
      </c>
      <c r="C2" s="57">
        <f>B2/$B$4</f>
        <v>0</v>
      </c>
      <c r="J2" s="162">
        <f>2000000/12</f>
        <v>166666.66666666666</v>
      </c>
      <c r="K2" s="107"/>
      <c r="L2" s="107">
        <f>J2*12+K2</f>
        <v>2000000</v>
      </c>
      <c r="O2" s="147"/>
      <c r="P2" s="125"/>
      <c r="AO2" s="52"/>
    </row>
    <row r="3" spans="1:48" ht="18.75" thickTop="1" thickBot="1" x14ac:dyDescent="0.3">
      <c r="A3" s="45" t="s">
        <v>153</v>
      </c>
      <c r="B3" s="51">
        <f>SUMIF(D:D,A3,S:S)</f>
        <v>128218.33333333336</v>
      </c>
      <c r="C3" s="57">
        <f>B3/$B$4</f>
        <v>0.37206542230545059</v>
      </c>
      <c r="K3" s="74"/>
      <c r="M3" s="51"/>
      <c r="N3" s="51"/>
      <c r="O3" s="126"/>
      <c r="P3" s="51"/>
      <c r="Q3" s="67"/>
      <c r="S3" s="51"/>
      <c r="AD3" s="224" t="str">
        <f ca="1">YEAR(NOW())-1&amp;IF(LEN(MONTH(NOW()))=1,"0","")&amp;MONTH(NOW())</f>
        <v>202508</v>
      </c>
      <c r="AE3" s="51"/>
      <c r="AF3" s="52"/>
      <c r="AH3" s="191"/>
      <c r="AS3" s="51">
        <f>27778*12</f>
        <v>333336</v>
      </c>
    </row>
    <row r="4" spans="1:48" ht="15" customHeight="1" x14ac:dyDescent="0.25">
      <c r="A4" s="56" t="s">
        <v>120</v>
      </c>
      <c r="B4" s="156">
        <f>SUMIF(D:D,A4,S:S)</f>
        <v>344612.33333333331</v>
      </c>
      <c r="C4" s="145">
        <f>B4-B89</f>
        <v>190468.83333333331</v>
      </c>
      <c r="M4" s="53"/>
      <c r="N4" s="53"/>
      <c r="O4" s="53"/>
      <c r="AD4" s="224" t="str">
        <f ca="1">YEAR(NOW())&amp;IF(LEN(MONTH(NOW()))=1,"0","")&amp;MONTH(NOW())</f>
        <v>202608</v>
      </c>
    </row>
    <row r="5" spans="1:48" ht="17.25" thickBot="1" x14ac:dyDescent="0.3">
      <c r="A5" s="45" t="s">
        <v>239</v>
      </c>
      <c r="B5" s="154">
        <f>B4-K2</f>
        <v>344612.33333333331</v>
      </c>
      <c r="AD5" s="163">
        <f>SUM(AE5:AU5)</f>
        <v>344612.33333333331</v>
      </c>
      <c r="AE5" s="192">
        <f t="shared" ref="AE5:AU5" si="0">SUM(AE10:AE21)</f>
        <v>80000</v>
      </c>
      <c r="AF5" s="192">
        <f t="shared" si="0"/>
        <v>0</v>
      </c>
      <c r="AG5" s="192">
        <f t="shared" si="0"/>
        <v>58170</v>
      </c>
      <c r="AH5" s="192">
        <f t="shared" si="0"/>
        <v>20254</v>
      </c>
      <c r="AI5" s="192">
        <f t="shared" si="0"/>
        <v>52000</v>
      </c>
      <c r="AJ5" s="192">
        <f t="shared" si="0"/>
        <v>0</v>
      </c>
      <c r="AK5" s="192">
        <f t="shared" si="0"/>
        <v>5970</v>
      </c>
      <c r="AL5" s="192">
        <f t="shared" si="0"/>
        <v>0</v>
      </c>
      <c r="AM5" s="192">
        <f t="shared" si="0"/>
        <v>0</v>
      </c>
      <c r="AN5" s="192">
        <f t="shared" si="0"/>
        <v>0</v>
      </c>
      <c r="AO5" s="192">
        <f t="shared" si="0"/>
        <v>0</v>
      </c>
      <c r="AP5" s="192">
        <f t="shared" si="0"/>
        <v>0</v>
      </c>
      <c r="AQ5" s="192">
        <f t="shared" si="0"/>
        <v>101212</v>
      </c>
      <c r="AR5" s="192">
        <f t="shared" si="0"/>
        <v>0</v>
      </c>
      <c r="AS5" s="192">
        <f t="shared" si="0"/>
        <v>0</v>
      </c>
      <c r="AT5" s="192">
        <f t="shared" si="0"/>
        <v>27006.333333333336</v>
      </c>
      <c r="AU5" s="192">
        <f t="shared" si="0"/>
        <v>0</v>
      </c>
    </row>
    <row r="6" spans="1:48" ht="17.25" thickBot="1" x14ac:dyDescent="0.3">
      <c r="A6" s="55" t="s">
        <v>238</v>
      </c>
      <c r="B6" s="157">
        <f>B4/L2</f>
        <v>0.17230616666666665</v>
      </c>
      <c r="F6" s="73">
        <f t="shared" ref="F6:R6" si="1">F7/$S$7</f>
        <v>0.25398684705616065</v>
      </c>
      <c r="G6" s="73">
        <f t="shared" si="1"/>
        <v>0</v>
      </c>
      <c r="H6" s="73">
        <f t="shared" si="1"/>
        <v>5.4407512983187863E-2</v>
      </c>
      <c r="I6" s="73">
        <f t="shared" si="1"/>
        <v>0.13479059077978442</v>
      </c>
      <c r="J6" s="73">
        <f t="shared" si="1"/>
        <v>0</v>
      </c>
      <c r="K6" s="73">
        <f t="shared" si="1"/>
        <v>7.7669884130670497E-2</v>
      </c>
      <c r="L6" s="73">
        <f t="shared" si="1"/>
        <v>0</v>
      </c>
      <c r="M6" s="73">
        <f t="shared" si="1"/>
        <v>2.0251741812297296E-2</v>
      </c>
      <c r="N6" s="73">
        <f t="shared" si="1"/>
        <v>0</v>
      </c>
      <c r="O6" s="73">
        <f t="shared" si="1"/>
        <v>0</v>
      </c>
      <c r="P6" s="73">
        <f t="shared" si="1"/>
        <v>0</v>
      </c>
      <c r="Q6" s="73">
        <f t="shared" si="1"/>
        <v>0.45889342323789917</v>
      </c>
      <c r="R6" s="73">
        <f t="shared" si="1"/>
        <v>0</v>
      </c>
      <c r="AE6" s="289" t="str">
        <f>W9</f>
        <v>生活</v>
      </c>
      <c r="AF6" s="290"/>
      <c r="AG6" s="290"/>
      <c r="AH6" s="290"/>
      <c r="AI6" s="290"/>
      <c r="AJ6" s="290"/>
      <c r="AK6" s="291"/>
      <c r="AL6" s="289" t="str">
        <f>X9</f>
        <v>想要&amp;奢侈品</v>
      </c>
      <c r="AM6" s="292"/>
      <c r="AN6" s="292"/>
      <c r="AO6" s="292"/>
      <c r="AP6" s="293"/>
      <c r="AQ6" s="289" t="str">
        <f>Y9</f>
        <v>一次性支出</v>
      </c>
      <c r="AR6" s="292"/>
      <c r="AS6" s="292"/>
      <c r="AT6" s="292"/>
      <c r="AU6" s="293"/>
    </row>
    <row r="7" spans="1:48" ht="15.75" customHeight="1" thickBot="1" x14ac:dyDescent="0.3">
      <c r="F7" s="70">
        <f t="shared" ref="F7:R7" si="2">SUMIF($D$9:$D$1012,"Total",F9:F1012)</f>
        <v>87527</v>
      </c>
      <c r="G7" s="70">
        <f t="shared" si="2"/>
        <v>0</v>
      </c>
      <c r="H7" s="70">
        <f t="shared" si="2"/>
        <v>18749.5</v>
      </c>
      <c r="I7" s="70">
        <f t="shared" si="2"/>
        <v>46450.5</v>
      </c>
      <c r="J7" s="70">
        <f t="shared" si="2"/>
        <v>0</v>
      </c>
      <c r="K7" s="70">
        <f t="shared" si="2"/>
        <v>26766</v>
      </c>
      <c r="L7" s="70">
        <f t="shared" si="2"/>
        <v>0</v>
      </c>
      <c r="M7" s="70">
        <f t="shared" si="2"/>
        <v>6979</v>
      </c>
      <c r="N7" s="70">
        <f t="shared" si="2"/>
        <v>0</v>
      </c>
      <c r="O7" s="70">
        <f t="shared" si="2"/>
        <v>0</v>
      </c>
      <c r="P7" s="70">
        <f t="shared" si="2"/>
        <v>0</v>
      </c>
      <c r="Q7" s="70">
        <f>SUMIF($D$9:$D$1012,"Total",Q9:Q1012)</f>
        <v>158140.33333333334</v>
      </c>
      <c r="R7" s="70">
        <f t="shared" si="2"/>
        <v>0</v>
      </c>
      <c r="S7" s="71">
        <f>SUM(F7:R7)</f>
        <v>344612.33333333337</v>
      </c>
      <c r="Y7" s="51"/>
      <c r="AD7" s="225" t="s">
        <v>264</v>
      </c>
      <c r="AE7" s="294">
        <f ca="1">SUMPRODUCT((VALUE($AD$10:$AD$21)&lt;=VALUE($AD$4))*(AE10:AK21))/SUMPRODUCT((VALUE('2022'!$AD$10:$AD$21)&lt;=VALUE($AD$3))*('2022'!AE$10:AK$21))</f>
        <v>0</v>
      </c>
      <c r="AF7" s="295"/>
      <c r="AG7" s="295"/>
      <c r="AH7" s="295"/>
      <c r="AI7" s="295"/>
      <c r="AJ7" s="295"/>
      <c r="AK7" s="296"/>
      <c r="AL7" s="294">
        <f ca="1">SUMPRODUCT((VALUE($AD$10:$AD$21)&lt;=VALUE($AD$4))*(AL10:AP21))/SUMPRODUCT((VALUE('2022'!$AD$10:$AD$21)&lt;=VALUE($AD$3))*('2022'!AL$10:AP$21))</f>
        <v>0</v>
      </c>
      <c r="AM7" s="295"/>
      <c r="AN7" s="295"/>
      <c r="AO7" s="295"/>
      <c r="AP7" s="295"/>
      <c r="AQ7" s="294">
        <f ca="1">SUMPRODUCT((VALUE($AD$10:$AD$21)&lt;=VALUE($AD$4))*(AQ10:AU21))/SUMPRODUCT((VALUE('2022'!$AD$10:$AD$21)&lt;=VALUE($AD$3))*('2022'!AQ$10:AU$21))</f>
        <v>0</v>
      </c>
      <c r="AR7" s="295"/>
      <c r="AS7" s="295"/>
      <c r="AT7" s="295"/>
      <c r="AU7" s="296"/>
    </row>
    <row r="8" spans="1:48" ht="18.75" thickTop="1" thickBot="1" x14ac:dyDescent="0.3">
      <c r="C8" s="41" t="s">
        <v>154</v>
      </c>
      <c r="D8" s="93"/>
      <c r="E8" s="93"/>
      <c r="F8" s="41" t="s">
        <v>155</v>
      </c>
      <c r="G8" s="53" t="s">
        <v>75</v>
      </c>
      <c r="H8" s="41" t="s">
        <v>157</v>
      </c>
      <c r="I8" s="41" t="s">
        <v>158</v>
      </c>
      <c r="J8" s="257" t="s">
        <v>305</v>
      </c>
      <c r="K8" s="53" t="s">
        <v>306</v>
      </c>
      <c r="L8" s="258" t="s">
        <v>307</v>
      </c>
      <c r="M8" s="53" t="s">
        <v>304</v>
      </c>
      <c r="N8" s="41" t="s">
        <v>162</v>
      </c>
      <c r="O8" s="53" t="s">
        <v>303</v>
      </c>
      <c r="P8" s="53" t="s">
        <v>77</v>
      </c>
      <c r="Q8" s="41" t="s">
        <v>164</v>
      </c>
      <c r="R8" s="53" t="s">
        <v>298</v>
      </c>
      <c r="S8" s="84" t="s">
        <v>120</v>
      </c>
      <c r="W8" s="52">
        <f>SUM(W10:W21)</f>
        <v>216394</v>
      </c>
      <c r="X8" s="52">
        <f>SUM(X10:X21)</f>
        <v>0</v>
      </c>
      <c r="Y8" s="52">
        <f>SUM(Y10:Y21)</f>
        <v>128218.33333333336</v>
      </c>
      <c r="Z8" s="51"/>
      <c r="AA8" s="74"/>
      <c r="AD8" s="226">
        <f ca="1">SUMPRODUCT((VALUE($AD$10:$AD$21)&lt;=VALUE($AD$4))*(AE10:AU21))/SUMPRODUCT((VALUE('2022'!$AD$10:$AD$21)&lt;=VALUE($AD$3))*('2022'!AE$10:AU$21))</f>
        <v>0</v>
      </c>
      <c r="AE8" s="199">
        <f ca="1">SUMPRODUCT((VALUE($AD$10:$AD$21)&lt;=VALUE($AD$4))*(AE10:AE21))/SUMPRODUCT((VALUE('2022'!$AD$10:$AD$21)&lt;=VALUE($AD$3))*('2022'!AG$10:AG$21))</f>
        <v>0</v>
      </c>
      <c r="AF8" s="299">
        <f ca="1">(SUMPRODUCT((VALUE($AD$10:$AD$21)&lt;=VALUE($AD$4))*(AF10:AF21))+SUMPRODUCT((VALUE($AD$10:$AD$21)&lt;=VALUE($AD$4))*(AG10:AG21))+SUMPRODUCT((VALUE($AD$10:$AD$21)&lt;=VALUE($AD$4))*(AK10:AK21)))/(SUMPRODUCT((VALUE('2022'!$AD$10:$AD$21)&lt;=VALUE($AD$3))*('2022'!AE$10:AE$21))+SUMPRODUCT((VALUE('2022'!$AD$10:$AD$21)&lt;=VALUE($AD$3))*('2022'!AI$10:AI$21))+SUMPRODUCT((VALUE('2022'!$AD$10:$AD$21)&lt;=VALUE($AD$3))*('2022'!AJ$10:AJ$21)))</f>
        <v>0</v>
      </c>
      <c r="AG8" s="300"/>
      <c r="AH8" s="300"/>
      <c r="AI8" s="297">
        <f ca="1">(SUMPRODUCT((VALUE($AD$10:$AD$21)&lt;=VALUE($AD$4))*(AI10:AI21))+SUMPRODUCT((VALUE($AD$10:$AD$21)&lt;=VALUE($AD$4))*(AJ10:AJ21)))/SUMPRODUCT((VALUE('2022'!$AD$10:$AD$21)&lt;=VALUE($AD$3))*('2022'!AK$10:AK$21))</f>
        <v>0</v>
      </c>
      <c r="AJ8" s="298"/>
      <c r="AK8" s="244">
        <f ca="1">SUMPRODUCT((VALUE($AD$10:$AD$21)&lt;=VALUE($AD$4))*(AH10:AH21))/SUMPRODUCT((VALUE('2022'!$AD$10:$AD$21)&lt;=VALUE($AD$3))*('2022'!AF$10:AF$21))</f>
        <v>0</v>
      </c>
      <c r="AL8" s="196">
        <f ca="1">SUMPRODUCT((VALUE($AD$10:$AD$21)&lt;=VALUE($AD$4))*(AL10:AL21))/SUMPRODUCT((VALUE('2022'!$AD$10:$AD$21)&lt;=VALUE($AD$3))*('2022'!AL10:AL21))</f>
        <v>0</v>
      </c>
      <c r="AM8" s="197">
        <f ca="1">SUMPRODUCT((VALUE($AD$10:$AD$21)&lt;=VALUE($AD$4))*(AM10:AM21))/SUMPRODUCT((VALUE('2022'!$AD$10:$AD$21)&lt;=VALUE($AD$3))*('2022'!AM10:AM21))</f>
        <v>0</v>
      </c>
      <c r="AN8" s="197">
        <f ca="1">SUMPRODUCT((VALUE($AD$10:$AD$21)&lt;=VALUE($AD$4))*(AN10:AN21))/SUMPRODUCT((VALUE('2022'!$AD$10:$AD$21)&lt;=VALUE($AD$3))*('2022'!AN10:AN21))</f>
        <v>0</v>
      </c>
      <c r="AO8" s="197">
        <f ca="1">SUMPRODUCT((VALUE($AD$10:$AD$21)&lt;=VALUE($AD$4))*(AO10:AO21))/SUMPRODUCT((VALUE('2022'!$AD$10:$AD$21)&lt;=VALUE($AD$3))*('2022'!AO10:AO21))</f>
        <v>0</v>
      </c>
      <c r="AP8" s="198">
        <f ca="1">SUMPRODUCT((VALUE($AD$10:$AD$21)&lt;=VALUE($AD$4))*(AP10:AP21))/SUMPRODUCT((VALUE('2022'!$AD$10:$AD$21)&lt;=VALUE($AD$3))*('2022'!AP10:AP21))</f>
        <v>0</v>
      </c>
      <c r="AQ8" s="221">
        <f ca="1">SUMPRODUCT((VALUE($AD$10:$AD$21)&lt;=VALUE($AD$4))*(AQ10:AQ21))/SUMPRODUCT((VALUE('2022'!$AD$10:$AD$21)&lt;=VALUE($AD$3))*('2022'!AQ10:AQ21))</f>
        <v>0</v>
      </c>
      <c r="AR8" s="197">
        <f ca="1">SUMPRODUCT((VALUE($AD$10:$AD$21)&lt;=VALUE($AD$4))*(AR10:AR21))/SUMPRODUCT((VALUE('2022'!$AD$10:$AD$21)&lt;=VALUE($AD$3))*('2022'!AR10:AR21))</f>
        <v>0</v>
      </c>
      <c r="AS8" s="197">
        <f ca="1">SUMPRODUCT((VALUE($AD$10:$AD$21)&lt;=VALUE($AD$4))*(AS10:AS21))/SUMPRODUCT((VALUE('2022'!$AD$10:$AD$21)&lt;=VALUE($AD$3))*('2022'!AS10:AS21))</f>
        <v>0</v>
      </c>
      <c r="AT8" s="197">
        <f ca="1">SUMPRODUCT((VALUE($AD$10:$AD$21)&lt;=VALUE($AD$4))*(AT10:AT21))/SUMPRODUCT((VALUE('2022'!$AD$10:$AD$21)&lt;=VALUE($AD$3))*('2022'!AT10:AT21))</f>
        <v>0</v>
      </c>
      <c r="AU8" s="198">
        <f ca="1">SUMPRODUCT((VALUE($AD$10:$AD$21)&lt;=VALUE($AD$4))*(AU10:AU21))/SUMPRODUCT((VALUE('2022'!$AD$10:$AD$21)&lt;=VALUE($AD$3))*('2022'!AU10:AU21))</f>
        <v>0</v>
      </c>
    </row>
    <row r="9" spans="1:48" ht="18" thickBot="1" x14ac:dyDescent="0.3">
      <c r="A9" s="166" t="s">
        <v>188</v>
      </c>
      <c r="B9" s="167">
        <v>202701</v>
      </c>
      <c r="C9" s="275">
        <f>B9</f>
        <v>202701</v>
      </c>
      <c r="D9" s="94" t="s">
        <v>151</v>
      </c>
      <c r="E9" s="177" t="s">
        <v>252</v>
      </c>
      <c r="F9" s="60"/>
      <c r="G9" s="59"/>
      <c r="H9" s="59"/>
      <c r="I9" s="60"/>
      <c r="J9" s="59"/>
      <c r="K9" s="60"/>
      <c r="L9" s="60"/>
      <c r="M9" s="60"/>
      <c r="N9" s="60"/>
      <c r="O9" s="60"/>
      <c r="P9" s="60"/>
      <c r="Q9" s="60"/>
      <c r="R9" s="60"/>
      <c r="S9" s="44">
        <f t="shared" ref="S9:S25" si="3">SUM(F9:R9)</f>
        <v>0</v>
      </c>
      <c r="T9" s="277">
        <f>SUM(S9:S15)</f>
        <v>0</v>
      </c>
      <c r="V9" s="41" t="s">
        <v>188</v>
      </c>
      <c r="W9" s="41" t="str">
        <f>A1</f>
        <v>生活</v>
      </c>
      <c r="X9" s="41" t="s">
        <v>152</v>
      </c>
      <c r="Y9" s="41" t="str">
        <f>A3</f>
        <v>一次性支出</v>
      </c>
      <c r="Z9" s="41" t="s">
        <v>120</v>
      </c>
      <c r="AD9" s="41" t="s">
        <v>208</v>
      </c>
      <c r="AE9" s="193" t="s">
        <v>252</v>
      </c>
      <c r="AF9" s="194" t="s">
        <v>251</v>
      </c>
      <c r="AG9" s="194" t="s">
        <v>254</v>
      </c>
      <c r="AH9" s="195" t="s">
        <v>263</v>
      </c>
      <c r="AI9" s="194" t="s">
        <v>256</v>
      </c>
      <c r="AJ9" s="194" t="s">
        <v>257</v>
      </c>
      <c r="AK9" s="194" t="s">
        <v>255</v>
      </c>
      <c r="AL9" s="122" t="s">
        <v>200</v>
      </c>
      <c r="AM9" s="123" t="s">
        <v>201</v>
      </c>
      <c r="AN9" s="123" t="s">
        <v>202</v>
      </c>
      <c r="AO9" s="123" t="s">
        <v>203</v>
      </c>
      <c r="AP9" s="124" t="s">
        <v>198</v>
      </c>
      <c r="AQ9" s="123" t="s">
        <v>204</v>
      </c>
      <c r="AR9" s="123" t="s">
        <v>205</v>
      </c>
      <c r="AS9" s="123" t="s">
        <v>206</v>
      </c>
      <c r="AT9" s="123" t="s">
        <v>207</v>
      </c>
      <c r="AU9" s="124" t="s">
        <v>198</v>
      </c>
      <c r="AV9" s="158" t="s">
        <v>240</v>
      </c>
    </row>
    <row r="10" spans="1:48" ht="15" customHeight="1" thickBot="1" x14ac:dyDescent="0.3">
      <c r="A10" s="164" t="s">
        <v>247</v>
      </c>
      <c r="B10" s="162">
        <f>$J$2</f>
        <v>166666.66666666666</v>
      </c>
      <c r="C10" s="275"/>
      <c r="D10" s="95" t="s">
        <v>151</v>
      </c>
      <c r="E10" s="176" t="s">
        <v>251</v>
      </c>
      <c r="F10" s="79"/>
      <c r="G10" s="78"/>
      <c r="H10" s="78"/>
      <c r="I10" s="79"/>
      <c r="J10" s="78"/>
      <c r="K10" s="79"/>
      <c r="L10" s="79"/>
      <c r="M10" s="79"/>
      <c r="N10" s="79"/>
      <c r="O10" s="79"/>
      <c r="P10" s="79"/>
      <c r="Q10" s="79"/>
      <c r="R10" s="79"/>
      <c r="S10" s="80">
        <f t="shared" si="3"/>
        <v>0</v>
      </c>
      <c r="T10" s="278"/>
      <c r="V10" s="90">
        <f>$C$9</f>
        <v>202701</v>
      </c>
      <c r="W10" s="52">
        <f>T9</f>
        <v>0</v>
      </c>
      <c r="X10" s="52">
        <f>T16</f>
        <v>0</v>
      </c>
      <c r="Y10" s="52">
        <f>T21</f>
        <v>42270</v>
      </c>
      <c r="Z10" s="52">
        <f>W10+X10+Y10</f>
        <v>42270</v>
      </c>
      <c r="AD10" s="200">
        <f t="shared" ref="AD10:AD21" si="4">V10</f>
        <v>202701</v>
      </c>
      <c r="AE10" s="116">
        <f>SUMPRODUCT(($D$9:$D$25=$AE$6)*($E$9:$E$25=AE$9)*$S$9:$S$25)</f>
        <v>0</v>
      </c>
      <c r="AF10" s="201">
        <f>SUMPRODUCT(($D$9:$D$25=$AE$6)*($E$9:$E$25=$AF$9)*$S$9:$S$25)</f>
        <v>0</v>
      </c>
      <c r="AG10" s="202">
        <f>SUMPRODUCT(($D$9:$D$25=$AE$6)*($E$9:$E$25=$AG$9)*$S$9:$S$25)</f>
        <v>0</v>
      </c>
      <c r="AH10" s="203">
        <f>SUMPRODUCT(($D$9:$D$25=$AE$6)*($E$9:$E$25=$AH$9)*$S$9:$S$25)</f>
        <v>0</v>
      </c>
      <c r="AI10" s="201">
        <f>SUMPRODUCT(($D$9:$D$25=$AE$6)*($E$9:$E$25=$AI$9)*$S$9:$S$25)</f>
        <v>0</v>
      </c>
      <c r="AJ10" s="203">
        <f>SUMPRODUCT(($D$9:$D$25=$AE$6)*($E$9:$E$25=$AJ$9)*$S$9:$S$25)</f>
        <v>0</v>
      </c>
      <c r="AK10" s="117">
        <f>SUMPRODUCT(($D$9:$D$25=$AE$6)*($E$9:$E$25=$AK$9)*$S$9:$S$25)</f>
        <v>0</v>
      </c>
      <c r="AL10" s="210">
        <f>SUMPRODUCT(($D$9:$D$25=$AL$6)*($E$9:$E$25=$AL$9)*$S$9:$S$25)</f>
        <v>0</v>
      </c>
      <c r="AM10" s="211">
        <f>SUMPRODUCT(($D$9:$D$25=$AL$6)*($E$9:$E$25=$AM$9)*$S$9:$S$25)</f>
        <v>0</v>
      </c>
      <c r="AN10" s="211">
        <f>SUMPRODUCT(($D$9:$D$25=$AL$6)*($E$9:$E$25=$AN$9)*$S$9:$S$25)</f>
        <v>0</v>
      </c>
      <c r="AO10" s="211">
        <f>SUMPRODUCT(($D$9:$D$25=$AL$6)*($E$9:$E$25=$AO$9)*$S$9:$S$25)</f>
        <v>0</v>
      </c>
      <c r="AP10" s="212">
        <f>SUMPRODUCT(($D$9:$D$25=$AL$6)*($E$9:$E$25=$AP$9)*$S$9:$S$25)</f>
        <v>0</v>
      </c>
      <c r="AQ10" s="210">
        <f>SUMPRODUCT(($D$9:$D$25=$AQ$6)*($E$9:$E$25=$AQ$9)*$S$9:$S$25)</f>
        <v>42270</v>
      </c>
      <c r="AR10" s="211">
        <f>SUMPRODUCT(($D$9:$D$25=$AQ$6)*($E$9:$E$25=$AR$9)*$S$9:$S$25)</f>
        <v>0</v>
      </c>
      <c r="AS10" s="211">
        <f>SUMPRODUCT(($D$9:$D$25=$AQ$6)*($E$9:$E$25=$AS$9)*$S$9:$S$25)</f>
        <v>0</v>
      </c>
      <c r="AT10" s="211">
        <f>SUMPRODUCT(($D$9:$D$25=$AQ$6)*($E$9:$E$25=$AT$9)*$S$9:$S$25)</f>
        <v>0</v>
      </c>
      <c r="AU10" s="212">
        <f>SUMPRODUCT(($D$9:$D$25=$AQ$6)*($E$9:$E$25=$AU$9)*$S$9:$S$25)</f>
        <v>0</v>
      </c>
      <c r="AV10" s="159">
        <f>SUM(AE10:AU10)</f>
        <v>42270</v>
      </c>
    </row>
    <row r="11" spans="1:48" ht="15" customHeight="1" thickTop="1" x14ac:dyDescent="0.25">
      <c r="A11" s="165" t="s">
        <v>237</v>
      </c>
      <c r="B11" s="182">
        <f>SUMPRODUCT((($V$10:$V$21)&lt;=VALUE(B9))*($Z$10:$Z$21))</f>
        <v>42270</v>
      </c>
      <c r="C11" s="275"/>
      <c r="D11" s="95" t="s">
        <v>151</v>
      </c>
      <c r="E11" s="176" t="s">
        <v>254</v>
      </c>
      <c r="F11" s="79"/>
      <c r="G11" s="78"/>
      <c r="H11" s="78"/>
      <c r="I11" s="79"/>
      <c r="J11" s="78"/>
      <c r="K11" s="79"/>
      <c r="L11" s="79"/>
      <c r="M11" s="79"/>
      <c r="N11" s="79"/>
      <c r="O11" s="79"/>
      <c r="P11" s="79"/>
      <c r="Q11" s="79"/>
      <c r="R11" s="79"/>
      <c r="S11" s="80">
        <f t="shared" si="3"/>
        <v>0</v>
      </c>
      <c r="T11" s="278"/>
      <c r="V11" s="90">
        <f>$C$28</f>
        <v>202702</v>
      </c>
      <c r="W11" s="52">
        <f>T28</f>
        <v>0</v>
      </c>
      <c r="X11" s="52">
        <f>T35</f>
        <v>0</v>
      </c>
      <c r="Y11" s="52">
        <f>T40</f>
        <v>0</v>
      </c>
      <c r="Z11" s="52">
        <f t="shared" ref="Z11:Z21" si="5">W11+X11+Y11</f>
        <v>0</v>
      </c>
      <c r="AD11" s="200">
        <f t="shared" si="4"/>
        <v>202702</v>
      </c>
      <c r="AE11" s="116">
        <f t="shared" ref="AE11:AK11" si="6">SUMPRODUCT(($D$28:$D$44=$AE$6)*($E$28:$E$44=AE$9)*$S$28:$S$44)</f>
        <v>0</v>
      </c>
      <c r="AF11" s="204">
        <f t="shared" si="6"/>
        <v>0</v>
      </c>
      <c r="AG11" s="117">
        <f t="shared" si="6"/>
        <v>0</v>
      </c>
      <c r="AH11" s="205">
        <f t="shared" si="6"/>
        <v>0</v>
      </c>
      <c r="AI11" s="204">
        <f t="shared" si="6"/>
        <v>0</v>
      </c>
      <c r="AJ11" s="205">
        <f t="shared" si="6"/>
        <v>0</v>
      </c>
      <c r="AK11" s="117">
        <f t="shared" si="6"/>
        <v>0</v>
      </c>
      <c r="AL11" s="213">
        <f>SUMPRODUCT(($D$28:$D$44=$AL$6)*($E$28:$E$44=AL$9)*$S$28:$S$44)</f>
        <v>0</v>
      </c>
      <c r="AM11" s="208">
        <f>SUMPRODUCT(($D$28:$D$44=$AL$6)*($E$28:$E$44=AM$9)*$S$28:$S$44)</f>
        <v>0</v>
      </c>
      <c r="AN11" s="208">
        <f>SUMPRODUCT(($D$28:$D$44=$AL$6)*($E$28:$E$44=AN$9)*$S$28:$S$44)</f>
        <v>0</v>
      </c>
      <c r="AO11" s="208">
        <f>SUMPRODUCT(($D$28:$D$44=$AL$6)*($E$28:$E$44=AO$9)*$S$28:$S$44)</f>
        <v>0</v>
      </c>
      <c r="AP11" s="214">
        <f>SUMPRODUCT(($D$28:$D$44=$AL$6)*($E$28:$E$44=AP$9)*$S$28:$S$44)</f>
        <v>0</v>
      </c>
      <c r="AQ11" s="213">
        <f>SUMPRODUCT(($D$28:$D$44=$AQ$6)*($E$28:$E$44=AQ$9)*$S$28:$S$44)</f>
        <v>0</v>
      </c>
      <c r="AR11" s="208">
        <f>SUMPRODUCT(($D$28:$D$44=$AQ$6)*($E$28:$E$44=AR$9)*$S$28:$S$44)</f>
        <v>0</v>
      </c>
      <c r="AS11" s="208">
        <f>SUMPRODUCT(($D$28:$D$44=$AQ$6)*($E$28:$E$44=AS$9)*$S$28:$S$44)</f>
        <v>0</v>
      </c>
      <c r="AT11" s="208">
        <f>SUMPRODUCT(($D$28:$D$44=$AQ$6)*($E$28:$E$44=AT$9)*$S$28:$S$44)</f>
        <v>0</v>
      </c>
      <c r="AU11" s="214">
        <f>SUMPRODUCT(($D$28:$D$44=$AQ$6)*($E$28:$E$44=AU$9)*$S$28:$S$44)</f>
        <v>0</v>
      </c>
      <c r="AV11" s="159">
        <f t="shared" ref="AV11:AV21" si="7">SUM(AE11:AU11)</f>
        <v>0</v>
      </c>
    </row>
    <row r="12" spans="1:48" ht="15" customHeight="1" x14ac:dyDescent="0.25">
      <c r="A12" s="165" t="s">
        <v>264</v>
      </c>
      <c r="B12" s="181">
        <f>B11/SUMPRODUCT(('2027'!$V$10:$V$21&lt;='2027'!B9)*'2022'!$Z$10:$Z$21)</f>
        <v>0.2731378871391924</v>
      </c>
      <c r="C12" s="275"/>
      <c r="D12" s="95" t="s">
        <v>151</v>
      </c>
      <c r="E12" s="176" t="s">
        <v>255</v>
      </c>
      <c r="F12" s="79"/>
      <c r="G12" s="78"/>
      <c r="H12" s="78"/>
      <c r="I12" s="79"/>
      <c r="J12" s="78"/>
      <c r="K12" s="79"/>
      <c r="L12" s="79"/>
      <c r="M12" s="79"/>
      <c r="N12" s="79"/>
      <c r="O12" s="79"/>
      <c r="P12" s="79"/>
      <c r="Q12" s="79"/>
      <c r="R12" s="79"/>
      <c r="S12" s="80">
        <f t="shared" si="3"/>
        <v>0</v>
      </c>
      <c r="T12" s="278"/>
      <c r="V12" s="90">
        <f>$C$47</f>
        <v>202703</v>
      </c>
      <c r="W12" s="52">
        <f>T47</f>
        <v>27665.333333333332</v>
      </c>
      <c r="X12" s="52">
        <f>T54</f>
        <v>0</v>
      </c>
      <c r="Y12" s="52">
        <f>T59</f>
        <v>3376</v>
      </c>
      <c r="Z12" s="52">
        <f t="shared" si="5"/>
        <v>31041.333333333332</v>
      </c>
      <c r="AD12" s="200">
        <f t="shared" si="4"/>
        <v>202703</v>
      </c>
      <c r="AE12" s="116">
        <f t="shared" ref="AE12:AK12" si="8">SUMPRODUCT(($D$47:$D$63=$AE$6)*($E$47:$E$63=AE$9)*$S$47:$S$63)</f>
        <v>8000</v>
      </c>
      <c r="AF12" s="204">
        <f t="shared" si="8"/>
        <v>0</v>
      </c>
      <c r="AG12" s="117">
        <f t="shared" si="8"/>
        <v>5817</v>
      </c>
      <c r="AH12" s="205">
        <f t="shared" si="8"/>
        <v>6751.333333333333</v>
      </c>
      <c r="AI12" s="204">
        <f t="shared" si="8"/>
        <v>6500</v>
      </c>
      <c r="AJ12" s="205">
        <f t="shared" si="8"/>
        <v>0</v>
      </c>
      <c r="AK12" s="117">
        <f t="shared" si="8"/>
        <v>597</v>
      </c>
      <c r="AL12" s="213">
        <f>SUMPRODUCT(($D$47:$D$63=$AL$6)*($E$47:$E$63=AL$9)*$S$47:$S$63)</f>
        <v>0</v>
      </c>
      <c r="AM12" s="208">
        <f>SUMPRODUCT(($D$47:$D$63=$AL$6)*($E$47:$E$63=AM$9)*$S$47:$S$63)</f>
        <v>0</v>
      </c>
      <c r="AN12" s="208">
        <f>SUMPRODUCT(($D$47:$D$63=$AL$6)*($E$47:$E$63=AN$9)*$S$47:$S$63)</f>
        <v>0</v>
      </c>
      <c r="AO12" s="208">
        <f>SUMPRODUCT(($D$47:$D$63=$AL$6)*($E$47:$E$63=AO$9)*$S$47:$S$63)</f>
        <v>0</v>
      </c>
      <c r="AP12" s="214">
        <f>SUMPRODUCT(($D$47:$D$63=$AL$6)*($E$47:$E$63=AP$9)*$S$47:$S$63)</f>
        <v>0</v>
      </c>
      <c r="AQ12" s="213">
        <f>SUMPRODUCT(($D$47:$D$63=$AQ$6)*($E$47:$E$63=AQ$9)*$S$47:$S$63)</f>
        <v>0</v>
      </c>
      <c r="AR12" s="208">
        <f>SUMPRODUCT(($D$47:$D$63=$AQ$6)*($E$47:$E$63=AR$9)*$S$47:$S$63)</f>
        <v>0</v>
      </c>
      <c r="AS12" s="208">
        <f>SUMPRODUCT(($D$47:$D$63=$AQ$6)*($E$47:$E$63=AS$9)*$S$47:$S$63)</f>
        <v>0</v>
      </c>
      <c r="AT12" s="208">
        <f>SUMPRODUCT(($D$47:$D$63=$AQ$6)*($E$47:$E$63=AT$9)*$S$47:$S$63)</f>
        <v>3376</v>
      </c>
      <c r="AU12" s="214">
        <f>SUMPRODUCT(($D$47:$D$63=$AQ$6)*($E$47:$E$63=AU$9)*$S$47:$S$63)</f>
        <v>0</v>
      </c>
      <c r="AV12" s="159">
        <f t="shared" si="7"/>
        <v>31041.333333333332</v>
      </c>
    </row>
    <row r="13" spans="1:48" ht="15" customHeight="1" x14ac:dyDescent="0.25">
      <c r="A13" s="165" t="s">
        <v>236</v>
      </c>
      <c r="B13" s="186">
        <f>B11-$K$2*VALUE(RIGHT(B9,2))/9</f>
        <v>42270</v>
      </c>
      <c r="C13" s="275"/>
      <c r="D13" s="96" t="s">
        <v>151</v>
      </c>
      <c r="E13" s="176" t="s">
        <v>256</v>
      </c>
      <c r="F13" s="79"/>
      <c r="G13" s="78"/>
      <c r="H13" s="78"/>
      <c r="I13" s="78"/>
      <c r="J13" s="78"/>
      <c r="K13" s="79"/>
      <c r="L13" s="79"/>
      <c r="M13" s="79"/>
      <c r="N13" s="79"/>
      <c r="O13" s="79"/>
      <c r="P13" s="79"/>
      <c r="Q13" s="79"/>
      <c r="R13" s="79"/>
      <c r="S13" s="80">
        <f t="shared" si="3"/>
        <v>0</v>
      </c>
      <c r="T13" s="278"/>
      <c r="V13" s="90">
        <f>$C$66</f>
        <v>202704</v>
      </c>
      <c r="W13" s="52">
        <f>T66</f>
        <v>27665.333333333332</v>
      </c>
      <c r="X13" s="52">
        <f>T73</f>
        <v>0</v>
      </c>
      <c r="Y13" s="52">
        <f>T78</f>
        <v>3376</v>
      </c>
      <c r="Z13" s="52">
        <f t="shared" si="5"/>
        <v>31041.333333333332</v>
      </c>
      <c r="AD13" s="200">
        <f t="shared" si="4"/>
        <v>202704</v>
      </c>
      <c r="AE13" s="116">
        <f t="shared" ref="AE13:AK13" si="9">SUMPRODUCT(($D$66:$D$82=$AE$6)*($E$66:$E$82=AE$9)*$S$66:$S$82)</f>
        <v>8000</v>
      </c>
      <c r="AF13" s="204">
        <f t="shared" si="9"/>
        <v>0</v>
      </c>
      <c r="AG13" s="117">
        <f t="shared" si="9"/>
        <v>5817</v>
      </c>
      <c r="AH13" s="205">
        <f t="shared" si="9"/>
        <v>6751.333333333333</v>
      </c>
      <c r="AI13" s="204">
        <f t="shared" si="9"/>
        <v>6500</v>
      </c>
      <c r="AJ13" s="205">
        <f t="shared" si="9"/>
        <v>0</v>
      </c>
      <c r="AK13" s="117">
        <f t="shared" si="9"/>
        <v>597</v>
      </c>
      <c r="AL13" s="213">
        <f>SUMPRODUCT(($D$66:$D$82=$AL$6)*($E$66:$E$82=AL$9)*$S$66:$S$82)</f>
        <v>0</v>
      </c>
      <c r="AM13" s="208">
        <f>SUMPRODUCT(($D$66:$D$82=$AL$6)*($E$66:$E$82=AM$9)*$S$66:$S$82)</f>
        <v>0</v>
      </c>
      <c r="AN13" s="208">
        <f>SUMPRODUCT(($D$66:$D$82=$AL$6)*($E$66:$E$82=AN$9)*$S$66:$S$82)</f>
        <v>0</v>
      </c>
      <c r="AO13" s="208">
        <f>SUMPRODUCT(($D$66:$D$82=$AL$6)*($E$66:$E$82=AO$9)*$S$66:$S$82)</f>
        <v>0</v>
      </c>
      <c r="AP13" s="214">
        <f>SUMPRODUCT(($D$66:$D$82=$AL$6)*($E$66:$E$82=AP$9)*$S$66:$S$82)</f>
        <v>0</v>
      </c>
      <c r="AQ13" s="213">
        <f>SUMPRODUCT(($D$66:$D$82=$AQ$6)*($E$66:$E$82=AQ$9)*$S$66:$S$82)</f>
        <v>0</v>
      </c>
      <c r="AR13" s="208">
        <f>SUMPRODUCT(($D$66:$D$82=$AQ$6)*($E$66:$E$82=AR$9)*$S$66:$S$82)</f>
        <v>0</v>
      </c>
      <c r="AS13" s="208">
        <f>SUMPRODUCT(($D$66:$D$82=$AQ$6)*($E$66:$E$82=AS$9)*$S$66:$S$82)</f>
        <v>0</v>
      </c>
      <c r="AT13" s="208">
        <f>SUMPRODUCT(($D$66:$D$82=$AQ$6)*($E$66:$E$82=AT$9)*$S$66:$S$82)</f>
        <v>3376</v>
      </c>
      <c r="AU13" s="214">
        <f>SUMPRODUCT(($D$66:$D$82=$AQ$6)*($E$66:$E$82=AU$9)*$S$66:$S$82)</f>
        <v>0</v>
      </c>
      <c r="AV13" s="159">
        <f t="shared" si="7"/>
        <v>31041.333333333332</v>
      </c>
    </row>
    <row r="14" spans="1:48" ht="15" customHeight="1" x14ac:dyDescent="0.25">
      <c r="A14" s="164" t="s">
        <v>242</v>
      </c>
      <c r="B14" s="157">
        <f>B13/($J$2*12)</f>
        <v>2.1135000000000001E-2</v>
      </c>
      <c r="C14" s="275"/>
      <c r="D14" s="95" t="s">
        <v>151</v>
      </c>
      <c r="E14" s="176" t="s">
        <v>257</v>
      </c>
      <c r="F14" s="79"/>
      <c r="G14" s="78"/>
      <c r="H14" s="78"/>
      <c r="I14" s="79"/>
      <c r="J14" s="78"/>
      <c r="K14" s="79"/>
      <c r="L14" s="79"/>
      <c r="M14" s="79"/>
      <c r="N14" s="79"/>
      <c r="O14" s="79"/>
      <c r="P14" s="79"/>
      <c r="Q14" s="79"/>
      <c r="R14" s="79"/>
      <c r="S14" s="80">
        <f>SUM(F14:R14)</f>
        <v>0</v>
      </c>
      <c r="T14" s="278"/>
      <c r="V14" s="90">
        <f>$C$85</f>
        <v>202705</v>
      </c>
      <c r="W14" s="52">
        <f>T85</f>
        <v>27665.333333333332</v>
      </c>
      <c r="X14" s="52">
        <f>T92</f>
        <v>0</v>
      </c>
      <c r="Y14" s="52">
        <f>T97</f>
        <v>22125.5</v>
      </c>
      <c r="Z14" s="52">
        <f t="shared" si="5"/>
        <v>49790.833333333328</v>
      </c>
      <c r="AD14" s="200">
        <f t="shared" si="4"/>
        <v>202705</v>
      </c>
      <c r="AE14" s="116">
        <f t="shared" ref="AE14:AK14" si="10">SUMPRODUCT(($D$85:$D$101=$AE$6)*($E$85:$E$101=AE$9)*$S$85:$S$101)</f>
        <v>8000</v>
      </c>
      <c r="AF14" s="204">
        <f t="shared" si="10"/>
        <v>0</v>
      </c>
      <c r="AG14" s="117">
        <f t="shared" si="10"/>
        <v>5817</v>
      </c>
      <c r="AH14" s="205">
        <f t="shared" si="10"/>
        <v>6751.333333333333</v>
      </c>
      <c r="AI14" s="204">
        <f t="shared" si="10"/>
        <v>6500</v>
      </c>
      <c r="AJ14" s="205">
        <f t="shared" si="10"/>
        <v>0</v>
      </c>
      <c r="AK14" s="117">
        <f t="shared" si="10"/>
        <v>597</v>
      </c>
      <c r="AL14" s="213">
        <f>SUMPRODUCT(($D$85:$D$101=$AL$6)*($E$85:$E$101=AL$9)*$S$85:$S$101)</f>
        <v>0</v>
      </c>
      <c r="AM14" s="208">
        <f>SUMPRODUCT(($D$85:$D$101=$AL$6)*($E$85:$E$101=AM$9)*$S$85:$S$101)</f>
        <v>0</v>
      </c>
      <c r="AN14" s="208">
        <f>SUMPRODUCT(($D$85:$D$101=$AL$6)*($E$85:$E$101=AN$9)*$S$85:$S$101)</f>
        <v>0</v>
      </c>
      <c r="AO14" s="208">
        <f>SUMPRODUCT(($D$85:$D$101=$AL$6)*($E$85:$E$101=AO$9)*$S$85:$S$101)</f>
        <v>0</v>
      </c>
      <c r="AP14" s="214">
        <f>SUMPRODUCT(($D$85:$D$101=$AL$6)*($E$85:$E$101=AP$9)*$S$85:$S$101)</f>
        <v>0</v>
      </c>
      <c r="AQ14" s="213">
        <f>SUMPRODUCT(($D$85:$D$101=$AQ$6)*($E$85:$E$101=AQ$9)*$S$85:$S$101)</f>
        <v>18749.5</v>
      </c>
      <c r="AR14" s="208">
        <f>SUMPRODUCT(($D$85:$D$101=$AQ$6)*($E$85:$E$101=AR$9)*$S$85:$S$101)</f>
        <v>0</v>
      </c>
      <c r="AS14" s="208">
        <f>SUMPRODUCT(($D$85:$D$101=$AQ$6)*($E$85:$E$101=AS$9)*$S$85:$S$101)</f>
        <v>0</v>
      </c>
      <c r="AT14" s="208">
        <f>SUMPRODUCT(($D$85:$D$101=$AQ$6)*($E$85:$E$101=AT$9)*$S$85:$S$101)</f>
        <v>3376</v>
      </c>
      <c r="AU14" s="214">
        <f>SUMPRODUCT(($D$85:$D$101=$AQ$6)*($E$85:$E$101=AU$9)*$S$85:$S$101)</f>
        <v>0</v>
      </c>
      <c r="AV14" s="159">
        <f t="shared" si="7"/>
        <v>49790.833333333328</v>
      </c>
    </row>
    <row r="15" spans="1:48" ht="15" customHeight="1" x14ac:dyDescent="0.25">
      <c r="A15" s="164" t="s">
        <v>241</v>
      </c>
      <c r="B15" s="126">
        <f>VALUE(RIGHT(B9,2))/12</f>
        <v>8.3333333333333329E-2</v>
      </c>
      <c r="C15" s="275"/>
      <c r="D15" s="95" t="s">
        <v>151</v>
      </c>
      <c r="E15" s="176" t="s">
        <v>263</v>
      </c>
      <c r="F15" s="78"/>
      <c r="G15" s="78"/>
      <c r="H15" s="78"/>
      <c r="I15" s="79"/>
      <c r="J15" s="78"/>
      <c r="K15" s="79"/>
      <c r="L15" s="79"/>
      <c r="M15" s="79"/>
      <c r="N15" s="79"/>
      <c r="O15" s="79"/>
      <c r="P15" s="79"/>
      <c r="Q15" s="79"/>
      <c r="R15" s="79"/>
      <c r="S15" s="80">
        <f>SUM(F15:R15)</f>
        <v>0</v>
      </c>
      <c r="T15" s="278"/>
      <c r="V15" s="90">
        <f>$C$104</f>
        <v>202706</v>
      </c>
      <c r="W15" s="52">
        <f>T104</f>
        <v>20914</v>
      </c>
      <c r="X15" s="52">
        <f>T111</f>
        <v>0</v>
      </c>
      <c r="Y15" s="52">
        <f>T116</f>
        <v>3375.6666666666665</v>
      </c>
      <c r="Z15" s="52">
        <f t="shared" si="5"/>
        <v>24289.666666666668</v>
      </c>
      <c r="AD15" s="200">
        <f t="shared" si="4"/>
        <v>202706</v>
      </c>
      <c r="AE15" s="116">
        <f t="shared" ref="AE15:AK15" si="11">SUMPRODUCT(($D$104:$D$120=$AE$6)*($E$104:$E$120=AE$9)*$S$104:$S$120)</f>
        <v>8000</v>
      </c>
      <c r="AF15" s="204">
        <f t="shared" si="11"/>
        <v>0</v>
      </c>
      <c r="AG15" s="117">
        <f t="shared" si="11"/>
        <v>5817</v>
      </c>
      <c r="AH15" s="205">
        <f t="shared" si="11"/>
        <v>0</v>
      </c>
      <c r="AI15" s="204">
        <f t="shared" si="11"/>
        <v>6500</v>
      </c>
      <c r="AJ15" s="205">
        <f t="shared" si="11"/>
        <v>0</v>
      </c>
      <c r="AK15" s="117">
        <f t="shared" si="11"/>
        <v>597</v>
      </c>
      <c r="AL15" s="213">
        <f>SUMPRODUCT(($D$104:$D$120=$AL$6)*($E$104:$E$120=AL$9)*$S$104:$S$120)</f>
        <v>0</v>
      </c>
      <c r="AM15" s="208">
        <f>SUMPRODUCT(($D$104:$D$120=$AL$6)*($E$104:$E$120=AM$9)*$S$104:$S$120)</f>
        <v>0</v>
      </c>
      <c r="AN15" s="208">
        <f>SUMPRODUCT(($D$104:$D$120=$AL$6)*($E$104:$E$120=AN$9)*$S$104:$S$120)</f>
        <v>0</v>
      </c>
      <c r="AO15" s="208">
        <f>SUMPRODUCT(($D$104:$D$120=$AL$6)*($E$104:$E$120=AO$9)*$S$104:$S$120)</f>
        <v>0</v>
      </c>
      <c r="AP15" s="214">
        <f>SUMPRODUCT(($D$104:$D$120=$AL$6)*($E$104:$E$120=AP$9)*$S$104:$S$120)</f>
        <v>0</v>
      </c>
      <c r="AQ15" s="213">
        <f>SUMPRODUCT(($D$104:$D$120=$AQ$6)*($E$104:$E$120=AQ$9)*$S$104:$S$120)</f>
        <v>0</v>
      </c>
      <c r="AR15" s="208">
        <f>SUMPRODUCT(($D$104:$D$120=$AQ$6)*($E$104:$E$120=AR$9)*$S$104:$S$120)</f>
        <v>0</v>
      </c>
      <c r="AS15" s="208">
        <f>SUMPRODUCT(($D$104:$D$120=$AQ$6)*($E$104:$E$120=AS$9)*$S$104:$S$120)</f>
        <v>0</v>
      </c>
      <c r="AT15" s="208">
        <f>SUMPRODUCT(($D$104:$D$120=$AQ$6)*($E$104:$E$120=AT$9)*$S$104:$S$120)</f>
        <v>3375.6666666666665</v>
      </c>
      <c r="AU15" s="214">
        <f>SUMPRODUCT(($D$104:$D$120=$AQ$6)*($E$104:$E$120=AU$9)*$S$104:$S$120)</f>
        <v>0</v>
      </c>
      <c r="AV15" s="159">
        <f t="shared" si="7"/>
        <v>24289.666666666668</v>
      </c>
    </row>
    <row r="16" spans="1:48" ht="15" customHeight="1" x14ac:dyDescent="0.25">
      <c r="A16" s="164" t="s">
        <v>243</v>
      </c>
      <c r="B16" s="161">
        <f>B10*VALUE(RIGHT(B9,2))-B13</f>
        <v>124396.66666666666</v>
      </c>
      <c r="C16" s="275"/>
      <c r="D16" s="97" t="s">
        <v>152</v>
      </c>
      <c r="E16" s="97" t="s">
        <v>144</v>
      </c>
      <c r="F16" s="85"/>
      <c r="G16" s="85"/>
      <c r="H16" s="85"/>
      <c r="I16" s="46"/>
      <c r="J16" s="46"/>
      <c r="K16" s="46"/>
      <c r="L16" s="46"/>
      <c r="M16" s="89"/>
      <c r="N16" s="46"/>
      <c r="O16" s="89"/>
      <c r="P16" s="46"/>
      <c r="Q16" s="46"/>
      <c r="R16" s="46"/>
      <c r="S16" s="83">
        <f t="shared" si="3"/>
        <v>0</v>
      </c>
      <c r="T16" s="280">
        <f>SUM(S16:S20)</f>
        <v>0</v>
      </c>
      <c r="V16" s="90">
        <f>$C$123</f>
        <v>202707</v>
      </c>
      <c r="W16" s="52">
        <f>T123</f>
        <v>14414</v>
      </c>
      <c r="X16" s="52">
        <f>T130</f>
        <v>0</v>
      </c>
      <c r="Y16" s="52">
        <f>T135</f>
        <v>43568.166666666664</v>
      </c>
      <c r="Z16" s="52">
        <f t="shared" si="5"/>
        <v>57982.166666666664</v>
      </c>
      <c r="AD16" s="200">
        <f t="shared" si="4"/>
        <v>202707</v>
      </c>
      <c r="AE16" s="116">
        <f t="shared" ref="AE16:AK16" si="12">SUMPRODUCT(($D$123:$D$139=$AE$6)*($E$123:$E$139=AE$9)*$S$123:$S$139)</f>
        <v>8000</v>
      </c>
      <c r="AF16" s="204">
        <f t="shared" si="12"/>
        <v>0</v>
      </c>
      <c r="AG16" s="117">
        <f t="shared" si="12"/>
        <v>5817</v>
      </c>
      <c r="AH16" s="205">
        <f t="shared" si="12"/>
        <v>0</v>
      </c>
      <c r="AI16" s="204">
        <f t="shared" si="12"/>
        <v>0</v>
      </c>
      <c r="AJ16" s="205">
        <f t="shared" si="12"/>
        <v>0</v>
      </c>
      <c r="AK16" s="117">
        <f t="shared" si="12"/>
        <v>597</v>
      </c>
      <c r="AL16" s="213">
        <f>SUMPRODUCT(($D$123:$D$139=$AL$6)*($E$123:$E$139=AL$9)*$S$123:$S$139)</f>
        <v>0</v>
      </c>
      <c r="AM16" s="208">
        <f>SUMPRODUCT(($D$123:$D$139=$AL$6)*($E$123:$E$139=AM$9)*$S$123:$S$139)</f>
        <v>0</v>
      </c>
      <c r="AN16" s="208">
        <f>SUMPRODUCT(($D$123:$D$139=$AL$6)*($E$123:$E$139=AN$9)*$S$123:$S$139)</f>
        <v>0</v>
      </c>
      <c r="AO16" s="208">
        <f>SUMPRODUCT(($D$123:$D$139=$AL$6)*($E$123:$E$139=AO$9)*$S$123:$S$139)</f>
        <v>0</v>
      </c>
      <c r="AP16" s="214">
        <f>SUMPRODUCT(($D$123:$D$139=$AL$6)*($E$123:$E$139=AP$9)*$S$123:$S$139)</f>
        <v>0</v>
      </c>
      <c r="AQ16" s="213">
        <f>SUMPRODUCT(($D$123:$D$139=$AQ$6)*($E$123:$E$139=AQ$9)*$S$123:$S$139)</f>
        <v>40192.5</v>
      </c>
      <c r="AR16" s="208">
        <f>SUMPRODUCT(($D$123:$D$139=$AQ$6)*($E$123:$E$139=AR$9)*$S$123:$S$139)</f>
        <v>0</v>
      </c>
      <c r="AS16" s="208">
        <f>SUMPRODUCT(($D$123:$D$139=$AQ$6)*($E$123:$E$139=AS$9)*$S$123:$S$139)</f>
        <v>0</v>
      </c>
      <c r="AT16" s="208">
        <f>SUMPRODUCT(($D$123:$D$139=$AQ$6)*($E$123:$E$139=AT$9)*$S$123:$S$139)</f>
        <v>3375.6666666666665</v>
      </c>
      <c r="AU16" s="214">
        <f>SUMPRODUCT(($D$123:$D$139=$AQ$6)*($E$123:$E$139=AU$9)*$S$123:$S$139)</f>
        <v>0</v>
      </c>
      <c r="AV16" s="159">
        <f t="shared" si="7"/>
        <v>57982.166666666664</v>
      </c>
    </row>
    <row r="17" spans="1:48" ht="15" customHeight="1" x14ac:dyDescent="0.25">
      <c r="A17" s="164" t="s">
        <v>265</v>
      </c>
      <c r="B17" s="184">
        <f>$J$2-(S26-F23)</f>
        <v>124396.66666666666</v>
      </c>
      <c r="C17" s="275"/>
      <c r="D17" s="97" t="s">
        <v>152</v>
      </c>
      <c r="E17" s="97" t="s">
        <v>145</v>
      </c>
      <c r="F17" s="85"/>
      <c r="G17" s="46"/>
      <c r="H17" s="85"/>
      <c r="I17" s="46"/>
      <c r="J17" s="46"/>
      <c r="K17" s="46"/>
      <c r="L17" s="46"/>
      <c r="M17" s="46"/>
      <c r="N17" s="46"/>
      <c r="O17" s="89"/>
      <c r="P17" s="46"/>
      <c r="Q17" s="46"/>
      <c r="R17" s="46"/>
      <c r="S17" s="83">
        <f t="shared" si="3"/>
        <v>0</v>
      </c>
      <c r="T17" s="281"/>
      <c r="V17" s="90">
        <f>$C$142</f>
        <v>202708</v>
      </c>
      <c r="W17" s="52">
        <f>T142</f>
        <v>14414</v>
      </c>
      <c r="X17" s="52">
        <f>T149</f>
        <v>0</v>
      </c>
      <c r="Y17" s="52">
        <f>T154</f>
        <v>3375.6666666666665</v>
      </c>
      <c r="Z17" s="52">
        <f t="shared" si="5"/>
        <v>17789.666666666668</v>
      </c>
      <c r="AD17" s="200">
        <f t="shared" si="4"/>
        <v>202708</v>
      </c>
      <c r="AE17" s="116">
        <f t="shared" ref="AE17:AK17" si="13">SUMPRODUCT(($D$142:$D$158=$AE$6)*($E$142:$E$158=AE$9)*$S$142:$S$158)</f>
        <v>8000</v>
      </c>
      <c r="AF17" s="204">
        <f t="shared" si="13"/>
        <v>0</v>
      </c>
      <c r="AG17" s="117">
        <f t="shared" si="13"/>
        <v>5817</v>
      </c>
      <c r="AH17" s="205">
        <f t="shared" si="13"/>
        <v>0</v>
      </c>
      <c r="AI17" s="204">
        <f t="shared" si="13"/>
        <v>0</v>
      </c>
      <c r="AJ17" s="205">
        <f t="shared" si="13"/>
        <v>0</v>
      </c>
      <c r="AK17" s="117">
        <f t="shared" si="13"/>
        <v>597</v>
      </c>
      <c r="AL17" s="213">
        <f>SUMPRODUCT(($D$142:$D$158=$AL$6)*($E$142:$E$158=AL$9)*$S$142:$S$158)</f>
        <v>0</v>
      </c>
      <c r="AM17" s="208">
        <f>SUMPRODUCT(($D$142:$D$158=$AL$6)*($E$142:$E$158=AM$9)*$S$142:$S$158)</f>
        <v>0</v>
      </c>
      <c r="AN17" s="208">
        <f>SUMPRODUCT(($D$142:$D$158=$AL$6)*($E$142:$E$158=AN$9)*$S$142:$S$158)</f>
        <v>0</v>
      </c>
      <c r="AO17" s="208">
        <f>SUMPRODUCT(($D$142:$D$158=$AL$6)*($E$142:$E$158=AO$9)*$S$142:$S$158)</f>
        <v>0</v>
      </c>
      <c r="AP17" s="214">
        <f>SUMPRODUCT(($D$142:$D$158=$AL$6)*($E$142:$E$158=AP$9)*$S$142:$S$158)</f>
        <v>0</v>
      </c>
      <c r="AQ17" s="213">
        <f>SUMPRODUCT(($D$142:$D$158=$AQ$6)*($E$142:$E$158=AQ$9)*$S$142:$S$158)</f>
        <v>0</v>
      </c>
      <c r="AR17" s="208">
        <f>SUMPRODUCT(($D$142:$D$158=$AQ$6)*($E$142:$E$158=AR$9)*$S$142:$S$158)</f>
        <v>0</v>
      </c>
      <c r="AS17" s="208">
        <f>SUMPRODUCT(($D$142:$D$158=$AQ$6)*($E$142:$E$158=AS$9)*$S$142:$S$158)</f>
        <v>0</v>
      </c>
      <c r="AT17" s="208">
        <f>SUMPRODUCT(($D$142:$D$158=$AQ$6)*($E$142:$E$158=AT$9)*$S$142:$S$158)</f>
        <v>3375.6666666666665</v>
      </c>
      <c r="AU17" s="214">
        <f>SUMPRODUCT(($D$142:$D$158=$AQ$6)*($E$142:$E$158=AU$9)*$S$142:$S$158)</f>
        <v>0</v>
      </c>
      <c r="AV17" s="159">
        <f t="shared" si="7"/>
        <v>17789.666666666668</v>
      </c>
    </row>
    <row r="18" spans="1:48" ht="15" customHeight="1" x14ac:dyDescent="0.25">
      <c r="C18" s="275"/>
      <c r="D18" s="97" t="s">
        <v>152</v>
      </c>
      <c r="E18" s="97" t="s">
        <v>146</v>
      </c>
      <c r="F18" s="86"/>
      <c r="G18" s="46"/>
      <c r="H18" s="87"/>
      <c r="I18" s="87"/>
      <c r="J18" s="46"/>
      <c r="K18" s="46"/>
      <c r="L18" s="46"/>
      <c r="M18" s="46"/>
      <c r="N18" s="46"/>
      <c r="O18" s="46"/>
      <c r="P18" s="46"/>
      <c r="Q18" s="46"/>
      <c r="R18" s="46"/>
      <c r="S18" s="83">
        <f t="shared" si="3"/>
        <v>0</v>
      </c>
      <c r="T18" s="281"/>
      <c r="V18" s="90">
        <f>$C$161</f>
        <v>202709</v>
      </c>
      <c r="W18" s="52">
        <f>T161</f>
        <v>20914</v>
      </c>
      <c r="X18" s="52">
        <f>T168</f>
        <v>0</v>
      </c>
      <c r="Y18" s="52">
        <f>T173</f>
        <v>3375.6666666666665</v>
      </c>
      <c r="Z18" s="52">
        <f t="shared" si="5"/>
        <v>24289.666666666668</v>
      </c>
      <c r="AD18" s="200">
        <f t="shared" si="4"/>
        <v>202709</v>
      </c>
      <c r="AE18" s="110">
        <f t="shared" ref="AE18:AK18" si="14">SUMPRODUCT(($D$161:$D$177=$AE$6)*($E$161:$E$177=AE$9)*$S$161:$S$177)</f>
        <v>8000</v>
      </c>
      <c r="AF18" s="206">
        <f t="shared" si="14"/>
        <v>0</v>
      </c>
      <c r="AG18" s="111">
        <f t="shared" si="14"/>
        <v>5817</v>
      </c>
      <c r="AH18" s="207">
        <f t="shared" si="14"/>
        <v>0</v>
      </c>
      <c r="AI18" s="206">
        <f t="shared" si="14"/>
        <v>6500</v>
      </c>
      <c r="AJ18" s="207">
        <f t="shared" si="14"/>
        <v>0</v>
      </c>
      <c r="AK18" s="111">
        <f t="shared" si="14"/>
        <v>597</v>
      </c>
      <c r="AL18" s="215">
        <f>SUMPRODUCT(($D$161:$D$177=$AL$6)*($E$161:$E$177=AL$9)*$S$161:$S$177)</f>
        <v>0</v>
      </c>
      <c r="AM18" s="209">
        <f>SUMPRODUCT(($D$161:$D$177=$AL$6)*($E$161:$E$177=AM$9)*$S$161:$S$177)</f>
        <v>0</v>
      </c>
      <c r="AN18" s="209">
        <f>SUMPRODUCT(($D$161:$D$177=$AL$6)*($E$161:$E$177=AN$9)*$S$161:$S$177)</f>
        <v>0</v>
      </c>
      <c r="AO18" s="209">
        <f>SUMPRODUCT(($D$161:$D$177=$AL$6)*($E$161:$E$177=AO$9)*$S$161:$S$177)</f>
        <v>0</v>
      </c>
      <c r="AP18" s="216">
        <f>SUMPRODUCT(($D$161:$D$177=$AL$6)*($E$161:$E$177=AP$9)*$S$161:$S$177)</f>
        <v>0</v>
      </c>
      <c r="AQ18" s="215">
        <f>SUMPRODUCT(($D$161:$D$177=$AQ$6)*($E$161:$E$177=AQ$9)*$S$161:$S$177)</f>
        <v>0</v>
      </c>
      <c r="AR18" s="209">
        <f>SUMPRODUCT(($D$161:$D$177=$AQ$6)*($E$161:$E$177=AR$9)*$S$161:$S$177)</f>
        <v>0</v>
      </c>
      <c r="AS18" s="209">
        <f>SUMPRODUCT(($D$161:$D$177=$AQ$6)*($E$161:$E$177=AS$9)*$S$161:$S$177)</f>
        <v>0</v>
      </c>
      <c r="AT18" s="209">
        <f>SUMPRODUCT(($D$161:$D$177=$AQ$6)*($E$161:$E$177=AT$9)*$S$161:$S$177)</f>
        <v>3375.6666666666665</v>
      </c>
      <c r="AU18" s="216">
        <f>SUMPRODUCT(($D$161:$D$177=$AQ$6)*($E$161:$E$177=AU$9)*$S$161:$S$177)</f>
        <v>0</v>
      </c>
      <c r="AV18" s="159">
        <f t="shared" si="7"/>
        <v>24289.666666666668</v>
      </c>
    </row>
    <row r="19" spans="1:48" ht="15" customHeight="1" x14ac:dyDescent="0.25">
      <c r="C19" s="275"/>
      <c r="D19" s="97" t="s">
        <v>152</v>
      </c>
      <c r="E19" s="97" t="s">
        <v>147</v>
      </c>
      <c r="F19" s="86"/>
      <c r="G19" s="46"/>
      <c r="H19" s="87"/>
      <c r="I19" s="87"/>
      <c r="J19" s="46"/>
      <c r="K19" s="46"/>
      <c r="L19" s="46"/>
      <c r="M19" s="46"/>
      <c r="N19" s="46"/>
      <c r="O19" s="46"/>
      <c r="P19" s="46"/>
      <c r="Q19" s="46"/>
      <c r="R19" s="46"/>
      <c r="S19" s="83">
        <f t="shared" si="3"/>
        <v>0</v>
      </c>
      <c r="T19" s="281"/>
      <c r="V19" s="90">
        <f>$C$180</f>
        <v>202710</v>
      </c>
      <c r="W19" s="52">
        <f>T180</f>
        <v>20914</v>
      </c>
      <c r="X19" s="52">
        <f>T187</f>
        <v>0</v>
      </c>
      <c r="Y19" s="52">
        <f>T192</f>
        <v>3375.6666666666665</v>
      </c>
      <c r="Z19" s="52">
        <f t="shared" si="5"/>
        <v>24289.666666666668</v>
      </c>
      <c r="AD19" s="200">
        <f t="shared" si="4"/>
        <v>202710</v>
      </c>
      <c r="AE19" s="110">
        <f t="shared" ref="AE19:AK19" si="15">SUMPRODUCT(($D$180:$D$196=$AE$6)*($E$180:$E$196=AE$9)*$S$180:$S$196)</f>
        <v>8000</v>
      </c>
      <c r="AF19" s="206">
        <f t="shared" si="15"/>
        <v>0</v>
      </c>
      <c r="AG19" s="111">
        <f t="shared" si="15"/>
        <v>5817</v>
      </c>
      <c r="AH19" s="207">
        <f t="shared" si="15"/>
        <v>0</v>
      </c>
      <c r="AI19" s="206">
        <f t="shared" si="15"/>
        <v>6500</v>
      </c>
      <c r="AJ19" s="207">
        <f t="shared" si="15"/>
        <v>0</v>
      </c>
      <c r="AK19" s="111">
        <f t="shared" si="15"/>
        <v>597</v>
      </c>
      <c r="AL19" s="215">
        <f>SUMPRODUCT(($D$180:$D$196=$AL$6)*($E$180:$E$196=AL$9)*$S$180:$S$196)</f>
        <v>0</v>
      </c>
      <c r="AM19" s="209">
        <f>SUMPRODUCT(($D$180:$D$196=$AL$6)*($E$180:$E$196=AM$9)*$S$180:$S$196)</f>
        <v>0</v>
      </c>
      <c r="AN19" s="209">
        <f>SUMPRODUCT(($D$180:$D$196=$AL$6)*($E$180:$E$196=AN$9)*$S$180:$S$196)</f>
        <v>0</v>
      </c>
      <c r="AO19" s="209">
        <f>SUMPRODUCT(($D$180:$D$196=$AL$6)*($E$180:$E$196=AO$9)*$S$180:$S$196)</f>
        <v>0</v>
      </c>
      <c r="AP19" s="216">
        <f>SUMPRODUCT(($D$180:$D$196=$AL$6)*($E$180:$E$196=AP$9)*$S$180:$S$196)</f>
        <v>0</v>
      </c>
      <c r="AQ19" s="215">
        <f>SUMPRODUCT(($D$180:$D$196=$AQ$6)*($E$180:$E$196=AQ$9)*$S$180:$S$196)</f>
        <v>0</v>
      </c>
      <c r="AR19" s="209">
        <f>SUMPRODUCT(($D$180:$D$196=$AQ$6)*($E$180:$E$196=AR$9)*$S$180:$S$196)</f>
        <v>0</v>
      </c>
      <c r="AS19" s="209">
        <f>SUMPRODUCT(($D$180:$D$196=$AQ$6)*($E$180:$E$196=AS$9)*$S$180:$S$196)</f>
        <v>0</v>
      </c>
      <c r="AT19" s="209">
        <f>SUMPRODUCT(($D$180:$D$196=$AQ$6)*($E$180:$E$196=AT$9)*$S$180:$S$196)</f>
        <v>3375.6666666666665</v>
      </c>
      <c r="AU19" s="216">
        <f>SUMPRODUCT(($D$180:$D$196=$AQ$6)*($E$180:$E$196=AU$9)*$S$180:$S$196)</f>
        <v>0</v>
      </c>
      <c r="AV19" s="159">
        <f t="shared" si="7"/>
        <v>24289.666666666668</v>
      </c>
    </row>
    <row r="20" spans="1:48" ht="15" customHeight="1" x14ac:dyDescent="0.25">
      <c r="B20" s="52"/>
      <c r="C20" s="275"/>
      <c r="D20" s="97" t="s">
        <v>152</v>
      </c>
      <c r="E20" s="97" t="s">
        <v>168</v>
      </c>
      <c r="F20" s="85"/>
      <c r="G20" s="85"/>
      <c r="H20" s="87"/>
      <c r="I20" s="87"/>
      <c r="J20" s="46"/>
      <c r="K20" s="46"/>
      <c r="L20" s="46"/>
      <c r="M20" s="46"/>
      <c r="N20" s="46"/>
      <c r="O20" s="46"/>
      <c r="P20" s="46"/>
      <c r="Q20" s="86"/>
      <c r="R20" s="46"/>
      <c r="S20" s="83">
        <f t="shared" si="3"/>
        <v>0</v>
      </c>
      <c r="T20" s="281"/>
      <c r="V20" s="90">
        <f>$C$199</f>
        <v>202711</v>
      </c>
      <c r="W20" s="52">
        <f>T199</f>
        <v>20914</v>
      </c>
      <c r="X20" s="52">
        <f>T206</f>
        <v>0</v>
      </c>
      <c r="Y20" s="52">
        <f>T211</f>
        <v>0</v>
      </c>
      <c r="Z20" s="52">
        <f t="shared" si="5"/>
        <v>20914</v>
      </c>
      <c r="AD20" s="200">
        <f t="shared" si="4"/>
        <v>202711</v>
      </c>
      <c r="AE20" s="110">
        <f t="shared" ref="AE20:AK20" si="16">SUMPRODUCT(($D$199:$D$215=$AE$6)*($E$199:$E$215=AE$9)*$S$199:$S$215)</f>
        <v>8000</v>
      </c>
      <c r="AF20" s="206">
        <f t="shared" si="16"/>
        <v>0</v>
      </c>
      <c r="AG20" s="111">
        <f t="shared" si="16"/>
        <v>5817</v>
      </c>
      <c r="AH20" s="207">
        <f t="shared" si="16"/>
        <v>0</v>
      </c>
      <c r="AI20" s="206">
        <f t="shared" si="16"/>
        <v>6500</v>
      </c>
      <c r="AJ20" s="207">
        <f t="shared" si="16"/>
        <v>0</v>
      </c>
      <c r="AK20" s="111">
        <f t="shared" si="16"/>
        <v>597</v>
      </c>
      <c r="AL20" s="215">
        <f>SUMPRODUCT(($D$199:$D$215=$AL$6)*($E$199:$E$215=AL$9)*$S$199:$S$215)</f>
        <v>0</v>
      </c>
      <c r="AM20" s="209">
        <f>SUMPRODUCT(($D$199:$D$215=$AL$6)*($E$199:$E$215=AM$9)*$S$199:$S$215)</f>
        <v>0</v>
      </c>
      <c r="AN20" s="209">
        <f>SUMPRODUCT(($D$199:$D$215=$AL$6)*($E$199:$E$215=AN$9)*$S$199:$S$215)</f>
        <v>0</v>
      </c>
      <c r="AO20" s="209">
        <f>SUMPRODUCT(($D$199:$D$215=$AL$6)*($E$199:$E$215=AO$9)*$S$199:$S$215)</f>
        <v>0</v>
      </c>
      <c r="AP20" s="216">
        <f>SUMPRODUCT(($D$199:$D$215=$AL$6)*($E$199:$E$215=AP$9)*$S$199:$S$215)</f>
        <v>0</v>
      </c>
      <c r="AQ20" s="215">
        <f>SUMPRODUCT(($D$199:$D$215=$AQ$6)*($E$199:$E$215=AQ$9)*$S$199:$S$215)</f>
        <v>0</v>
      </c>
      <c r="AR20" s="209">
        <f>SUMPRODUCT(($D$199:$D$215=$AQ$6)*($E$199:$E$215=AR$9)*$S$199:$S$215)</f>
        <v>0</v>
      </c>
      <c r="AS20" s="209">
        <f>SUMPRODUCT(($D$199:$D$215=$AQ$6)*($E$199:$E$215=AS$9)*$S$199:$S$215)</f>
        <v>0</v>
      </c>
      <c r="AT20" s="209">
        <f>SUMPRODUCT(($D$199:$D$215=$AQ$6)*($E$199:$E$215=AT$9)*$S$199:$S$215)</f>
        <v>0</v>
      </c>
      <c r="AU20" s="216">
        <f>SUMPRODUCT(($D$199:$D$215=$AQ$6)*($E$199:$E$215=AU$9)*$S$199:$S$215)</f>
        <v>0</v>
      </c>
      <c r="AV20" s="159">
        <f t="shared" si="7"/>
        <v>20914</v>
      </c>
    </row>
    <row r="21" spans="1:48" ht="15" customHeight="1" thickBot="1" x14ac:dyDescent="0.3">
      <c r="C21" s="275"/>
      <c r="D21" s="98" t="s">
        <v>153</v>
      </c>
      <c r="E21" s="178" t="s">
        <v>258</v>
      </c>
      <c r="F21" s="81">
        <v>2267</v>
      </c>
      <c r="G21" s="81"/>
      <c r="H21" s="81"/>
      <c r="I21" s="81">
        <f>2098+32+396+944+1894+1894-1000</f>
        <v>6258</v>
      </c>
      <c r="J21" s="81"/>
      <c r="K21" s="81">
        <v>26766</v>
      </c>
      <c r="L21" s="81"/>
      <c r="M21" s="81">
        <f>6979</f>
        <v>6979</v>
      </c>
      <c r="N21" s="81"/>
      <c r="O21" s="81"/>
      <c r="P21" s="81"/>
      <c r="Q21" s="81"/>
      <c r="R21" s="81"/>
      <c r="S21" s="82">
        <f t="shared" si="3"/>
        <v>42270</v>
      </c>
      <c r="T21" s="282">
        <f>SUM(S21:S25)</f>
        <v>42270</v>
      </c>
      <c r="V21" s="90">
        <f>$C$218</f>
        <v>202712</v>
      </c>
      <c r="W21" s="52">
        <f>T218</f>
        <v>20914</v>
      </c>
      <c r="X21" s="52">
        <f>T225</f>
        <v>0</v>
      </c>
      <c r="Y21" s="52">
        <f>T230</f>
        <v>0</v>
      </c>
      <c r="Z21" s="52">
        <f t="shared" si="5"/>
        <v>20914</v>
      </c>
      <c r="AD21" s="200">
        <f t="shared" si="4"/>
        <v>202712</v>
      </c>
      <c r="AE21" s="113">
        <f t="shared" ref="AE21:AK21" si="17">SUMPRODUCT(($D$218:$D$234=$AE$6)*($E$218:$E$234=AE$9)*$S$218:$S$234)</f>
        <v>8000</v>
      </c>
      <c r="AF21" s="222">
        <f t="shared" si="17"/>
        <v>0</v>
      </c>
      <c r="AG21" s="114">
        <f t="shared" si="17"/>
        <v>5817</v>
      </c>
      <c r="AH21" s="223">
        <f t="shared" si="17"/>
        <v>0</v>
      </c>
      <c r="AI21" s="222">
        <f t="shared" si="17"/>
        <v>6500</v>
      </c>
      <c r="AJ21" s="223">
        <f t="shared" si="17"/>
        <v>0</v>
      </c>
      <c r="AK21" s="114">
        <f t="shared" si="17"/>
        <v>597</v>
      </c>
      <c r="AL21" s="217">
        <f>SUMPRODUCT(($D$218:$D$234=$AL$6)*($E$218:$E$234=AL$9)*$S$218:$S$234)</f>
        <v>0</v>
      </c>
      <c r="AM21" s="218">
        <f>SUMPRODUCT(($D$218:$D$234=$AL$6)*($E$218:$E$234=AM$9)*$S$218:$S$234)</f>
        <v>0</v>
      </c>
      <c r="AN21" s="218">
        <f>SUMPRODUCT(($D$218:$D$234=$AL$6)*($E$218:$E$234=AN$9)*$S$218:$S$234)</f>
        <v>0</v>
      </c>
      <c r="AO21" s="218">
        <f>SUMPRODUCT(($D$218:$D$234=$AL$6)*($E$218:$E$234=AO$9)*$S$218:$S$234)</f>
        <v>0</v>
      </c>
      <c r="AP21" s="219">
        <f>SUMPRODUCT(($D$218:$D$234=$AL$6)*($E$218:$E$234=AP$9)*$S$218:$S$234)</f>
        <v>0</v>
      </c>
      <c r="AQ21" s="217">
        <f>SUMPRODUCT(($D$218:$D$234=$AQ$6)*($E$218:$E$234=AQ$9)*$S$218:$S$234)</f>
        <v>0</v>
      </c>
      <c r="AR21" s="218">
        <f>SUMPRODUCT(($D$218:$D$234=$AQ$6)*($E$218:$E$234=AR$9)*$S$218:$S$234)</f>
        <v>0</v>
      </c>
      <c r="AS21" s="218">
        <f>SUMPRODUCT(($D$218:$D$234=$AQ$6)*($E$218:$E$234=AS$9)*$S$218:$S$234)</f>
        <v>0</v>
      </c>
      <c r="AT21" s="218">
        <f>SUMPRODUCT(($D$218:$D$234=$AQ$6)*($E$218:$E$234=AT$9)*$S$218:$S$234)</f>
        <v>0</v>
      </c>
      <c r="AU21" s="219">
        <f>SUMPRODUCT(($D$218:$D$234=$AQ$6)*($E$218:$E$234=AU$9)*$S$218:$S$234)</f>
        <v>0</v>
      </c>
      <c r="AV21" s="159">
        <f t="shared" si="7"/>
        <v>20914</v>
      </c>
    </row>
    <row r="22" spans="1:48" ht="15" customHeight="1" x14ac:dyDescent="0.25">
      <c r="C22" s="275"/>
      <c r="D22" s="99" t="s">
        <v>153</v>
      </c>
      <c r="E22" s="137" t="s">
        <v>143</v>
      </c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>
        <f t="shared" si="3"/>
        <v>0</v>
      </c>
      <c r="T22" s="283"/>
      <c r="AD22" s="90"/>
      <c r="AF22" s="52"/>
    </row>
    <row r="23" spans="1:48" ht="15" customHeight="1" x14ac:dyDescent="0.25">
      <c r="C23" s="275"/>
      <c r="D23" s="99" t="s">
        <v>153</v>
      </c>
      <c r="E23" s="99" t="s">
        <v>172</v>
      </c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>
        <f t="shared" si="3"/>
        <v>0</v>
      </c>
      <c r="T23" s="283"/>
      <c r="AF23" s="52"/>
    </row>
    <row r="24" spans="1:48" s="41" customFormat="1" ht="15" customHeight="1" x14ac:dyDescent="0.25">
      <c r="B24" s="45"/>
      <c r="C24" s="276"/>
      <c r="D24" s="99" t="s">
        <v>153</v>
      </c>
      <c r="E24" s="99" t="s">
        <v>173</v>
      </c>
      <c r="F24" s="82"/>
      <c r="G24" s="82"/>
      <c r="H24" s="82"/>
      <c r="I24" s="82"/>
      <c r="J24" s="82"/>
      <c r="K24" s="180"/>
      <c r="L24" s="82"/>
      <c r="M24" s="82"/>
      <c r="N24" s="82"/>
      <c r="O24" s="82"/>
      <c r="P24" s="82"/>
      <c r="Q24" s="82"/>
      <c r="R24" s="82"/>
      <c r="S24" s="82">
        <f t="shared" si="3"/>
        <v>0</v>
      </c>
      <c r="T24" s="283"/>
      <c r="AF24" s="52"/>
    </row>
    <row r="25" spans="1:48" ht="15.75" customHeight="1" thickBot="1" x14ac:dyDescent="0.3">
      <c r="C25" s="276"/>
      <c r="D25" s="100" t="s">
        <v>153</v>
      </c>
      <c r="E25" s="100" t="s">
        <v>168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>
        <f t="shared" si="3"/>
        <v>0</v>
      </c>
      <c r="T25" s="283"/>
      <c r="AF25" s="52"/>
    </row>
    <row r="26" spans="1:48" ht="15" customHeight="1" x14ac:dyDescent="0.25">
      <c r="D26" s="101" t="s">
        <v>120</v>
      </c>
      <c r="E26" s="101" t="s">
        <v>120</v>
      </c>
      <c r="F26" s="64">
        <f t="shared" ref="F26:S26" si="18">SUM(F9:F25)</f>
        <v>2267</v>
      </c>
      <c r="G26" s="64">
        <f t="shared" si="18"/>
        <v>0</v>
      </c>
      <c r="H26" s="64">
        <f t="shared" si="18"/>
        <v>0</v>
      </c>
      <c r="I26" s="64">
        <f t="shared" si="18"/>
        <v>6258</v>
      </c>
      <c r="J26" s="64">
        <f t="shared" si="18"/>
        <v>0</v>
      </c>
      <c r="K26" s="64">
        <f t="shared" si="18"/>
        <v>26766</v>
      </c>
      <c r="L26" s="64">
        <f t="shared" si="18"/>
        <v>0</v>
      </c>
      <c r="M26" s="64">
        <f t="shared" si="18"/>
        <v>6979</v>
      </c>
      <c r="N26" s="64">
        <f t="shared" si="18"/>
        <v>0</v>
      </c>
      <c r="O26" s="64">
        <f t="shared" si="18"/>
        <v>0</v>
      </c>
      <c r="P26" s="64">
        <f t="shared" si="18"/>
        <v>0</v>
      </c>
      <c r="Q26" s="64">
        <f t="shared" si="18"/>
        <v>0</v>
      </c>
      <c r="R26" s="64">
        <f t="shared" si="18"/>
        <v>0</v>
      </c>
      <c r="S26" s="54">
        <f t="shared" si="18"/>
        <v>42270</v>
      </c>
      <c r="AF26" s="52"/>
    </row>
    <row r="27" spans="1:48" ht="15.75" customHeight="1" thickBot="1" x14ac:dyDescent="0.3">
      <c r="D27" s="101"/>
      <c r="E27" s="101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50"/>
      <c r="AE27" s="52"/>
    </row>
    <row r="28" spans="1:48" ht="17.25" x14ac:dyDescent="0.25">
      <c r="A28" s="166" t="s">
        <v>188</v>
      </c>
      <c r="B28" s="167">
        <f>B9+1</f>
        <v>202702</v>
      </c>
      <c r="C28" s="275">
        <f>B28</f>
        <v>202702</v>
      </c>
      <c r="D28" s="94" t="s">
        <v>151</v>
      </c>
      <c r="E28" s="177" t="s">
        <v>252</v>
      </c>
      <c r="F28" s="60"/>
      <c r="G28" s="59"/>
      <c r="H28" s="59"/>
      <c r="I28" s="60"/>
      <c r="J28" s="59"/>
      <c r="K28" s="60"/>
      <c r="L28" s="60"/>
      <c r="M28" s="60"/>
      <c r="N28" s="60"/>
      <c r="O28" s="60"/>
      <c r="P28" s="60"/>
      <c r="Q28" s="60"/>
      <c r="R28" s="60"/>
      <c r="S28" s="44">
        <f t="shared" ref="S28:S44" si="19">SUM(F28:R28)</f>
        <v>0</v>
      </c>
      <c r="T28" s="277">
        <f>SUM(S28:S34)</f>
        <v>0</v>
      </c>
    </row>
    <row r="29" spans="1:48" ht="15" customHeight="1" thickBot="1" x14ac:dyDescent="0.3">
      <c r="A29" s="164" t="s">
        <v>247</v>
      </c>
      <c r="B29" s="162">
        <f>$J$2</f>
        <v>166666.66666666666</v>
      </c>
      <c r="C29" s="275"/>
      <c r="D29" s="95" t="s">
        <v>151</v>
      </c>
      <c r="E29" s="176" t="s">
        <v>251</v>
      </c>
      <c r="F29" s="79"/>
      <c r="G29" s="78"/>
      <c r="H29" s="78"/>
      <c r="I29" s="79"/>
      <c r="J29" s="78"/>
      <c r="K29" s="79"/>
      <c r="L29" s="79"/>
      <c r="M29" s="79"/>
      <c r="N29" s="79"/>
      <c r="O29" s="79"/>
      <c r="P29" s="79"/>
      <c r="Q29" s="79"/>
      <c r="R29" s="79"/>
      <c r="S29" s="80">
        <f t="shared" si="19"/>
        <v>0</v>
      </c>
      <c r="T29" s="278"/>
    </row>
    <row r="30" spans="1:48" ht="15" customHeight="1" thickTop="1" x14ac:dyDescent="0.25">
      <c r="A30" s="165" t="s">
        <v>237</v>
      </c>
      <c r="B30" s="182">
        <f>SUMPRODUCT((($V$10:$V$21)&lt;=VALUE(B28))*($Z$10:$Z$21))</f>
        <v>42270</v>
      </c>
      <c r="C30" s="275"/>
      <c r="D30" s="95" t="s">
        <v>151</v>
      </c>
      <c r="E30" s="176" t="s">
        <v>254</v>
      </c>
      <c r="F30" s="79"/>
      <c r="G30" s="78"/>
      <c r="H30" s="78"/>
      <c r="I30" s="79"/>
      <c r="J30" s="78"/>
      <c r="K30" s="79"/>
      <c r="L30" s="79"/>
      <c r="M30" s="79"/>
      <c r="N30" s="79"/>
      <c r="O30" s="79"/>
      <c r="P30" s="79"/>
      <c r="Q30" s="79"/>
      <c r="R30" s="79"/>
      <c r="S30" s="80">
        <f t="shared" si="19"/>
        <v>0</v>
      </c>
      <c r="T30" s="278"/>
    </row>
    <row r="31" spans="1:48" ht="15" customHeight="1" x14ac:dyDescent="0.25">
      <c r="A31" s="165" t="s">
        <v>264</v>
      </c>
      <c r="B31" s="181">
        <f>B30/SUMPRODUCT(('2027'!$V$10:$V$21&lt;='2027'!B28)*'2022'!$Z$10:$Z$21)</f>
        <v>0.12626428575695842</v>
      </c>
      <c r="C31" s="275"/>
      <c r="D31" s="95" t="s">
        <v>151</v>
      </c>
      <c r="E31" s="176" t="s">
        <v>255</v>
      </c>
      <c r="F31" s="79"/>
      <c r="G31" s="78"/>
      <c r="H31" s="78"/>
      <c r="I31" s="79"/>
      <c r="J31" s="78"/>
      <c r="K31" s="79"/>
      <c r="L31" s="79"/>
      <c r="M31" s="79"/>
      <c r="N31" s="79"/>
      <c r="O31" s="79"/>
      <c r="P31" s="79"/>
      <c r="Q31" s="79"/>
      <c r="R31" s="79"/>
      <c r="S31" s="80">
        <f t="shared" si="19"/>
        <v>0</v>
      </c>
      <c r="T31" s="278"/>
    </row>
    <row r="32" spans="1:48" ht="15" customHeight="1" x14ac:dyDescent="0.25">
      <c r="A32" s="165" t="s">
        <v>236</v>
      </c>
      <c r="B32" s="186">
        <f>B30-$K$2*VALUE(RIGHT(B28,2))/9</f>
        <v>42270</v>
      </c>
      <c r="C32" s="275"/>
      <c r="D32" s="96" t="s">
        <v>151</v>
      </c>
      <c r="E32" s="176" t="s">
        <v>256</v>
      </c>
      <c r="F32" s="79"/>
      <c r="G32" s="78"/>
      <c r="H32" s="78"/>
      <c r="I32" s="78"/>
      <c r="J32" s="78"/>
      <c r="K32" s="79"/>
      <c r="L32" s="79"/>
      <c r="M32" s="79"/>
      <c r="N32" s="79"/>
      <c r="O32" s="79"/>
      <c r="P32" s="79"/>
      <c r="Q32" s="79"/>
      <c r="R32" s="79"/>
      <c r="S32" s="80">
        <f t="shared" si="19"/>
        <v>0</v>
      </c>
      <c r="T32" s="278"/>
    </row>
    <row r="33" spans="1:31" ht="15" customHeight="1" x14ac:dyDescent="0.25">
      <c r="A33" s="164" t="s">
        <v>242</v>
      </c>
      <c r="B33" s="157">
        <f>B32/($J$2*12)</f>
        <v>2.1135000000000001E-2</v>
      </c>
      <c r="C33" s="275"/>
      <c r="D33" s="95" t="s">
        <v>151</v>
      </c>
      <c r="E33" s="176" t="s">
        <v>257</v>
      </c>
      <c r="F33" s="79"/>
      <c r="G33" s="78"/>
      <c r="H33" s="78"/>
      <c r="I33" s="79"/>
      <c r="J33" s="78"/>
      <c r="K33" s="79"/>
      <c r="L33" s="79"/>
      <c r="M33" s="79"/>
      <c r="N33" s="79"/>
      <c r="O33" s="79"/>
      <c r="P33" s="79"/>
      <c r="Q33" s="79"/>
      <c r="R33" s="79"/>
      <c r="S33" s="80">
        <f t="shared" si="19"/>
        <v>0</v>
      </c>
      <c r="T33" s="278"/>
    </row>
    <row r="34" spans="1:31" ht="15" customHeight="1" x14ac:dyDescent="0.25">
      <c r="A34" s="164" t="s">
        <v>241</v>
      </c>
      <c r="B34" s="126">
        <f>VALUE(RIGHT(B28,2))/12</f>
        <v>0.16666666666666666</v>
      </c>
      <c r="C34" s="275"/>
      <c r="D34" s="95" t="s">
        <v>151</v>
      </c>
      <c r="E34" s="176" t="s">
        <v>263</v>
      </c>
      <c r="F34" s="78"/>
      <c r="G34" s="78"/>
      <c r="H34" s="78"/>
      <c r="I34" s="79"/>
      <c r="J34" s="78"/>
      <c r="K34" s="79"/>
      <c r="L34" s="79"/>
      <c r="M34" s="79"/>
      <c r="N34" s="79"/>
      <c r="O34" s="79"/>
      <c r="P34" s="79"/>
      <c r="Q34" s="79"/>
      <c r="R34" s="79"/>
      <c r="S34" s="80">
        <f t="shared" si="19"/>
        <v>0</v>
      </c>
      <c r="T34" s="276"/>
    </row>
    <row r="35" spans="1:31" ht="15" customHeight="1" x14ac:dyDescent="0.25">
      <c r="A35" s="164" t="s">
        <v>243</v>
      </c>
      <c r="B35" s="161">
        <f>B29*VALUE(RIGHT(B28,2))-B32</f>
        <v>291063.33333333331</v>
      </c>
      <c r="C35" s="275"/>
      <c r="D35" s="97" t="s">
        <v>152</v>
      </c>
      <c r="E35" s="97" t="s">
        <v>144</v>
      </c>
      <c r="F35" s="85"/>
      <c r="G35" s="46"/>
      <c r="H35" s="85"/>
      <c r="I35" s="146"/>
      <c r="J35" s="46"/>
      <c r="K35" s="46"/>
      <c r="L35" s="89"/>
      <c r="M35" s="89"/>
      <c r="N35" s="46"/>
      <c r="O35" s="46"/>
      <c r="P35" s="46"/>
      <c r="Q35" s="46"/>
      <c r="R35" s="46"/>
      <c r="S35" s="83">
        <f t="shared" si="19"/>
        <v>0</v>
      </c>
      <c r="T35" s="280">
        <f>SUM(S35:S39)</f>
        <v>0</v>
      </c>
    </row>
    <row r="36" spans="1:31" ht="15" customHeight="1" x14ac:dyDescent="0.25">
      <c r="A36" s="164" t="s">
        <v>265</v>
      </c>
      <c r="B36" s="184">
        <f>$J$2-(S45-F42)</f>
        <v>166666.66666666666</v>
      </c>
      <c r="C36" s="275"/>
      <c r="D36" s="97" t="s">
        <v>152</v>
      </c>
      <c r="E36" s="97" t="s">
        <v>145</v>
      </c>
      <c r="F36" s="46"/>
      <c r="G36" s="46"/>
      <c r="H36" s="85"/>
      <c r="I36" s="85"/>
      <c r="J36" s="46"/>
      <c r="K36" s="46"/>
      <c r="L36" s="46"/>
      <c r="M36" s="89"/>
      <c r="N36" s="46"/>
      <c r="O36" s="46"/>
      <c r="P36" s="46"/>
      <c r="Q36" s="46"/>
      <c r="R36" s="46"/>
      <c r="S36" s="83">
        <f>SUM(G36:R36)</f>
        <v>0</v>
      </c>
      <c r="T36" s="281"/>
    </row>
    <row r="37" spans="1:31" ht="15" customHeight="1" x14ac:dyDescent="0.25">
      <c r="C37" s="275"/>
      <c r="D37" s="97" t="s">
        <v>152</v>
      </c>
      <c r="E37" s="97" t="s">
        <v>146</v>
      </c>
      <c r="F37" s="86"/>
      <c r="G37" s="46"/>
      <c r="H37" s="87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83">
        <f t="shared" si="19"/>
        <v>0</v>
      </c>
      <c r="T37" s="281"/>
    </row>
    <row r="38" spans="1:31" ht="15" customHeight="1" x14ac:dyDescent="0.25">
      <c r="C38" s="275"/>
      <c r="D38" s="97" t="s">
        <v>152</v>
      </c>
      <c r="E38" s="97" t="s">
        <v>147</v>
      </c>
      <c r="F38" s="85"/>
      <c r="G38" s="46"/>
      <c r="H38" s="87"/>
      <c r="I38" s="85"/>
      <c r="J38" s="46"/>
      <c r="K38" s="46"/>
      <c r="L38" s="46"/>
      <c r="M38" s="46"/>
      <c r="N38" s="46"/>
      <c r="O38" s="46"/>
      <c r="P38" s="46"/>
      <c r="Q38" s="46"/>
      <c r="R38" s="46"/>
      <c r="S38" s="83">
        <f t="shared" si="19"/>
        <v>0</v>
      </c>
      <c r="T38" s="281"/>
    </row>
    <row r="39" spans="1:31" ht="15" customHeight="1" x14ac:dyDescent="0.25">
      <c r="C39" s="275"/>
      <c r="D39" s="97" t="s">
        <v>152</v>
      </c>
      <c r="E39" s="97" t="s">
        <v>168</v>
      </c>
      <c r="F39" s="85"/>
      <c r="G39" s="46"/>
      <c r="H39" s="46"/>
      <c r="I39" s="46"/>
      <c r="J39" s="46"/>
      <c r="K39" s="46"/>
      <c r="L39" s="46"/>
      <c r="M39" s="89"/>
      <c r="N39" s="46"/>
      <c r="O39" s="46"/>
      <c r="P39" s="46"/>
      <c r="Q39" s="46"/>
      <c r="R39" s="46"/>
      <c r="S39" s="83">
        <f t="shared" si="19"/>
        <v>0</v>
      </c>
      <c r="T39" s="281"/>
    </row>
    <row r="40" spans="1:31" ht="15" customHeight="1" x14ac:dyDescent="0.25">
      <c r="C40" s="275"/>
      <c r="D40" s="98" t="s">
        <v>153</v>
      </c>
      <c r="E40" s="98" t="s">
        <v>170</v>
      </c>
      <c r="F40" s="81"/>
      <c r="G40" s="81"/>
      <c r="H40" s="81"/>
      <c r="I40" s="81"/>
      <c r="J40" s="82"/>
      <c r="K40" s="81"/>
      <c r="L40" s="81"/>
      <c r="M40" s="81"/>
      <c r="N40" s="81"/>
      <c r="O40" s="81"/>
      <c r="P40" s="81"/>
      <c r="Q40" s="81"/>
      <c r="R40" s="81"/>
      <c r="S40" s="81">
        <f>SUM(F40:R40)</f>
        <v>0</v>
      </c>
      <c r="T40" s="282">
        <f>SUM(S40:S44)</f>
        <v>0</v>
      </c>
      <c r="AE40" s="52"/>
    </row>
    <row r="41" spans="1:31" ht="15" customHeight="1" x14ac:dyDescent="0.25">
      <c r="C41" s="275"/>
      <c r="D41" s="99" t="s">
        <v>153</v>
      </c>
      <c r="E41" s="99" t="s">
        <v>171</v>
      </c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>
        <f t="shared" si="19"/>
        <v>0</v>
      </c>
      <c r="T41" s="283"/>
      <c r="AE41" s="52"/>
    </row>
    <row r="42" spans="1:31" ht="15" customHeight="1" x14ac:dyDescent="0.25">
      <c r="C42" s="275"/>
      <c r="D42" s="99" t="s">
        <v>153</v>
      </c>
      <c r="E42" s="99" t="s">
        <v>172</v>
      </c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>
        <f t="shared" si="19"/>
        <v>0</v>
      </c>
      <c r="T42" s="283"/>
      <c r="AE42" s="52"/>
    </row>
    <row r="43" spans="1:31" s="41" customFormat="1" ht="15" customHeight="1" x14ac:dyDescent="0.25">
      <c r="C43" s="276"/>
      <c r="D43" s="99" t="s">
        <v>153</v>
      </c>
      <c r="E43" s="99" t="s">
        <v>173</v>
      </c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>
        <f t="shared" si="19"/>
        <v>0</v>
      </c>
      <c r="T43" s="283"/>
      <c r="AE43" s="52"/>
    </row>
    <row r="44" spans="1:31" ht="15.75" customHeight="1" thickBot="1" x14ac:dyDescent="0.3">
      <c r="B44" s="74"/>
      <c r="C44" s="276"/>
      <c r="D44" s="100" t="s">
        <v>153</v>
      </c>
      <c r="E44" s="100" t="s">
        <v>168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>
        <f t="shared" si="19"/>
        <v>0</v>
      </c>
      <c r="T44" s="283"/>
      <c r="AE44" s="52"/>
    </row>
    <row r="45" spans="1:31" ht="15" customHeight="1" x14ac:dyDescent="0.25">
      <c r="D45" s="101" t="s">
        <v>120</v>
      </c>
      <c r="E45" s="101" t="s">
        <v>120</v>
      </c>
      <c r="F45" s="64">
        <f t="shared" ref="F45:S45" si="20">SUM(F28:F44)</f>
        <v>0</v>
      </c>
      <c r="G45" s="64">
        <f t="shared" si="20"/>
        <v>0</v>
      </c>
      <c r="H45" s="64">
        <f t="shared" si="20"/>
        <v>0</v>
      </c>
      <c r="I45" s="64">
        <f t="shared" si="20"/>
        <v>0</v>
      </c>
      <c r="J45" s="64">
        <f t="shared" si="20"/>
        <v>0</v>
      </c>
      <c r="K45" s="64">
        <f t="shared" si="20"/>
        <v>0</v>
      </c>
      <c r="L45" s="64">
        <f t="shared" si="20"/>
        <v>0</v>
      </c>
      <c r="M45" s="64">
        <f t="shared" si="20"/>
        <v>0</v>
      </c>
      <c r="N45" s="64">
        <f t="shared" si="20"/>
        <v>0</v>
      </c>
      <c r="O45" s="64">
        <f t="shared" si="20"/>
        <v>0</v>
      </c>
      <c r="P45" s="64">
        <f t="shared" si="20"/>
        <v>0</v>
      </c>
      <c r="Q45" s="64">
        <f t="shared" si="20"/>
        <v>0</v>
      </c>
      <c r="R45" s="64">
        <f t="shared" si="20"/>
        <v>0</v>
      </c>
      <c r="S45" s="54">
        <f t="shared" si="20"/>
        <v>0</v>
      </c>
      <c r="AE45" s="52"/>
    </row>
    <row r="46" spans="1:31" ht="15.75" customHeight="1" thickBot="1" x14ac:dyDescent="0.3">
      <c r="AE46" s="52"/>
    </row>
    <row r="47" spans="1:31" ht="17.25" x14ac:dyDescent="0.25">
      <c r="A47" s="166" t="s">
        <v>188</v>
      </c>
      <c r="B47" s="167">
        <f>B28+1</f>
        <v>202703</v>
      </c>
      <c r="C47" s="275">
        <f>B47</f>
        <v>202703</v>
      </c>
      <c r="D47" s="94" t="s">
        <v>151</v>
      </c>
      <c r="E47" s="177" t="s">
        <v>252</v>
      </c>
      <c r="F47" s="60"/>
      <c r="G47" s="59"/>
      <c r="H47" s="59"/>
      <c r="I47" s="60"/>
      <c r="J47" s="59"/>
      <c r="K47" s="60"/>
      <c r="L47" s="60"/>
      <c r="M47" s="60"/>
      <c r="N47" s="60"/>
      <c r="O47" s="60"/>
      <c r="P47" s="60"/>
      <c r="Q47" s="60">
        <f>2000+2000+2000+2000</f>
        <v>8000</v>
      </c>
      <c r="R47" s="60"/>
      <c r="S47" s="44">
        <f t="shared" ref="S47:S63" si="21">SUM(F47:R47)</f>
        <v>8000</v>
      </c>
      <c r="T47" s="277">
        <f>SUM(S47:S53)</f>
        <v>27665.333333333332</v>
      </c>
      <c r="AE47" s="52"/>
    </row>
    <row r="48" spans="1:31" ht="15" customHeight="1" thickBot="1" x14ac:dyDescent="0.3">
      <c r="A48" s="164" t="s">
        <v>247</v>
      </c>
      <c r="B48" s="162">
        <f>$J$2</f>
        <v>166666.66666666666</v>
      </c>
      <c r="C48" s="275"/>
      <c r="D48" s="95" t="s">
        <v>151</v>
      </c>
      <c r="E48" s="176" t="s">
        <v>251</v>
      </c>
      <c r="F48" s="79"/>
      <c r="G48" s="78"/>
      <c r="H48" s="78"/>
      <c r="I48" s="79"/>
      <c r="J48" s="78"/>
      <c r="K48" s="79"/>
      <c r="L48" s="79"/>
      <c r="M48" s="79"/>
      <c r="N48" s="79"/>
      <c r="O48" s="79"/>
      <c r="P48" s="79"/>
      <c r="Q48" s="79"/>
      <c r="R48" s="79"/>
      <c r="S48" s="80">
        <f t="shared" si="21"/>
        <v>0</v>
      </c>
      <c r="T48" s="277"/>
      <c r="AE48" s="52"/>
    </row>
    <row r="49" spans="1:31" ht="15" customHeight="1" thickTop="1" x14ac:dyDescent="0.25">
      <c r="A49" s="165" t="s">
        <v>237</v>
      </c>
      <c r="B49" s="182">
        <f>SUMPRODUCT((($V$10:$V$21)&lt;=VALUE(B47))*($Z$10:$Z$21))</f>
        <v>73311.333333333328</v>
      </c>
      <c r="C49" s="275"/>
      <c r="D49" s="95" t="s">
        <v>151</v>
      </c>
      <c r="E49" s="176" t="s">
        <v>254</v>
      </c>
      <c r="F49" s="79">
        <v>3326</v>
      </c>
      <c r="G49" s="78"/>
      <c r="H49" s="78"/>
      <c r="I49" s="79"/>
      <c r="J49" s="78"/>
      <c r="K49" s="79"/>
      <c r="L49" s="79"/>
      <c r="M49" s="79"/>
      <c r="N49" s="79"/>
      <c r="O49" s="79"/>
      <c r="P49" s="79"/>
      <c r="Q49" s="79">
        <f>9491-7000</f>
        <v>2491</v>
      </c>
      <c r="R49" s="79"/>
      <c r="S49" s="80">
        <f t="shared" si="21"/>
        <v>5817</v>
      </c>
      <c r="T49" s="277"/>
      <c r="AE49" s="52"/>
    </row>
    <row r="50" spans="1:31" ht="15" customHeight="1" x14ac:dyDescent="0.25">
      <c r="A50" s="165" t="s">
        <v>264</v>
      </c>
      <c r="B50" s="181">
        <f>B49/SUMPRODUCT(('2027'!$V$10:$V$21&lt;='2027'!B47)*'2022'!$Z$10:$Z$21)</f>
        <v>0.15326101423734292</v>
      </c>
      <c r="C50" s="275"/>
      <c r="D50" s="95" t="s">
        <v>151</v>
      </c>
      <c r="E50" s="176" t="s">
        <v>255</v>
      </c>
      <c r="F50" s="79"/>
      <c r="G50" s="78"/>
      <c r="H50" s="78"/>
      <c r="I50" s="79"/>
      <c r="J50" s="78"/>
      <c r="K50" s="79"/>
      <c r="L50" s="79"/>
      <c r="M50" s="79"/>
      <c r="N50" s="79"/>
      <c r="O50" s="79"/>
      <c r="P50" s="79"/>
      <c r="Q50" s="79">
        <v>597</v>
      </c>
      <c r="R50" s="79"/>
      <c r="S50" s="80">
        <f t="shared" si="21"/>
        <v>597</v>
      </c>
      <c r="T50" s="277"/>
      <c r="AE50" s="52"/>
    </row>
    <row r="51" spans="1:31" ht="15" customHeight="1" x14ac:dyDescent="0.25">
      <c r="A51" s="165" t="s">
        <v>236</v>
      </c>
      <c r="B51" s="186">
        <f>B49-$K$2*VALUE(RIGHT(B47,2))/9</f>
        <v>73311.333333333328</v>
      </c>
      <c r="C51" s="275"/>
      <c r="D51" s="96" t="s">
        <v>151</v>
      </c>
      <c r="E51" s="176" t="s">
        <v>256</v>
      </c>
      <c r="F51" s="79">
        <v>6500</v>
      </c>
      <c r="G51" s="78"/>
      <c r="H51" s="78"/>
      <c r="I51" s="78"/>
      <c r="J51" s="78"/>
      <c r="K51" s="79"/>
      <c r="L51" s="79"/>
      <c r="M51" s="79"/>
      <c r="N51" s="79"/>
      <c r="O51" s="79"/>
      <c r="P51" s="79"/>
      <c r="Q51" s="79"/>
      <c r="R51" s="79"/>
      <c r="S51" s="80">
        <f t="shared" si="21"/>
        <v>6500</v>
      </c>
      <c r="T51" s="277"/>
    </row>
    <row r="52" spans="1:31" ht="15" customHeight="1" x14ac:dyDescent="0.25">
      <c r="A52" s="164" t="s">
        <v>242</v>
      </c>
      <c r="B52" s="157">
        <f>B51/($J$2*12)</f>
        <v>3.6655666666666663E-2</v>
      </c>
      <c r="C52" s="275"/>
      <c r="D52" s="95" t="s">
        <v>151</v>
      </c>
      <c r="E52" s="176" t="s">
        <v>257</v>
      </c>
      <c r="F52" s="79"/>
      <c r="G52" s="78"/>
      <c r="H52" s="78"/>
      <c r="I52" s="79"/>
      <c r="J52" s="78"/>
      <c r="K52" s="79"/>
      <c r="L52" s="79"/>
      <c r="M52" s="79"/>
      <c r="N52" s="79"/>
      <c r="O52" s="79"/>
      <c r="P52" s="79"/>
      <c r="Q52" s="79"/>
      <c r="R52" s="79"/>
      <c r="S52" s="80">
        <f t="shared" si="21"/>
        <v>0</v>
      </c>
      <c r="T52" s="277"/>
    </row>
    <row r="53" spans="1:31" ht="15" customHeight="1" x14ac:dyDescent="0.25">
      <c r="A53" s="164" t="s">
        <v>241</v>
      </c>
      <c r="B53" s="126">
        <f>VALUE(RIGHT(B47,2))/12</f>
        <v>0.25</v>
      </c>
      <c r="C53" s="275"/>
      <c r="D53" s="95" t="s">
        <v>151</v>
      </c>
      <c r="E53" s="176" t="s">
        <v>263</v>
      </c>
      <c r="F53" s="78"/>
      <c r="G53" s="78"/>
      <c r="H53" s="78"/>
      <c r="I53" s="79"/>
      <c r="J53" s="78"/>
      <c r="K53" s="79"/>
      <c r="L53" s="79"/>
      <c r="M53" s="79"/>
      <c r="N53" s="79"/>
      <c r="O53" s="79"/>
      <c r="P53" s="79"/>
      <c r="Q53" s="79">
        <f>40508/6</f>
        <v>6751.333333333333</v>
      </c>
      <c r="R53" s="79"/>
      <c r="S53" s="80">
        <f t="shared" si="21"/>
        <v>6751.333333333333</v>
      </c>
      <c r="T53" s="277"/>
    </row>
    <row r="54" spans="1:31" ht="15" customHeight="1" x14ac:dyDescent="0.25">
      <c r="A54" s="164" t="s">
        <v>243</v>
      </c>
      <c r="B54" s="161">
        <f>B48*VALUE(RIGHT(B47,2))-B51</f>
        <v>426688.66666666669</v>
      </c>
      <c r="C54" s="275"/>
      <c r="D54" s="97" t="s">
        <v>152</v>
      </c>
      <c r="E54" s="97" t="s">
        <v>144</v>
      </c>
      <c r="F54" s="85"/>
      <c r="G54" s="46"/>
      <c r="H54" s="85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83">
        <f t="shared" si="21"/>
        <v>0</v>
      </c>
      <c r="T54" s="280">
        <f>SUM(S54:S58)</f>
        <v>0</v>
      </c>
    </row>
    <row r="55" spans="1:31" ht="15" customHeight="1" x14ac:dyDescent="0.25">
      <c r="A55" s="164" t="s">
        <v>265</v>
      </c>
      <c r="B55" s="184">
        <f>$J$2-(S64-F61)</f>
        <v>135625.33333333331</v>
      </c>
      <c r="C55" s="275"/>
      <c r="D55" s="97" t="s">
        <v>152</v>
      </c>
      <c r="E55" s="97" t="s">
        <v>145</v>
      </c>
      <c r="F55" s="85"/>
      <c r="G55" s="46"/>
      <c r="H55" s="85"/>
      <c r="I55" s="46"/>
      <c r="J55" s="89"/>
      <c r="K55" s="46"/>
      <c r="L55" s="46"/>
      <c r="M55" s="86"/>
      <c r="N55" s="46"/>
      <c r="O55" s="46"/>
      <c r="P55" s="46"/>
      <c r="Q55" s="46"/>
      <c r="R55" s="46"/>
      <c r="S55" s="83">
        <f t="shared" si="21"/>
        <v>0</v>
      </c>
      <c r="T55" s="281"/>
    </row>
    <row r="56" spans="1:31" ht="15" customHeight="1" x14ac:dyDescent="0.25">
      <c r="C56" s="275"/>
      <c r="D56" s="97" t="s">
        <v>152</v>
      </c>
      <c r="E56" s="97" t="s">
        <v>146</v>
      </c>
      <c r="F56" s="86"/>
      <c r="G56" s="46"/>
      <c r="H56" s="86"/>
      <c r="I56" s="46"/>
      <c r="J56" s="46"/>
      <c r="K56" s="46"/>
      <c r="L56" s="46"/>
      <c r="M56" s="89"/>
      <c r="N56" s="46"/>
      <c r="O56" s="89"/>
      <c r="P56" s="46"/>
      <c r="Q56" s="46"/>
      <c r="R56" s="46"/>
      <c r="S56" s="83">
        <f t="shared" si="21"/>
        <v>0</v>
      </c>
      <c r="T56" s="281"/>
    </row>
    <row r="57" spans="1:31" ht="15" customHeight="1" x14ac:dyDescent="0.25">
      <c r="C57" s="275"/>
      <c r="D57" s="97" t="s">
        <v>152</v>
      </c>
      <c r="E57" s="97" t="s">
        <v>147</v>
      </c>
      <c r="F57" s="86"/>
      <c r="G57" s="46"/>
      <c r="H57" s="87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83">
        <f t="shared" si="21"/>
        <v>0</v>
      </c>
      <c r="T57" s="281"/>
    </row>
    <row r="58" spans="1:31" ht="15" customHeight="1" x14ac:dyDescent="0.25">
      <c r="C58" s="275"/>
      <c r="D58" s="97" t="s">
        <v>152</v>
      </c>
      <c r="E58" s="97" t="s">
        <v>168</v>
      </c>
      <c r="F58" s="85"/>
      <c r="G58" s="46"/>
      <c r="H58" s="89"/>
      <c r="I58" s="46"/>
      <c r="J58" s="46"/>
      <c r="K58" s="46"/>
      <c r="L58" s="46"/>
      <c r="M58" s="89"/>
      <c r="N58" s="46"/>
      <c r="O58" s="46"/>
      <c r="P58" s="46"/>
      <c r="Q58" s="46"/>
      <c r="R58" s="46"/>
      <c r="S58" s="83">
        <f t="shared" si="21"/>
        <v>0</v>
      </c>
      <c r="T58" s="281"/>
    </row>
    <row r="59" spans="1:31" ht="15" customHeight="1" x14ac:dyDescent="0.25">
      <c r="C59" s="275"/>
      <c r="D59" s="98" t="s">
        <v>153</v>
      </c>
      <c r="E59" s="98" t="s">
        <v>170</v>
      </c>
      <c r="F59" s="81"/>
      <c r="G59" s="81"/>
      <c r="H59" s="81"/>
      <c r="I59" s="82"/>
      <c r="J59" s="81"/>
      <c r="K59" s="81"/>
      <c r="L59" s="81"/>
      <c r="M59" s="81"/>
      <c r="N59" s="81"/>
      <c r="O59" s="81"/>
      <c r="P59" s="81"/>
      <c r="Q59" s="81"/>
      <c r="R59" s="81"/>
      <c r="S59" s="81">
        <f>SUM(F59:R59)</f>
        <v>0</v>
      </c>
      <c r="T59" s="282">
        <f>SUM(S59:S63)</f>
        <v>3376</v>
      </c>
    </row>
    <row r="60" spans="1:31" ht="15" customHeight="1" x14ac:dyDescent="0.25">
      <c r="C60" s="275"/>
      <c r="D60" s="99" t="s">
        <v>153</v>
      </c>
      <c r="E60" s="99" t="s">
        <v>171</v>
      </c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>
        <f t="shared" si="21"/>
        <v>0</v>
      </c>
      <c r="T60" s="283"/>
    </row>
    <row r="61" spans="1:31" ht="15" customHeight="1" x14ac:dyDescent="0.25">
      <c r="C61" s="275"/>
      <c r="D61" s="99" t="s">
        <v>153</v>
      </c>
      <c r="E61" s="99" t="s">
        <v>172</v>
      </c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>
        <f t="shared" si="21"/>
        <v>0</v>
      </c>
      <c r="T61" s="283"/>
    </row>
    <row r="62" spans="1:31" s="41" customFormat="1" ht="15" customHeight="1" x14ac:dyDescent="0.25">
      <c r="A62" s="45"/>
      <c r="B62" s="45"/>
      <c r="C62" s="275"/>
      <c r="D62" s="99" t="s">
        <v>153</v>
      </c>
      <c r="E62" s="99" t="s">
        <v>173</v>
      </c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>
        <v>3376</v>
      </c>
      <c r="R62" s="82"/>
      <c r="S62" s="82">
        <f t="shared" si="21"/>
        <v>3376</v>
      </c>
      <c r="T62" s="283"/>
    </row>
    <row r="63" spans="1:31" ht="15.75" customHeight="1" thickBot="1" x14ac:dyDescent="0.3">
      <c r="A63" s="41"/>
      <c r="B63" s="41"/>
      <c r="C63" s="275"/>
      <c r="D63" s="100" t="s">
        <v>153</v>
      </c>
      <c r="E63" s="100" t="s">
        <v>168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>
        <f t="shared" si="21"/>
        <v>0</v>
      </c>
      <c r="T63" s="283"/>
    </row>
    <row r="64" spans="1:31" ht="15" customHeight="1" x14ac:dyDescent="0.25">
      <c r="D64" s="101" t="s">
        <v>120</v>
      </c>
      <c r="E64" s="101" t="s">
        <v>120</v>
      </c>
      <c r="F64" s="64">
        <f t="shared" ref="F64:S64" si="22">SUM(F47:F63)</f>
        <v>9826</v>
      </c>
      <c r="G64" s="64">
        <f t="shared" si="22"/>
        <v>0</v>
      </c>
      <c r="H64" s="64">
        <f t="shared" si="22"/>
        <v>0</v>
      </c>
      <c r="I64" s="64">
        <f t="shared" si="22"/>
        <v>0</v>
      </c>
      <c r="J64" s="64">
        <f t="shared" si="22"/>
        <v>0</v>
      </c>
      <c r="K64" s="64">
        <f t="shared" si="22"/>
        <v>0</v>
      </c>
      <c r="L64" s="64">
        <f t="shared" si="22"/>
        <v>0</v>
      </c>
      <c r="M64" s="64">
        <f t="shared" si="22"/>
        <v>0</v>
      </c>
      <c r="N64" s="64">
        <f t="shared" si="22"/>
        <v>0</v>
      </c>
      <c r="O64" s="64">
        <f t="shared" si="22"/>
        <v>0</v>
      </c>
      <c r="P64" s="64">
        <f t="shared" si="22"/>
        <v>0</v>
      </c>
      <c r="Q64" s="64">
        <f t="shared" si="22"/>
        <v>21215.333333333332</v>
      </c>
      <c r="R64" s="64">
        <f t="shared" si="22"/>
        <v>0</v>
      </c>
      <c r="S64" s="54">
        <f t="shared" si="22"/>
        <v>31041.333333333332</v>
      </c>
    </row>
    <row r="65" spans="1:20" ht="15.75" customHeight="1" thickBot="1" x14ac:dyDescent="0.3">
      <c r="D65" s="101"/>
      <c r="E65" s="101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</row>
    <row r="66" spans="1:20" ht="17.25" x14ac:dyDescent="0.25">
      <c r="A66" s="166" t="s">
        <v>188</v>
      </c>
      <c r="B66" s="167">
        <f>B47+1</f>
        <v>202704</v>
      </c>
      <c r="C66" s="275">
        <f>B66</f>
        <v>202704</v>
      </c>
      <c r="D66" s="94" t="s">
        <v>151</v>
      </c>
      <c r="E66" s="177" t="s">
        <v>252</v>
      </c>
      <c r="F66" s="60"/>
      <c r="G66" s="59"/>
      <c r="H66" s="59"/>
      <c r="I66" s="60"/>
      <c r="J66" s="59"/>
      <c r="K66" s="60"/>
      <c r="L66" s="60"/>
      <c r="M66" s="60"/>
      <c r="N66" s="60"/>
      <c r="O66" s="60"/>
      <c r="P66" s="60"/>
      <c r="Q66" s="60">
        <f>2000+2000+2000+2000</f>
        <v>8000</v>
      </c>
      <c r="R66" s="60"/>
      <c r="S66" s="44">
        <f t="shared" ref="S66:S82" si="23">SUM(F66:R66)</f>
        <v>8000</v>
      </c>
      <c r="T66" s="277">
        <f>SUM(S66:S72)</f>
        <v>27665.333333333332</v>
      </c>
    </row>
    <row r="67" spans="1:20" ht="15" customHeight="1" thickBot="1" x14ac:dyDescent="0.3">
      <c r="A67" s="164" t="s">
        <v>247</v>
      </c>
      <c r="B67" s="162">
        <f>$J$2</f>
        <v>166666.66666666666</v>
      </c>
      <c r="C67" s="275"/>
      <c r="D67" s="95" t="s">
        <v>151</v>
      </c>
      <c r="E67" s="176" t="s">
        <v>251</v>
      </c>
      <c r="F67" s="79"/>
      <c r="G67" s="78"/>
      <c r="H67" s="78"/>
      <c r="I67" s="79"/>
      <c r="J67" s="78"/>
      <c r="K67" s="79"/>
      <c r="L67" s="79"/>
      <c r="M67" s="79"/>
      <c r="N67" s="79"/>
      <c r="O67" s="79"/>
      <c r="P67" s="79"/>
      <c r="Q67" s="79"/>
      <c r="R67" s="79"/>
      <c r="S67" s="80">
        <f t="shared" si="23"/>
        <v>0</v>
      </c>
      <c r="T67" s="278"/>
    </row>
    <row r="68" spans="1:20" ht="15" customHeight="1" thickTop="1" x14ac:dyDescent="0.25">
      <c r="A68" s="165" t="s">
        <v>237</v>
      </c>
      <c r="B68" s="182">
        <f>SUMPRODUCT((($V$10:$V$21)&lt;=VALUE(B66))*($Z$10:$Z$21))</f>
        <v>104352.66666666666</v>
      </c>
      <c r="C68" s="275"/>
      <c r="D68" s="95" t="s">
        <v>151</v>
      </c>
      <c r="E68" s="176" t="s">
        <v>254</v>
      </c>
      <c r="F68" s="79">
        <v>3326</v>
      </c>
      <c r="G68" s="78"/>
      <c r="H68" s="78"/>
      <c r="I68" s="79"/>
      <c r="J68" s="78"/>
      <c r="K68" s="79"/>
      <c r="L68" s="79"/>
      <c r="M68" s="79"/>
      <c r="N68" s="79"/>
      <c r="O68" s="79"/>
      <c r="P68" s="79"/>
      <c r="Q68" s="79">
        <f>9491-7000</f>
        <v>2491</v>
      </c>
      <c r="R68" s="79"/>
      <c r="S68" s="80">
        <f t="shared" si="23"/>
        <v>5817</v>
      </c>
      <c r="T68" s="278"/>
    </row>
    <row r="69" spans="1:20" ht="15" customHeight="1" x14ac:dyDescent="0.25">
      <c r="A69" s="165" t="s">
        <v>264</v>
      </c>
      <c r="B69" s="181">
        <f>B68/SUMPRODUCT(('2027'!$V$10:$V$21&lt;='2027'!B66)*'2022'!$Z$10:$Z$21)</f>
        <v>0.17145417134244553</v>
      </c>
      <c r="C69" s="275"/>
      <c r="D69" s="95" t="s">
        <v>151</v>
      </c>
      <c r="E69" s="176" t="s">
        <v>255</v>
      </c>
      <c r="F69" s="79"/>
      <c r="G69" s="78"/>
      <c r="H69" s="78"/>
      <c r="I69" s="79"/>
      <c r="J69" s="78"/>
      <c r="K69" s="79"/>
      <c r="L69" s="79"/>
      <c r="M69" s="79"/>
      <c r="N69" s="79"/>
      <c r="O69" s="79"/>
      <c r="P69" s="79"/>
      <c r="Q69" s="79">
        <v>597</v>
      </c>
      <c r="R69" s="79"/>
      <c r="S69" s="80">
        <f t="shared" si="23"/>
        <v>597</v>
      </c>
      <c r="T69" s="278"/>
    </row>
    <row r="70" spans="1:20" ht="15" customHeight="1" x14ac:dyDescent="0.25">
      <c r="A70" s="165" t="s">
        <v>236</v>
      </c>
      <c r="B70" s="186">
        <f>B68-$K$2*VALUE(RIGHT(B66,2))/9</f>
        <v>104352.66666666666</v>
      </c>
      <c r="C70" s="275"/>
      <c r="D70" s="96" t="s">
        <v>151</v>
      </c>
      <c r="E70" s="176" t="s">
        <v>256</v>
      </c>
      <c r="F70" s="79">
        <v>6500</v>
      </c>
      <c r="G70" s="78"/>
      <c r="H70" s="78"/>
      <c r="I70" s="78"/>
      <c r="J70" s="78"/>
      <c r="K70" s="79"/>
      <c r="L70" s="79"/>
      <c r="M70" s="79"/>
      <c r="N70" s="79"/>
      <c r="O70" s="79"/>
      <c r="P70" s="79"/>
      <c r="Q70" s="79"/>
      <c r="R70" s="79"/>
      <c r="S70" s="80">
        <f t="shared" si="23"/>
        <v>6500</v>
      </c>
      <c r="T70" s="278"/>
    </row>
    <row r="71" spans="1:20" ht="15" customHeight="1" x14ac:dyDescent="0.25">
      <c r="A71" s="164" t="s">
        <v>242</v>
      </c>
      <c r="B71" s="157">
        <f>B70/($J$2*12)</f>
        <v>5.2176333333333332E-2</v>
      </c>
      <c r="C71" s="275"/>
      <c r="D71" s="95" t="s">
        <v>151</v>
      </c>
      <c r="E71" s="176" t="s">
        <v>257</v>
      </c>
      <c r="F71" s="79"/>
      <c r="G71" s="78"/>
      <c r="H71" s="78"/>
      <c r="I71" s="79"/>
      <c r="J71" s="78"/>
      <c r="K71" s="79"/>
      <c r="L71" s="79"/>
      <c r="M71" s="79"/>
      <c r="N71" s="79"/>
      <c r="O71" s="79"/>
      <c r="P71" s="79"/>
      <c r="Q71" s="79"/>
      <c r="R71" s="79"/>
      <c r="S71" s="80">
        <f t="shared" si="23"/>
        <v>0</v>
      </c>
      <c r="T71" s="278"/>
    </row>
    <row r="72" spans="1:20" ht="15" customHeight="1" x14ac:dyDescent="0.25">
      <c r="A72" s="164" t="s">
        <v>241</v>
      </c>
      <c r="B72" s="126">
        <f>VALUE(RIGHT(B66,2))/12</f>
        <v>0.33333333333333331</v>
      </c>
      <c r="C72" s="275"/>
      <c r="D72" s="95" t="s">
        <v>151</v>
      </c>
      <c r="E72" s="176" t="s">
        <v>263</v>
      </c>
      <c r="F72" s="78"/>
      <c r="G72" s="78"/>
      <c r="H72" s="78"/>
      <c r="I72" s="79"/>
      <c r="J72" s="78"/>
      <c r="K72" s="79"/>
      <c r="L72" s="79"/>
      <c r="M72" s="79"/>
      <c r="N72" s="79"/>
      <c r="O72" s="78"/>
      <c r="P72" s="79"/>
      <c r="Q72" s="79">
        <f>40508/6</f>
        <v>6751.333333333333</v>
      </c>
      <c r="R72" s="79"/>
      <c r="S72" s="80">
        <f t="shared" si="23"/>
        <v>6751.333333333333</v>
      </c>
      <c r="T72" s="279"/>
    </row>
    <row r="73" spans="1:20" ht="15" customHeight="1" x14ac:dyDescent="0.25">
      <c r="A73" s="164" t="s">
        <v>243</v>
      </c>
      <c r="B73" s="161">
        <f>B67*VALUE(RIGHT(B66,2))-B70</f>
        <v>562314</v>
      </c>
      <c r="C73" s="275"/>
      <c r="D73" s="97" t="s">
        <v>152</v>
      </c>
      <c r="E73" s="97" t="s">
        <v>144</v>
      </c>
      <c r="F73" s="85"/>
      <c r="G73" s="46"/>
      <c r="H73" s="85"/>
      <c r="I73" s="46"/>
      <c r="J73" s="46"/>
      <c r="K73" s="46"/>
      <c r="L73" s="46"/>
      <c r="M73" s="46"/>
      <c r="N73" s="46"/>
      <c r="O73" s="89"/>
      <c r="P73" s="46"/>
      <c r="Q73" s="46"/>
      <c r="R73" s="46"/>
      <c r="S73" s="83">
        <f t="shared" si="23"/>
        <v>0</v>
      </c>
      <c r="T73" s="280">
        <f>SUM(S73:S77)</f>
        <v>0</v>
      </c>
    </row>
    <row r="74" spans="1:20" ht="15" customHeight="1" x14ac:dyDescent="0.25">
      <c r="A74" s="164" t="s">
        <v>265</v>
      </c>
      <c r="B74" s="184">
        <f>$J$2-(S83-F80)</f>
        <v>135625.33333333331</v>
      </c>
      <c r="C74" s="275"/>
      <c r="D74" s="97" t="s">
        <v>152</v>
      </c>
      <c r="E74" s="97" t="s">
        <v>145</v>
      </c>
      <c r="F74" s="85"/>
      <c r="G74" s="46"/>
      <c r="H74" s="85"/>
      <c r="I74" s="46"/>
      <c r="J74" s="46"/>
      <c r="K74" s="46"/>
      <c r="L74" s="46"/>
      <c r="M74" s="46"/>
      <c r="N74" s="46"/>
      <c r="O74" s="89"/>
      <c r="P74" s="46"/>
      <c r="Q74" s="46"/>
      <c r="R74" s="46"/>
      <c r="S74" s="83">
        <f t="shared" si="23"/>
        <v>0</v>
      </c>
      <c r="T74" s="281"/>
    </row>
    <row r="75" spans="1:20" ht="15" customHeight="1" x14ac:dyDescent="0.25">
      <c r="C75" s="275"/>
      <c r="D75" s="97" t="s">
        <v>152</v>
      </c>
      <c r="E75" s="97" t="s">
        <v>146</v>
      </c>
      <c r="F75" s="86"/>
      <c r="G75" s="46"/>
      <c r="H75" s="87"/>
      <c r="I75" s="46"/>
      <c r="J75" s="46"/>
      <c r="K75" s="46"/>
      <c r="L75" s="46"/>
      <c r="M75" s="89"/>
      <c r="N75" s="46"/>
      <c r="O75" s="185"/>
      <c r="P75" s="46"/>
      <c r="Q75" s="46"/>
      <c r="R75" s="46"/>
      <c r="S75" s="83">
        <f t="shared" si="23"/>
        <v>0</v>
      </c>
      <c r="T75" s="281"/>
    </row>
    <row r="76" spans="1:20" ht="15" customHeight="1" x14ac:dyDescent="0.25">
      <c r="C76" s="275"/>
      <c r="D76" s="97" t="s">
        <v>152</v>
      </c>
      <c r="E76" s="97" t="s">
        <v>147</v>
      </c>
      <c r="F76" s="85"/>
      <c r="G76" s="46"/>
      <c r="H76" s="87"/>
      <c r="I76" s="46"/>
      <c r="J76" s="46"/>
      <c r="K76" s="46"/>
      <c r="L76" s="46"/>
      <c r="M76" s="46"/>
      <c r="N76" s="46"/>
      <c r="O76" s="89"/>
      <c r="P76" s="46"/>
      <c r="Q76" s="46"/>
      <c r="R76" s="46"/>
      <c r="S76" s="83">
        <f t="shared" si="23"/>
        <v>0</v>
      </c>
      <c r="T76" s="281"/>
    </row>
    <row r="77" spans="1:20" ht="15" customHeight="1" x14ac:dyDescent="0.25">
      <c r="C77" s="275"/>
      <c r="D77" s="97" t="s">
        <v>152</v>
      </c>
      <c r="E77" s="97" t="s">
        <v>168</v>
      </c>
      <c r="F77" s="85"/>
      <c r="G77" s="46"/>
      <c r="H77" s="46"/>
      <c r="I77" s="46"/>
      <c r="J77" s="46"/>
      <c r="K77" s="46"/>
      <c r="L77" s="46"/>
      <c r="M77" s="46"/>
      <c r="N77" s="46"/>
      <c r="O77" s="183"/>
      <c r="P77" s="46"/>
      <c r="Q77" s="46"/>
      <c r="R77" s="46"/>
      <c r="S77" s="83">
        <f t="shared" si="23"/>
        <v>0</v>
      </c>
      <c r="T77" s="281"/>
    </row>
    <row r="78" spans="1:20" ht="15" customHeight="1" x14ac:dyDescent="0.25">
      <c r="C78" s="275"/>
      <c r="D78" s="98" t="s">
        <v>153</v>
      </c>
      <c r="E78" s="98" t="s">
        <v>170</v>
      </c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>
        <f t="shared" si="23"/>
        <v>0</v>
      </c>
      <c r="T78" s="282">
        <f>SUM(S78:S82)</f>
        <v>3376</v>
      </c>
    </row>
    <row r="79" spans="1:20" ht="15" customHeight="1" x14ac:dyDescent="0.25">
      <c r="C79" s="275"/>
      <c r="D79" s="99" t="s">
        <v>153</v>
      </c>
      <c r="E79" s="99" t="s">
        <v>171</v>
      </c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>
        <f t="shared" si="23"/>
        <v>0</v>
      </c>
      <c r="T79" s="283"/>
    </row>
    <row r="80" spans="1:20" ht="15" customHeight="1" x14ac:dyDescent="0.25">
      <c r="C80" s="275"/>
      <c r="D80" s="99" t="s">
        <v>153</v>
      </c>
      <c r="E80" s="99" t="s">
        <v>172</v>
      </c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>
        <f t="shared" si="23"/>
        <v>0</v>
      </c>
      <c r="T80" s="283"/>
    </row>
    <row r="81" spans="1:20" s="41" customFormat="1" ht="15" customHeight="1" x14ac:dyDescent="0.25">
      <c r="A81" s="45"/>
      <c r="B81" s="45"/>
      <c r="C81" s="276"/>
      <c r="D81" s="99" t="s">
        <v>153</v>
      </c>
      <c r="E81" s="99" t="s">
        <v>173</v>
      </c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>
        <v>3376</v>
      </c>
      <c r="R81" s="82"/>
      <c r="S81" s="82">
        <f t="shared" si="23"/>
        <v>3376</v>
      </c>
      <c r="T81" s="283"/>
    </row>
    <row r="82" spans="1:20" ht="15.75" customHeight="1" thickBot="1" x14ac:dyDescent="0.3">
      <c r="A82" s="41"/>
      <c r="B82" s="41"/>
      <c r="C82" s="276"/>
      <c r="D82" s="100" t="s">
        <v>153</v>
      </c>
      <c r="E82" s="100" t="s">
        <v>168</v>
      </c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>
        <f t="shared" si="23"/>
        <v>0</v>
      </c>
      <c r="T82" s="283"/>
    </row>
    <row r="83" spans="1:20" ht="15" customHeight="1" x14ac:dyDescent="0.25">
      <c r="D83" s="101" t="s">
        <v>120</v>
      </c>
      <c r="E83" s="101" t="s">
        <v>120</v>
      </c>
      <c r="F83" s="64">
        <f t="shared" ref="F83:S83" si="24">SUM(F66:F82)</f>
        <v>9826</v>
      </c>
      <c r="G83" s="64">
        <f t="shared" si="24"/>
        <v>0</v>
      </c>
      <c r="H83" s="64">
        <f t="shared" si="24"/>
        <v>0</v>
      </c>
      <c r="I83" s="64">
        <f t="shared" si="24"/>
        <v>0</v>
      </c>
      <c r="J83" s="64">
        <f t="shared" si="24"/>
        <v>0</v>
      </c>
      <c r="K83" s="64">
        <f t="shared" si="24"/>
        <v>0</v>
      </c>
      <c r="L83" s="64">
        <f t="shared" si="24"/>
        <v>0</v>
      </c>
      <c r="M83" s="64">
        <f t="shared" si="24"/>
        <v>0</v>
      </c>
      <c r="N83" s="64">
        <f t="shared" si="24"/>
        <v>0</v>
      </c>
      <c r="O83" s="64">
        <f t="shared" si="24"/>
        <v>0</v>
      </c>
      <c r="P83" s="64">
        <f t="shared" si="24"/>
        <v>0</v>
      </c>
      <c r="Q83" s="64">
        <f t="shared" si="24"/>
        <v>21215.333333333332</v>
      </c>
      <c r="R83" s="64">
        <f t="shared" si="24"/>
        <v>0</v>
      </c>
      <c r="S83" s="54">
        <f t="shared" si="24"/>
        <v>31041.333333333332</v>
      </c>
    </row>
    <row r="84" spans="1:20" ht="15.75" customHeight="1" thickBot="1" x14ac:dyDescent="0.3"/>
    <row r="85" spans="1:20" ht="17.25" x14ac:dyDescent="0.25">
      <c r="A85" s="166" t="s">
        <v>188</v>
      </c>
      <c r="B85" s="167">
        <f>B66+1</f>
        <v>202705</v>
      </c>
      <c r="C85" s="275">
        <f>B85</f>
        <v>202705</v>
      </c>
      <c r="D85" s="94" t="s">
        <v>151</v>
      </c>
      <c r="E85" s="177" t="s">
        <v>252</v>
      </c>
      <c r="F85" s="60"/>
      <c r="G85" s="59"/>
      <c r="H85" s="59"/>
      <c r="I85" s="60"/>
      <c r="J85" s="59"/>
      <c r="K85" s="60"/>
      <c r="L85" s="60"/>
      <c r="M85" s="60"/>
      <c r="N85" s="60"/>
      <c r="O85" s="60"/>
      <c r="P85" s="60"/>
      <c r="Q85" s="60">
        <f>2000+2000+2000+2000</f>
        <v>8000</v>
      </c>
      <c r="R85" s="60"/>
      <c r="S85" s="44">
        <f t="shared" ref="S85:S101" si="25">SUM(F85:R85)</f>
        <v>8000</v>
      </c>
      <c r="T85" s="277">
        <f>SUM(S85:S91)</f>
        <v>27665.333333333332</v>
      </c>
    </row>
    <row r="86" spans="1:20" ht="18" thickBot="1" x14ac:dyDescent="0.3">
      <c r="A86" s="164" t="s">
        <v>247</v>
      </c>
      <c r="B86" s="162">
        <f>$J$2</f>
        <v>166666.66666666666</v>
      </c>
      <c r="C86" s="275"/>
      <c r="D86" s="95" t="s">
        <v>151</v>
      </c>
      <c r="E86" s="176" t="s">
        <v>251</v>
      </c>
      <c r="F86" s="79"/>
      <c r="G86" s="78"/>
      <c r="H86" s="78"/>
      <c r="I86" s="79"/>
      <c r="J86" s="78"/>
      <c r="K86" s="79"/>
      <c r="L86" s="79"/>
      <c r="M86" s="79"/>
      <c r="N86" s="79"/>
      <c r="O86" s="79"/>
      <c r="P86" s="79"/>
      <c r="Q86" s="79"/>
      <c r="R86" s="79"/>
      <c r="S86" s="80">
        <f t="shared" si="25"/>
        <v>0</v>
      </c>
      <c r="T86" s="278"/>
    </row>
    <row r="87" spans="1:20" ht="15" customHeight="1" thickTop="1" x14ac:dyDescent="0.25">
      <c r="A87" s="165" t="s">
        <v>237</v>
      </c>
      <c r="B87" s="182">
        <f>SUMPRODUCT((($V$10:$V$21)&lt;=VALUE(B85))*($Z$10:$Z$21))</f>
        <v>154143.5</v>
      </c>
      <c r="C87" s="275"/>
      <c r="D87" s="95" t="s">
        <v>151</v>
      </c>
      <c r="E87" s="176" t="s">
        <v>254</v>
      </c>
      <c r="F87" s="79">
        <v>3326</v>
      </c>
      <c r="G87" s="78"/>
      <c r="H87" s="78"/>
      <c r="I87" s="79"/>
      <c r="J87" s="78"/>
      <c r="K87" s="79"/>
      <c r="L87" s="79"/>
      <c r="M87" s="79"/>
      <c r="N87" s="79"/>
      <c r="O87" s="79"/>
      <c r="P87" s="79"/>
      <c r="Q87" s="79">
        <f>9491-7000</f>
        <v>2491</v>
      </c>
      <c r="R87" s="79"/>
      <c r="S87" s="80">
        <f t="shared" si="25"/>
        <v>5817</v>
      </c>
      <c r="T87" s="278"/>
    </row>
    <row r="88" spans="1:20" ht="15" customHeight="1" x14ac:dyDescent="0.25">
      <c r="A88" s="165" t="s">
        <v>264</v>
      </c>
      <c r="B88" s="181">
        <f>B87/SUMPRODUCT(('2027'!$V$10:$V$21&lt;='2027'!B85)*'2022'!$Z$10:$Z$21)</f>
        <v>0.20443380786788365</v>
      </c>
      <c r="C88" s="275"/>
      <c r="D88" s="95" t="s">
        <v>151</v>
      </c>
      <c r="E88" s="176" t="s">
        <v>255</v>
      </c>
      <c r="F88" s="79"/>
      <c r="G88" s="78"/>
      <c r="H88" s="78"/>
      <c r="I88" s="79"/>
      <c r="J88" s="78"/>
      <c r="K88" s="79"/>
      <c r="L88" s="79"/>
      <c r="M88" s="79"/>
      <c r="N88" s="79"/>
      <c r="O88" s="79"/>
      <c r="P88" s="79"/>
      <c r="Q88" s="79">
        <v>597</v>
      </c>
      <c r="R88" s="79"/>
      <c r="S88" s="80">
        <f t="shared" si="25"/>
        <v>597</v>
      </c>
      <c r="T88" s="278"/>
    </row>
    <row r="89" spans="1:20" ht="15" customHeight="1" x14ac:dyDescent="0.25">
      <c r="A89" s="165" t="s">
        <v>236</v>
      </c>
      <c r="B89" s="186">
        <f>B87-$K$2*VALUE(RIGHT(B85,2))/9</f>
        <v>154143.5</v>
      </c>
      <c r="C89" s="275"/>
      <c r="D89" s="96" t="s">
        <v>151</v>
      </c>
      <c r="E89" s="176" t="s">
        <v>256</v>
      </c>
      <c r="F89" s="79">
        <v>6500</v>
      </c>
      <c r="G89" s="78"/>
      <c r="H89" s="78"/>
      <c r="I89" s="78"/>
      <c r="J89" s="78"/>
      <c r="K89" s="79"/>
      <c r="L89" s="79"/>
      <c r="M89" s="79"/>
      <c r="N89" s="79"/>
      <c r="O89" s="79"/>
      <c r="P89" s="79"/>
      <c r="Q89" s="79"/>
      <c r="R89" s="79"/>
      <c r="S89" s="80">
        <f t="shared" si="25"/>
        <v>6500</v>
      </c>
      <c r="T89" s="278"/>
    </row>
    <row r="90" spans="1:20" ht="15" customHeight="1" x14ac:dyDescent="0.25">
      <c r="A90" s="164" t="s">
        <v>242</v>
      </c>
      <c r="B90" s="157">
        <f>B89/($J$2*12)</f>
        <v>7.7071749999999994E-2</v>
      </c>
      <c r="C90" s="275"/>
      <c r="D90" s="95" t="s">
        <v>151</v>
      </c>
      <c r="E90" s="176" t="s">
        <v>257</v>
      </c>
      <c r="F90" s="78"/>
      <c r="G90" s="78"/>
      <c r="H90" s="78"/>
      <c r="I90" s="79"/>
      <c r="J90" s="78"/>
      <c r="K90" s="79"/>
      <c r="L90" s="79"/>
      <c r="M90" s="79"/>
      <c r="N90" s="79"/>
      <c r="O90" s="79"/>
      <c r="P90" s="79"/>
      <c r="Q90" s="79"/>
      <c r="R90" s="79"/>
      <c r="S90" s="80">
        <f t="shared" si="25"/>
        <v>0</v>
      </c>
      <c r="T90" s="278"/>
    </row>
    <row r="91" spans="1:20" ht="15" customHeight="1" x14ac:dyDescent="0.25">
      <c r="A91" s="164" t="s">
        <v>241</v>
      </c>
      <c r="B91" s="126">
        <f>VALUE(RIGHT(B85,2))/12</f>
        <v>0.41666666666666669</v>
      </c>
      <c r="C91" s="275"/>
      <c r="D91" s="95" t="s">
        <v>151</v>
      </c>
      <c r="E91" s="176" t="s">
        <v>263</v>
      </c>
      <c r="F91" s="78"/>
      <c r="G91" s="78"/>
      <c r="H91" s="78"/>
      <c r="I91" s="79"/>
      <c r="J91" s="78"/>
      <c r="K91" s="79"/>
      <c r="L91" s="79"/>
      <c r="M91" s="79"/>
      <c r="N91" s="79"/>
      <c r="O91" s="79"/>
      <c r="P91" s="79"/>
      <c r="Q91" s="79">
        <f>40508/6</f>
        <v>6751.333333333333</v>
      </c>
      <c r="R91" s="79"/>
      <c r="S91" s="80">
        <f t="shared" si="25"/>
        <v>6751.333333333333</v>
      </c>
      <c r="T91" s="279"/>
    </row>
    <row r="92" spans="1:20" ht="15" customHeight="1" x14ac:dyDescent="0.25">
      <c r="A92" s="164" t="s">
        <v>243</v>
      </c>
      <c r="B92" s="161">
        <f>B86*VALUE(RIGHT(B85,2))-B89</f>
        <v>679189.83333333326</v>
      </c>
      <c r="C92" s="275"/>
      <c r="D92" s="97" t="s">
        <v>152</v>
      </c>
      <c r="E92" s="97" t="s">
        <v>144</v>
      </c>
      <c r="F92" s="85"/>
      <c r="G92" s="46"/>
      <c r="H92" s="85"/>
      <c r="I92" s="46"/>
      <c r="J92" s="46"/>
      <c r="K92" s="46"/>
      <c r="L92" s="46"/>
      <c r="M92" s="46"/>
      <c r="N92" s="46"/>
      <c r="O92" s="109"/>
      <c r="P92" s="46"/>
      <c r="Q92" s="46"/>
      <c r="R92" s="46"/>
      <c r="S92" s="83">
        <f t="shared" si="25"/>
        <v>0</v>
      </c>
      <c r="T92" s="280">
        <f>SUM(S92:S96)</f>
        <v>0</v>
      </c>
    </row>
    <row r="93" spans="1:20" ht="15" customHeight="1" x14ac:dyDescent="0.25">
      <c r="A93" s="164" t="s">
        <v>265</v>
      </c>
      <c r="B93" s="184">
        <f>$J$2-(S102-F99)</f>
        <v>116875.83333333333</v>
      </c>
      <c r="C93" s="275"/>
      <c r="D93" s="97" t="s">
        <v>152</v>
      </c>
      <c r="E93" s="97" t="s">
        <v>145</v>
      </c>
      <c r="F93" s="85"/>
      <c r="G93" s="46"/>
      <c r="H93" s="85"/>
      <c r="I93" s="46"/>
      <c r="J93" s="46"/>
      <c r="K93" s="46"/>
      <c r="L93" s="46"/>
      <c r="M93" s="86"/>
      <c r="N93" s="46"/>
      <c r="O93" s="89"/>
      <c r="P93" s="46"/>
      <c r="Q93" s="46"/>
      <c r="R93" s="46"/>
      <c r="S93" s="83">
        <f t="shared" si="25"/>
        <v>0</v>
      </c>
      <c r="T93" s="281"/>
    </row>
    <row r="94" spans="1:20" ht="15" customHeight="1" x14ac:dyDescent="0.25">
      <c r="C94" s="275"/>
      <c r="D94" s="97" t="s">
        <v>152</v>
      </c>
      <c r="E94" s="97" t="s">
        <v>146</v>
      </c>
      <c r="F94" s="86"/>
      <c r="G94" s="46"/>
      <c r="H94" s="87"/>
      <c r="I94" s="46"/>
      <c r="J94" s="46"/>
      <c r="K94" s="46"/>
      <c r="L94" s="46"/>
      <c r="M94" s="46"/>
      <c r="N94" s="46"/>
      <c r="O94" s="89"/>
      <c r="P94" s="46"/>
      <c r="Q94" s="46"/>
      <c r="R94" s="46"/>
      <c r="S94" s="83">
        <f t="shared" si="25"/>
        <v>0</v>
      </c>
      <c r="T94" s="281"/>
    </row>
    <row r="95" spans="1:20" ht="15" customHeight="1" x14ac:dyDescent="0.25">
      <c r="C95" s="275"/>
      <c r="D95" s="97" t="s">
        <v>152</v>
      </c>
      <c r="E95" s="97" t="s">
        <v>147</v>
      </c>
      <c r="F95" s="85"/>
      <c r="G95" s="46"/>
      <c r="H95" s="87"/>
      <c r="I95" s="46"/>
      <c r="J95" s="46"/>
      <c r="K95" s="46"/>
      <c r="L95" s="46"/>
      <c r="M95" s="46"/>
      <c r="N95" s="46"/>
      <c r="O95" s="89"/>
      <c r="P95" s="46"/>
      <c r="Q95" s="46"/>
      <c r="R95" s="46"/>
      <c r="S95" s="83">
        <f t="shared" si="25"/>
        <v>0</v>
      </c>
      <c r="T95" s="281"/>
    </row>
    <row r="96" spans="1:20" ht="15" customHeight="1" x14ac:dyDescent="0.25">
      <c r="B96" s="52"/>
      <c r="C96" s="275"/>
      <c r="D96" s="97" t="s">
        <v>152</v>
      </c>
      <c r="E96" s="97" t="s">
        <v>168</v>
      </c>
      <c r="F96" s="85"/>
      <c r="G96" s="46"/>
      <c r="H96" s="46"/>
      <c r="I96" s="46"/>
      <c r="J96" s="46"/>
      <c r="K96" s="46"/>
      <c r="L96" s="46"/>
      <c r="M96" s="46"/>
      <c r="N96" s="46"/>
      <c r="O96" s="89"/>
      <c r="P96" s="46"/>
      <c r="Q96" s="86"/>
      <c r="R96" s="46"/>
      <c r="S96" s="83">
        <f t="shared" si="25"/>
        <v>0</v>
      </c>
      <c r="T96" s="281"/>
    </row>
    <row r="97" spans="1:20" ht="15" customHeight="1" x14ac:dyDescent="0.25">
      <c r="C97" s="275"/>
      <c r="D97" s="98" t="s">
        <v>153</v>
      </c>
      <c r="E97" s="98" t="s">
        <v>170</v>
      </c>
      <c r="F97" s="81"/>
      <c r="G97" s="81"/>
      <c r="H97" s="81">
        <f>7240+22679/2+340/2</f>
        <v>18749.5</v>
      </c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>
        <f t="shared" si="25"/>
        <v>18749.5</v>
      </c>
      <c r="T97" s="282">
        <f>SUM(S97:S101)</f>
        <v>22125.5</v>
      </c>
    </row>
    <row r="98" spans="1:20" ht="15" customHeight="1" x14ac:dyDescent="0.25">
      <c r="C98" s="275"/>
      <c r="D98" s="99" t="s">
        <v>153</v>
      </c>
      <c r="E98" s="99" t="s">
        <v>171</v>
      </c>
      <c r="F98" s="81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>
        <f t="shared" si="25"/>
        <v>0</v>
      </c>
      <c r="T98" s="283"/>
    </row>
    <row r="99" spans="1:20" ht="15" customHeight="1" x14ac:dyDescent="0.25">
      <c r="C99" s="275"/>
      <c r="D99" s="99" t="s">
        <v>153</v>
      </c>
      <c r="E99" s="99" t="s">
        <v>172</v>
      </c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>
        <f t="shared" si="25"/>
        <v>0</v>
      </c>
      <c r="T99" s="283"/>
    </row>
    <row r="100" spans="1:20" s="41" customFormat="1" ht="15" customHeight="1" x14ac:dyDescent="0.25">
      <c r="A100" s="45"/>
      <c r="B100" s="45"/>
      <c r="C100" s="276"/>
      <c r="D100" s="99" t="s">
        <v>153</v>
      </c>
      <c r="E100" s="99" t="s">
        <v>173</v>
      </c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>
        <v>3376</v>
      </c>
      <c r="R100" s="82"/>
      <c r="S100" s="82">
        <f t="shared" si="25"/>
        <v>3376</v>
      </c>
      <c r="T100" s="283"/>
    </row>
    <row r="101" spans="1:20" ht="15.75" customHeight="1" thickBot="1" x14ac:dyDescent="0.3">
      <c r="A101" s="41"/>
      <c r="B101" s="41"/>
      <c r="C101" s="276"/>
      <c r="D101" s="100" t="s">
        <v>153</v>
      </c>
      <c r="E101" s="100" t="s">
        <v>168</v>
      </c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>
        <f t="shared" si="25"/>
        <v>0</v>
      </c>
      <c r="T101" s="283"/>
    </row>
    <row r="102" spans="1:20" ht="14.25" customHeight="1" x14ac:dyDescent="0.25">
      <c r="D102" s="101" t="s">
        <v>120</v>
      </c>
      <c r="E102" s="101" t="s">
        <v>120</v>
      </c>
      <c r="F102" s="64">
        <f t="shared" ref="F102:O102" si="26">SUM(F85:F101)</f>
        <v>9826</v>
      </c>
      <c r="G102" s="64">
        <f t="shared" si="26"/>
        <v>0</v>
      </c>
      <c r="H102" s="64">
        <f t="shared" si="26"/>
        <v>18749.5</v>
      </c>
      <c r="I102" s="64">
        <f t="shared" si="26"/>
        <v>0</v>
      </c>
      <c r="J102" s="64">
        <f t="shared" si="26"/>
        <v>0</v>
      </c>
      <c r="K102" s="64">
        <f t="shared" si="26"/>
        <v>0</v>
      </c>
      <c r="L102" s="64">
        <f t="shared" si="26"/>
        <v>0</v>
      </c>
      <c r="M102" s="64">
        <f t="shared" si="26"/>
        <v>0</v>
      </c>
      <c r="N102" s="64">
        <f t="shared" si="26"/>
        <v>0</v>
      </c>
      <c r="O102" s="64">
        <f t="shared" si="26"/>
        <v>0</v>
      </c>
      <c r="P102" s="64">
        <f>SUM(P85:P101)</f>
        <v>0</v>
      </c>
      <c r="Q102" s="64">
        <f>SUM(Q85:Q101)</f>
        <v>21215.333333333332</v>
      </c>
      <c r="R102" s="64">
        <f>SUM(R85:R101)</f>
        <v>0</v>
      </c>
      <c r="S102" s="54">
        <f>SUM(S85:S101)</f>
        <v>49790.833333333328</v>
      </c>
    </row>
    <row r="103" spans="1:20" ht="15.75" customHeight="1" thickBot="1" x14ac:dyDescent="0.3"/>
    <row r="104" spans="1:20" ht="17.25" x14ac:dyDescent="0.25">
      <c r="A104" s="166" t="s">
        <v>188</v>
      </c>
      <c r="B104" s="167">
        <f>B85+1</f>
        <v>202706</v>
      </c>
      <c r="C104" s="275">
        <f>B104</f>
        <v>202706</v>
      </c>
      <c r="D104" s="94" t="s">
        <v>151</v>
      </c>
      <c r="E104" s="177" t="s">
        <v>252</v>
      </c>
      <c r="F104" s="60"/>
      <c r="G104" s="59"/>
      <c r="H104" s="59"/>
      <c r="I104" s="60"/>
      <c r="J104" s="59"/>
      <c r="K104" s="60"/>
      <c r="L104" s="60"/>
      <c r="M104" s="148"/>
      <c r="N104" s="60"/>
      <c r="O104" s="60"/>
      <c r="P104" s="60"/>
      <c r="Q104" s="60">
        <f>2000+2000+2000+2000</f>
        <v>8000</v>
      </c>
      <c r="R104" s="60"/>
      <c r="S104" s="44">
        <f t="shared" ref="S104:S120" si="27">SUM(F104:R104)</f>
        <v>8000</v>
      </c>
      <c r="T104" s="277">
        <f>SUM(S104:S110)</f>
        <v>20914</v>
      </c>
    </row>
    <row r="105" spans="1:20" ht="15" customHeight="1" thickBot="1" x14ac:dyDescent="0.3">
      <c r="A105" s="164" t="s">
        <v>247</v>
      </c>
      <c r="B105" s="162">
        <f>$J$2</f>
        <v>166666.66666666666</v>
      </c>
      <c r="C105" s="275"/>
      <c r="D105" s="95" t="s">
        <v>151</v>
      </c>
      <c r="E105" s="176" t="s">
        <v>251</v>
      </c>
      <c r="F105" s="79"/>
      <c r="G105" s="78"/>
      <c r="H105" s="78"/>
      <c r="I105" s="79"/>
      <c r="J105" s="78"/>
      <c r="K105" s="79"/>
      <c r="L105" s="79"/>
      <c r="M105" s="149"/>
      <c r="N105" s="79"/>
      <c r="O105" s="79"/>
      <c r="P105" s="79"/>
      <c r="Q105" s="79"/>
      <c r="R105" s="79"/>
      <c r="S105" s="80">
        <f t="shared" si="27"/>
        <v>0</v>
      </c>
      <c r="T105" s="278"/>
    </row>
    <row r="106" spans="1:20" ht="15" customHeight="1" thickTop="1" x14ac:dyDescent="0.25">
      <c r="A106" s="165" t="s">
        <v>237</v>
      </c>
      <c r="B106" s="182">
        <f>SUMPRODUCT((($V$10:$V$21)&lt;=VALUE(B104))*($Z$10:$Z$21))</f>
        <v>178433.16666666666</v>
      </c>
      <c r="C106" s="275"/>
      <c r="D106" s="95" t="s">
        <v>151</v>
      </c>
      <c r="E106" s="176" t="s">
        <v>254</v>
      </c>
      <c r="F106" s="79">
        <v>3326</v>
      </c>
      <c r="G106" s="78"/>
      <c r="H106" s="78"/>
      <c r="I106" s="79"/>
      <c r="J106" s="78"/>
      <c r="K106" s="79"/>
      <c r="L106" s="79"/>
      <c r="M106" s="149"/>
      <c r="N106" s="79"/>
      <c r="O106" s="79"/>
      <c r="P106" s="79"/>
      <c r="Q106" s="79">
        <f>9491-7000</f>
        <v>2491</v>
      </c>
      <c r="R106" s="79"/>
      <c r="S106" s="80">
        <f t="shared" si="27"/>
        <v>5817</v>
      </c>
      <c r="T106" s="278"/>
    </row>
    <row r="107" spans="1:20" ht="15" customHeight="1" x14ac:dyDescent="0.25">
      <c r="A107" s="165" t="s">
        <v>264</v>
      </c>
      <c r="B107" s="181">
        <f>B106/SUMPRODUCT(('2027'!$V$10:$V$21&lt;='2027'!B104)*'2022'!$Z$10:$Z$21)</f>
        <v>0.18784000634438722</v>
      </c>
      <c r="C107" s="275"/>
      <c r="D107" s="95" t="s">
        <v>151</v>
      </c>
      <c r="E107" s="176" t="s">
        <v>255</v>
      </c>
      <c r="F107" s="79"/>
      <c r="G107" s="78"/>
      <c r="H107" s="78"/>
      <c r="I107" s="79"/>
      <c r="J107" s="78"/>
      <c r="K107" s="79"/>
      <c r="L107" s="79"/>
      <c r="M107" s="149"/>
      <c r="N107" s="79"/>
      <c r="O107" s="79"/>
      <c r="P107" s="79"/>
      <c r="Q107" s="79">
        <v>597</v>
      </c>
      <c r="R107" s="79"/>
      <c r="S107" s="80">
        <f t="shared" si="27"/>
        <v>597</v>
      </c>
      <c r="T107" s="278"/>
    </row>
    <row r="108" spans="1:20" ht="15" customHeight="1" x14ac:dyDescent="0.25">
      <c r="A108" s="165" t="s">
        <v>236</v>
      </c>
      <c r="B108" s="186">
        <f>B106-$K$2*VALUE(RIGHT(B104,2))/9</f>
        <v>178433.16666666666</v>
      </c>
      <c r="C108" s="275"/>
      <c r="D108" s="96" t="s">
        <v>151</v>
      </c>
      <c r="E108" s="176" t="s">
        <v>256</v>
      </c>
      <c r="F108" s="79">
        <v>6500</v>
      </c>
      <c r="G108" s="78"/>
      <c r="H108" s="78"/>
      <c r="I108" s="78"/>
      <c r="J108" s="78"/>
      <c r="K108" s="79"/>
      <c r="L108" s="79"/>
      <c r="M108" s="149"/>
      <c r="N108" s="79"/>
      <c r="O108" s="79"/>
      <c r="P108" s="79"/>
      <c r="Q108" s="79"/>
      <c r="R108" s="79"/>
      <c r="S108" s="80">
        <f t="shared" si="27"/>
        <v>6500</v>
      </c>
      <c r="T108" s="278"/>
    </row>
    <row r="109" spans="1:20" ht="15" customHeight="1" x14ac:dyDescent="0.25">
      <c r="A109" s="164" t="s">
        <v>242</v>
      </c>
      <c r="B109" s="157">
        <f>B108/($J$2*12)</f>
        <v>8.9216583333333335E-2</v>
      </c>
      <c r="C109" s="275"/>
      <c r="D109" s="95" t="s">
        <v>151</v>
      </c>
      <c r="E109" s="176" t="s">
        <v>257</v>
      </c>
      <c r="F109" s="79"/>
      <c r="G109" s="78"/>
      <c r="H109" s="78"/>
      <c r="I109" s="79"/>
      <c r="J109" s="78"/>
      <c r="K109" s="79"/>
      <c r="L109" s="79"/>
      <c r="M109" s="149"/>
      <c r="N109" s="79"/>
      <c r="O109" s="79"/>
      <c r="P109" s="79"/>
      <c r="Q109" s="79"/>
      <c r="R109" s="79"/>
      <c r="S109" s="80">
        <f t="shared" si="27"/>
        <v>0</v>
      </c>
      <c r="T109" s="278"/>
    </row>
    <row r="110" spans="1:20" ht="15" customHeight="1" x14ac:dyDescent="0.25">
      <c r="A110" s="164" t="s">
        <v>241</v>
      </c>
      <c r="B110" s="126">
        <f>VALUE(RIGHT(B104,2))/12</f>
        <v>0.5</v>
      </c>
      <c r="C110" s="275"/>
      <c r="D110" s="95" t="s">
        <v>151</v>
      </c>
      <c r="E110" s="176" t="s">
        <v>263</v>
      </c>
      <c r="F110" s="78"/>
      <c r="G110" s="78"/>
      <c r="H110" s="78"/>
      <c r="I110" s="79"/>
      <c r="J110" s="78"/>
      <c r="K110" s="79"/>
      <c r="L110" s="79"/>
      <c r="M110" s="149"/>
      <c r="N110" s="79"/>
      <c r="O110" s="79"/>
      <c r="P110" s="79"/>
      <c r="Q110" s="79"/>
      <c r="R110" s="79"/>
      <c r="S110" s="80">
        <f>SUM(F110:R110)</f>
        <v>0</v>
      </c>
      <c r="T110" s="279"/>
    </row>
    <row r="111" spans="1:20" ht="15" customHeight="1" x14ac:dyDescent="0.25">
      <c r="A111" s="164" t="s">
        <v>243</v>
      </c>
      <c r="B111" s="161">
        <f>B105*VALUE(RIGHT(B104,2))-B108</f>
        <v>821566.83333333337</v>
      </c>
      <c r="C111" s="275"/>
      <c r="D111" s="97" t="s">
        <v>152</v>
      </c>
      <c r="E111" s="97" t="s">
        <v>144</v>
      </c>
      <c r="F111" s="85"/>
      <c r="G111" s="46"/>
      <c r="H111" s="85"/>
      <c r="I111" s="46"/>
      <c r="J111" s="46"/>
      <c r="K111" s="46"/>
      <c r="L111" s="46"/>
      <c r="M111" s="152"/>
      <c r="N111" s="46"/>
      <c r="O111" s="86"/>
      <c r="P111" s="46"/>
      <c r="Q111" s="46"/>
      <c r="R111" s="46"/>
      <c r="S111" s="83">
        <f t="shared" si="27"/>
        <v>0</v>
      </c>
      <c r="T111" s="280">
        <f>SUM(S111:S115)</f>
        <v>0</v>
      </c>
    </row>
    <row r="112" spans="1:20" ht="15" customHeight="1" x14ac:dyDescent="0.25">
      <c r="A112" s="164" t="s">
        <v>265</v>
      </c>
      <c r="B112" s="184">
        <f>$J$2-(S121-F118)</f>
        <v>142377</v>
      </c>
      <c r="C112" s="275"/>
      <c r="D112" s="97" t="s">
        <v>152</v>
      </c>
      <c r="E112" s="97" t="s">
        <v>145</v>
      </c>
      <c r="F112" s="85"/>
      <c r="G112" s="46"/>
      <c r="H112" s="85"/>
      <c r="I112" s="46"/>
      <c r="J112" s="46"/>
      <c r="K112" s="46"/>
      <c r="L112" s="46"/>
      <c r="M112" s="152"/>
      <c r="N112" s="46"/>
      <c r="O112" s="89"/>
      <c r="P112" s="46"/>
      <c r="Q112" s="46"/>
      <c r="R112" s="46"/>
      <c r="S112" s="83">
        <f t="shared" si="27"/>
        <v>0</v>
      </c>
      <c r="T112" s="281"/>
    </row>
    <row r="113" spans="1:23" ht="15" customHeight="1" x14ac:dyDescent="0.25">
      <c r="C113" s="275"/>
      <c r="D113" s="97" t="s">
        <v>152</v>
      </c>
      <c r="E113" s="97" t="s">
        <v>146</v>
      </c>
      <c r="F113" s="86"/>
      <c r="G113" s="46"/>
      <c r="H113" s="87"/>
      <c r="I113" s="89"/>
      <c r="J113" s="46"/>
      <c r="K113" s="46"/>
      <c r="L113" s="46"/>
      <c r="M113" s="152"/>
      <c r="N113" s="46"/>
      <c r="O113" s="46"/>
      <c r="P113" s="46"/>
      <c r="Q113" s="46"/>
      <c r="R113" s="46"/>
      <c r="S113" s="83">
        <f t="shared" si="27"/>
        <v>0</v>
      </c>
      <c r="T113" s="281"/>
    </row>
    <row r="114" spans="1:23" ht="15" customHeight="1" x14ac:dyDescent="0.25">
      <c r="C114" s="275"/>
      <c r="D114" s="97" t="s">
        <v>152</v>
      </c>
      <c r="E114" s="97" t="s">
        <v>147</v>
      </c>
      <c r="F114" s="85"/>
      <c r="G114" s="46"/>
      <c r="H114" s="87"/>
      <c r="I114" s="46"/>
      <c r="J114" s="46"/>
      <c r="K114" s="46"/>
      <c r="L114" s="46"/>
      <c r="M114" s="152"/>
      <c r="N114" s="46"/>
      <c r="O114" s="46"/>
      <c r="P114" s="46"/>
      <c r="Q114" s="46"/>
      <c r="R114" s="46"/>
      <c r="S114" s="83">
        <f t="shared" si="27"/>
        <v>0</v>
      </c>
      <c r="T114" s="281"/>
    </row>
    <row r="115" spans="1:23" ht="15" customHeight="1" x14ac:dyDescent="0.25">
      <c r="C115" s="275"/>
      <c r="D115" s="97" t="s">
        <v>152</v>
      </c>
      <c r="E115" s="97" t="s">
        <v>168</v>
      </c>
      <c r="F115" s="85"/>
      <c r="G115" s="46"/>
      <c r="H115" s="85"/>
      <c r="I115" s="46"/>
      <c r="J115" s="46"/>
      <c r="K115" s="46"/>
      <c r="L115" s="46"/>
      <c r="M115" s="152"/>
      <c r="N115" s="46"/>
      <c r="O115" s="46"/>
      <c r="P115" s="46"/>
      <c r="Q115" s="46"/>
      <c r="R115" s="46"/>
      <c r="S115" s="83">
        <f t="shared" si="27"/>
        <v>0</v>
      </c>
      <c r="T115" s="281"/>
    </row>
    <row r="116" spans="1:23" ht="15" customHeight="1" x14ac:dyDescent="0.25">
      <c r="C116" s="275"/>
      <c r="D116" s="98" t="s">
        <v>153</v>
      </c>
      <c r="E116" s="98" t="s">
        <v>170</v>
      </c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>
        <f t="shared" si="27"/>
        <v>0</v>
      </c>
      <c r="T116" s="282">
        <f>SUM(S116:S120)</f>
        <v>3375.6666666666665</v>
      </c>
    </row>
    <row r="117" spans="1:23" ht="15" customHeight="1" x14ac:dyDescent="0.25">
      <c r="C117" s="275"/>
      <c r="D117" s="99" t="s">
        <v>153</v>
      </c>
      <c r="E117" s="99" t="s">
        <v>171</v>
      </c>
      <c r="F117" s="82"/>
      <c r="G117" s="82"/>
      <c r="H117" s="82"/>
      <c r="I117" s="82"/>
      <c r="J117" s="82"/>
      <c r="K117" s="82"/>
      <c r="L117" s="82"/>
      <c r="M117" s="140"/>
      <c r="N117" s="82"/>
      <c r="O117" s="82"/>
      <c r="P117" s="82"/>
      <c r="Q117" s="82"/>
      <c r="R117" s="82"/>
      <c r="S117" s="82">
        <f t="shared" si="27"/>
        <v>0</v>
      </c>
      <c r="T117" s="283"/>
    </row>
    <row r="118" spans="1:23" ht="15" customHeight="1" x14ac:dyDescent="0.25">
      <c r="C118" s="275"/>
      <c r="D118" s="99" t="s">
        <v>153</v>
      </c>
      <c r="E118" s="99" t="s">
        <v>172</v>
      </c>
      <c r="F118" s="82"/>
      <c r="G118" s="82"/>
      <c r="H118" s="81"/>
      <c r="I118" s="82"/>
      <c r="J118" s="82"/>
      <c r="K118" s="82"/>
      <c r="L118" s="82"/>
      <c r="M118" s="140"/>
      <c r="N118" s="82"/>
      <c r="O118" s="82"/>
      <c r="P118" s="82"/>
      <c r="Q118" s="82"/>
      <c r="R118" s="82"/>
      <c r="S118" s="82">
        <f t="shared" si="27"/>
        <v>0</v>
      </c>
      <c r="T118" s="283"/>
    </row>
    <row r="119" spans="1:23" s="41" customFormat="1" ht="15" customHeight="1" x14ac:dyDescent="0.25">
      <c r="A119" s="45"/>
      <c r="B119" s="45"/>
      <c r="C119" s="276"/>
      <c r="D119" s="99" t="s">
        <v>153</v>
      </c>
      <c r="E119" s="99" t="s">
        <v>173</v>
      </c>
      <c r="F119" s="82"/>
      <c r="G119" s="82"/>
      <c r="H119" s="82"/>
      <c r="I119" s="82"/>
      <c r="J119" s="82"/>
      <c r="K119" s="82"/>
      <c r="L119" s="82"/>
      <c r="M119" s="140"/>
      <c r="N119" s="82"/>
      <c r="O119" s="82"/>
      <c r="P119" s="82"/>
      <c r="Q119" s="82">
        <f>40508/12</f>
        <v>3375.6666666666665</v>
      </c>
      <c r="R119" s="82"/>
      <c r="S119" s="82">
        <f t="shared" si="27"/>
        <v>3375.6666666666665</v>
      </c>
      <c r="T119" s="283"/>
    </row>
    <row r="120" spans="1:23" ht="15.75" customHeight="1" thickBot="1" x14ac:dyDescent="0.3">
      <c r="A120" s="41"/>
      <c r="B120" s="41"/>
      <c r="C120" s="276"/>
      <c r="D120" s="100" t="s">
        <v>153</v>
      </c>
      <c r="E120" s="100" t="s">
        <v>168</v>
      </c>
      <c r="F120" s="48"/>
      <c r="G120" s="48"/>
      <c r="H120" s="48"/>
      <c r="I120" s="48"/>
      <c r="J120" s="48"/>
      <c r="K120" s="48"/>
      <c r="L120" s="48"/>
      <c r="M120" s="141"/>
      <c r="N120" s="48"/>
      <c r="O120" s="48"/>
      <c r="P120" s="48"/>
      <c r="Q120" s="48"/>
      <c r="R120" s="48"/>
      <c r="S120" s="48">
        <f t="shared" si="27"/>
        <v>0</v>
      </c>
      <c r="T120" s="283"/>
    </row>
    <row r="121" spans="1:23" ht="15" customHeight="1" x14ac:dyDescent="0.25">
      <c r="D121" s="101" t="s">
        <v>120</v>
      </c>
      <c r="E121" s="101" t="s">
        <v>120</v>
      </c>
      <c r="F121" s="64">
        <f>SUM(F104:F120)</f>
        <v>9826</v>
      </c>
      <c r="G121" s="64">
        <f>SUM(G104:G120)</f>
        <v>0</v>
      </c>
      <c r="H121" s="64">
        <f>SUM(H104:H120)</f>
        <v>0</v>
      </c>
      <c r="I121" s="64">
        <f t="shared" ref="I121:P121" si="28">SUM(I104:I120)</f>
        <v>0</v>
      </c>
      <c r="J121" s="64">
        <f t="shared" si="28"/>
        <v>0</v>
      </c>
      <c r="K121" s="64">
        <f t="shared" si="28"/>
        <v>0</v>
      </c>
      <c r="L121" s="64">
        <f t="shared" si="28"/>
        <v>0</v>
      </c>
      <c r="M121" s="150">
        <f t="shared" si="28"/>
        <v>0</v>
      </c>
      <c r="N121" s="64">
        <f t="shared" si="28"/>
        <v>0</v>
      </c>
      <c r="O121" s="64">
        <f t="shared" si="28"/>
        <v>0</v>
      </c>
      <c r="P121" s="64">
        <f t="shared" si="28"/>
        <v>0</v>
      </c>
      <c r="Q121" s="64">
        <f>SUM(Q104:Q120)</f>
        <v>14463.666666666666</v>
      </c>
      <c r="R121" s="64">
        <f>SUM(R104:R120)</f>
        <v>0</v>
      </c>
      <c r="S121" s="54">
        <f>SUM(S104:S120)</f>
        <v>24289.666666666668</v>
      </c>
      <c r="T121" s="52"/>
      <c r="U121" s="52"/>
    </row>
    <row r="122" spans="1:23" ht="15.75" customHeight="1" thickBot="1" x14ac:dyDescent="0.3">
      <c r="M122" s="151"/>
    </row>
    <row r="123" spans="1:23" ht="17.25" x14ac:dyDescent="0.25">
      <c r="A123" s="166" t="s">
        <v>188</v>
      </c>
      <c r="B123" s="167">
        <f>B104+1</f>
        <v>202707</v>
      </c>
      <c r="C123" s="275">
        <f>B123</f>
        <v>202707</v>
      </c>
      <c r="D123" s="94" t="s">
        <v>151</v>
      </c>
      <c r="E123" s="177" t="s">
        <v>252</v>
      </c>
      <c r="F123" s="60"/>
      <c r="G123" s="59"/>
      <c r="H123" s="59"/>
      <c r="I123" s="60"/>
      <c r="J123" s="59"/>
      <c r="K123" s="60"/>
      <c r="L123" s="60"/>
      <c r="M123" s="148"/>
      <c r="N123" s="60"/>
      <c r="O123" s="60"/>
      <c r="P123" s="60"/>
      <c r="Q123" s="60">
        <f>2000+2000+2000+2000</f>
        <v>8000</v>
      </c>
      <c r="R123" s="60"/>
      <c r="S123" s="44">
        <f t="shared" ref="S123:S139" si="29">SUM(F123:R123)</f>
        <v>8000</v>
      </c>
      <c r="T123" s="277">
        <f>SUM(S123:S129)</f>
        <v>14414</v>
      </c>
      <c r="V123" s="52">
        <f>S123-S104</f>
        <v>0</v>
      </c>
    </row>
    <row r="124" spans="1:23" ht="15" customHeight="1" thickBot="1" x14ac:dyDescent="0.3">
      <c r="A124" s="164" t="s">
        <v>247</v>
      </c>
      <c r="B124" s="162">
        <f>$J$2</f>
        <v>166666.66666666666</v>
      </c>
      <c r="C124" s="275"/>
      <c r="D124" s="95" t="s">
        <v>151</v>
      </c>
      <c r="E124" s="176" t="s">
        <v>251</v>
      </c>
      <c r="F124" s="79"/>
      <c r="G124" s="78"/>
      <c r="H124" s="78"/>
      <c r="I124" s="79"/>
      <c r="J124" s="78"/>
      <c r="K124" s="79"/>
      <c r="L124" s="79"/>
      <c r="M124" s="149"/>
      <c r="N124" s="79"/>
      <c r="O124" s="79"/>
      <c r="P124" s="79"/>
      <c r="Q124" s="79"/>
      <c r="R124" s="79"/>
      <c r="S124" s="80">
        <f t="shared" si="29"/>
        <v>0</v>
      </c>
      <c r="T124" s="278"/>
      <c r="V124" s="52">
        <f t="shared" ref="V124:V129" si="30">S124-S105</f>
        <v>0</v>
      </c>
    </row>
    <row r="125" spans="1:23" ht="15" customHeight="1" thickTop="1" x14ac:dyDescent="0.25">
      <c r="A125" s="165" t="s">
        <v>237</v>
      </c>
      <c r="B125" s="182">
        <f>SUMPRODUCT((($V$10:$V$21)&lt;=VALUE(B123))*($Z$10:$Z$21))</f>
        <v>236415.33333333331</v>
      </c>
      <c r="C125" s="275"/>
      <c r="D125" s="95" t="s">
        <v>151</v>
      </c>
      <c r="E125" s="176" t="s">
        <v>254</v>
      </c>
      <c r="F125" s="79">
        <v>3326</v>
      </c>
      <c r="G125" s="78"/>
      <c r="H125" s="78"/>
      <c r="I125" s="79"/>
      <c r="J125" s="78"/>
      <c r="K125" s="79"/>
      <c r="L125" s="79"/>
      <c r="M125" s="149"/>
      <c r="N125" s="79"/>
      <c r="O125" s="79"/>
      <c r="P125" s="79"/>
      <c r="Q125" s="79">
        <f>9491-7000</f>
        <v>2491</v>
      </c>
      <c r="R125" s="79"/>
      <c r="S125" s="80">
        <f t="shared" si="29"/>
        <v>5817</v>
      </c>
      <c r="T125" s="278"/>
      <c r="V125" s="52">
        <f t="shared" si="30"/>
        <v>0</v>
      </c>
      <c r="W125" s="55" t="s">
        <v>280</v>
      </c>
    </row>
    <row r="126" spans="1:23" ht="15" customHeight="1" x14ac:dyDescent="0.25">
      <c r="A126" s="165" t="s">
        <v>264</v>
      </c>
      <c r="B126" s="181">
        <f>B125/SUMPRODUCT(('2027'!$V$10:$V$21&lt;='2027'!B123)*'2022'!$Z$10:$Z$21)</f>
        <v>0.21343654180596167</v>
      </c>
      <c r="C126" s="275"/>
      <c r="D126" s="95" t="s">
        <v>151</v>
      </c>
      <c r="E126" s="176" t="s">
        <v>255</v>
      </c>
      <c r="F126" s="79"/>
      <c r="G126" s="78"/>
      <c r="H126" s="78"/>
      <c r="I126" s="79"/>
      <c r="J126" s="78"/>
      <c r="K126" s="79"/>
      <c r="L126" s="79"/>
      <c r="M126" s="149"/>
      <c r="N126" s="79"/>
      <c r="O126" s="79"/>
      <c r="P126" s="79"/>
      <c r="Q126" s="79">
        <v>597</v>
      </c>
      <c r="R126" s="79"/>
      <c r="S126" s="80">
        <f t="shared" si="29"/>
        <v>597</v>
      </c>
      <c r="T126" s="278"/>
      <c r="V126" s="52">
        <f t="shared" si="30"/>
        <v>0</v>
      </c>
    </row>
    <row r="127" spans="1:23" ht="15" customHeight="1" x14ac:dyDescent="0.25">
      <c r="A127" s="165" t="s">
        <v>236</v>
      </c>
      <c r="B127" s="186">
        <f>B125-$K$2*VALUE(RIGHT(B123,2))/9</f>
        <v>236415.33333333331</v>
      </c>
      <c r="C127" s="275"/>
      <c r="D127" s="96" t="s">
        <v>151</v>
      </c>
      <c r="E127" s="176" t="s">
        <v>256</v>
      </c>
      <c r="F127" s="79"/>
      <c r="G127" s="78"/>
      <c r="H127" s="78"/>
      <c r="I127" s="78"/>
      <c r="J127" s="78"/>
      <c r="K127" s="79"/>
      <c r="L127" s="79"/>
      <c r="M127" s="149"/>
      <c r="N127" s="79"/>
      <c r="O127" s="79"/>
      <c r="P127" s="79"/>
      <c r="Q127" s="79"/>
      <c r="R127" s="79"/>
      <c r="S127" s="80">
        <f t="shared" si="29"/>
        <v>0</v>
      </c>
      <c r="T127" s="278"/>
      <c r="V127" s="52">
        <f t="shared" si="30"/>
        <v>-6500</v>
      </c>
    </row>
    <row r="128" spans="1:23" ht="15" customHeight="1" x14ac:dyDescent="0.25">
      <c r="A128" s="164" t="s">
        <v>242</v>
      </c>
      <c r="B128" s="157">
        <f>B127/($J$2*12)</f>
        <v>0.11820766666666666</v>
      </c>
      <c r="C128" s="275"/>
      <c r="D128" s="95" t="s">
        <v>151</v>
      </c>
      <c r="E128" s="176" t="s">
        <v>257</v>
      </c>
      <c r="F128" s="79"/>
      <c r="G128" s="78"/>
      <c r="H128" s="78"/>
      <c r="I128" s="79"/>
      <c r="J128" s="78"/>
      <c r="K128" s="79"/>
      <c r="L128" s="79"/>
      <c r="M128" s="149"/>
      <c r="N128" s="79"/>
      <c r="O128" s="79"/>
      <c r="P128" s="79"/>
      <c r="Q128" s="79"/>
      <c r="R128" s="79"/>
      <c r="S128" s="80">
        <f t="shared" si="29"/>
        <v>0</v>
      </c>
      <c r="T128" s="278"/>
      <c r="V128" s="52">
        <f t="shared" si="30"/>
        <v>0</v>
      </c>
    </row>
    <row r="129" spans="1:23" ht="15" customHeight="1" x14ac:dyDescent="0.25">
      <c r="A129" s="164" t="s">
        <v>282</v>
      </c>
      <c r="B129" s="126">
        <f>VALUE(RIGHT(B123,2))/12</f>
        <v>0.58333333333333337</v>
      </c>
      <c r="C129" s="275"/>
      <c r="D129" s="95" t="s">
        <v>151</v>
      </c>
      <c r="E129" s="176" t="s">
        <v>263</v>
      </c>
      <c r="F129" s="78"/>
      <c r="G129" s="78"/>
      <c r="H129" s="78"/>
      <c r="I129" s="79"/>
      <c r="J129" s="78"/>
      <c r="K129" s="79"/>
      <c r="L129" s="79"/>
      <c r="M129" s="149"/>
      <c r="N129" s="79"/>
      <c r="O129" s="79"/>
      <c r="P129" s="79"/>
      <c r="Q129" s="79"/>
      <c r="R129" s="79"/>
      <c r="S129" s="80">
        <f t="shared" si="29"/>
        <v>0</v>
      </c>
      <c r="T129" s="279"/>
      <c r="V129" s="52">
        <f t="shared" si="30"/>
        <v>0</v>
      </c>
    </row>
    <row r="130" spans="1:23" ht="15" customHeight="1" x14ac:dyDescent="0.25">
      <c r="A130" s="164" t="s">
        <v>243</v>
      </c>
      <c r="B130" s="161">
        <f>B124*VALUE(RIGHT(B123,2))-B127</f>
        <v>930251.33333333326</v>
      </c>
      <c r="C130" s="275"/>
      <c r="D130" s="97" t="s">
        <v>152</v>
      </c>
      <c r="E130" s="97" t="s">
        <v>144</v>
      </c>
      <c r="F130" s="85"/>
      <c r="G130" s="46"/>
      <c r="H130" s="85"/>
      <c r="I130" s="89"/>
      <c r="J130" s="46"/>
      <c r="K130" s="46"/>
      <c r="L130" s="46"/>
      <c r="M130" s="152"/>
      <c r="N130" s="46"/>
      <c r="O130" s="86"/>
      <c r="P130" s="46"/>
      <c r="Q130" s="46"/>
      <c r="R130" s="46"/>
      <c r="S130" s="83">
        <f t="shared" si="29"/>
        <v>0</v>
      </c>
      <c r="T130" s="280">
        <f>SUM(S130:S134)</f>
        <v>0</v>
      </c>
    </row>
    <row r="131" spans="1:23" ht="15" customHeight="1" x14ac:dyDescent="0.25">
      <c r="A131" s="164" t="s">
        <v>265</v>
      </c>
      <c r="B131" s="184">
        <f>$J$2-(S140-F137)</f>
        <v>108684.5</v>
      </c>
      <c r="C131" s="275"/>
      <c r="D131" s="97" t="s">
        <v>152</v>
      </c>
      <c r="E131" s="97" t="s">
        <v>145</v>
      </c>
      <c r="F131" s="85"/>
      <c r="G131" s="46"/>
      <c r="H131" s="85"/>
      <c r="I131" s="46"/>
      <c r="J131" s="46"/>
      <c r="K131" s="46"/>
      <c r="L131" s="46"/>
      <c r="M131" s="152"/>
      <c r="N131" s="46"/>
      <c r="O131" s="85"/>
      <c r="P131" s="46"/>
      <c r="Q131" s="46"/>
      <c r="R131" s="46"/>
      <c r="S131" s="83">
        <f t="shared" si="29"/>
        <v>0</v>
      </c>
      <c r="T131" s="281"/>
    </row>
    <row r="132" spans="1:23" ht="15" customHeight="1" x14ac:dyDescent="0.25">
      <c r="C132" s="275"/>
      <c r="D132" s="97" t="s">
        <v>152</v>
      </c>
      <c r="E132" s="97" t="s">
        <v>146</v>
      </c>
      <c r="F132" s="86"/>
      <c r="G132" s="46"/>
      <c r="H132" s="87"/>
      <c r="I132" s="46"/>
      <c r="J132" s="46"/>
      <c r="K132" s="46"/>
      <c r="L132" s="46"/>
      <c r="M132" s="152"/>
      <c r="N132" s="46"/>
      <c r="O132" s="85"/>
      <c r="P132" s="46"/>
      <c r="Q132" s="46"/>
      <c r="R132" s="46"/>
      <c r="S132" s="83">
        <f t="shared" si="29"/>
        <v>0</v>
      </c>
      <c r="T132" s="281"/>
    </row>
    <row r="133" spans="1:23" ht="15" customHeight="1" x14ac:dyDescent="0.25">
      <c r="C133" s="275"/>
      <c r="D133" s="97" t="s">
        <v>152</v>
      </c>
      <c r="E133" s="97" t="s">
        <v>147</v>
      </c>
      <c r="F133" s="85"/>
      <c r="G133" s="46"/>
      <c r="H133" s="87"/>
      <c r="I133" s="46"/>
      <c r="J133" s="46"/>
      <c r="K133" s="46"/>
      <c r="L133" s="46"/>
      <c r="M133" s="152"/>
      <c r="N133" s="46"/>
      <c r="O133" s="85"/>
      <c r="P133" s="46"/>
      <c r="Q133" s="46"/>
      <c r="R133" s="46"/>
      <c r="S133" s="83">
        <f t="shared" si="29"/>
        <v>0</v>
      </c>
      <c r="T133" s="281"/>
    </row>
    <row r="134" spans="1:23" ht="15" customHeight="1" x14ac:dyDescent="0.25">
      <c r="C134" s="275"/>
      <c r="D134" s="97" t="s">
        <v>152</v>
      </c>
      <c r="E134" s="97" t="s">
        <v>168</v>
      </c>
      <c r="F134" s="85"/>
      <c r="G134" s="46"/>
      <c r="H134" s="46"/>
      <c r="I134" s="46"/>
      <c r="J134" s="46"/>
      <c r="K134" s="46"/>
      <c r="L134" s="46"/>
      <c r="M134" s="152"/>
      <c r="N134" s="46"/>
      <c r="O134" s="86"/>
      <c r="P134" s="46"/>
      <c r="Q134" s="46"/>
      <c r="R134" s="46"/>
      <c r="S134" s="83">
        <f t="shared" si="29"/>
        <v>0</v>
      </c>
      <c r="T134" s="281"/>
    </row>
    <row r="135" spans="1:23" ht="15" customHeight="1" x14ac:dyDescent="0.25">
      <c r="C135" s="275"/>
      <c r="D135" s="98" t="s">
        <v>153</v>
      </c>
      <c r="E135" s="178" t="s">
        <v>258</v>
      </c>
      <c r="F135" s="81"/>
      <c r="G135" s="81"/>
      <c r="H135" s="81"/>
      <c r="I135" s="81">
        <f>22679/2+340/2+801+12+801+12+12707+190+13951+209</f>
        <v>40192.5</v>
      </c>
      <c r="J135" s="81"/>
      <c r="K135" s="81"/>
      <c r="L135" s="81"/>
      <c r="M135" s="81"/>
      <c r="N135" s="81"/>
      <c r="O135" s="81"/>
      <c r="P135" s="81"/>
      <c r="Q135" s="81"/>
      <c r="R135" s="81"/>
      <c r="S135" s="81">
        <f t="shared" si="29"/>
        <v>40192.5</v>
      </c>
      <c r="T135" s="282">
        <f>SUM(S135:S139)</f>
        <v>43568.166666666664</v>
      </c>
      <c r="V135" s="52">
        <f>S135-S116</f>
        <v>40192.5</v>
      </c>
    </row>
    <row r="136" spans="1:23" ht="15" customHeight="1" x14ac:dyDescent="0.25">
      <c r="C136" s="275"/>
      <c r="D136" s="99" t="s">
        <v>153</v>
      </c>
      <c r="E136" s="99" t="s">
        <v>171</v>
      </c>
      <c r="F136" s="82"/>
      <c r="G136" s="82"/>
      <c r="H136" s="82"/>
      <c r="I136" s="82"/>
      <c r="J136" s="82"/>
      <c r="K136" s="82"/>
      <c r="L136" s="82"/>
      <c r="M136" s="140"/>
      <c r="N136" s="82"/>
      <c r="O136" s="82"/>
      <c r="P136" s="82"/>
      <c r="Q136" s="82"/>
      <c r="R136" s="82"/>
      <c r="S136" s="82">
        <f t="shared" si="29"/>
        <v>0</v>
      </c>
      <c r="T136" s="283"/>
      <c r="V136" s="52">
        <f>S136-S117</f>
        <v>0</v>
      </c>
    </row>
    <row r="137" spans="1:23" ht="15" customHeight="1" x14ac:dyDescent="0.25">
      <c r="C137" s="275"/>
      <c r="D137" s="99" t="s">
        <v>153</v>
      </c>
      <c r="E137" s="99" t="s">
        <v>172</v>
      </c>
      <c r="F137" s="82"/>
      <c r="G137" s="82"/>
      <c r="H137" s="82"/>
      <c r="I137" s="82"/>
      <c r="J137" s="82"/>
      <c r="K137" s="82"/>
      <c r="L137" s="82"/>
      <c r="M137" s="140"/>
      <c r="N137" s="82"/>
      <c r="O137" s="82"/>
      <c r="P137" s="82"/>
      <c r="Q137" s="82"/>
      <c r="R137" s="82"/>
      <c r="S137" s="82">
        <f t="shared" si="29"/>
        <v>0</v>
      </c>
      <c r="T137" s="283"/>
      <c r="U137" s="52"/>
      <c r="V137" s="52">
        <f>S137-S118</f>
        <v>0</v>
      </c>
      <c r="W137" s="55" t="s">
        <v>281</v>
      </c>
    </row>
    <row r="138" spans="1:23" s="41" customFormat="1" ht="15" customHeight="1" x14ac:dyDescent="0.25">
      <c r="A138" s="45"/>
      <c r="B138" s="45"/>
      <c r="C138" s="276"/>
      <c r="D138" s="99" t="s">
        <v>153</v>
      </c>
      <c r="E138" s="99" t="s">
        <v>173</v>
      </c>
      <c r="F138" s="82"/>
      <c r="G138" s="82"/>
      <c r="H138" s="82"/>
      <c r="I138" s="82"/>
      <c r="J138" s="82"/>
      <c r="K138" s="82"/>
      <c r="L138" s="82"/>
      <c r="M138" s="140"/>
      <c r="N138" s="82"/>
      <c r="O138" s="82"/>
      <c r="P138" s="82"/>
      <c r="Q138" s="82">
        <f>40508/12</f>
        <v>3375.6666666666665</v>
      </c>
      <c r="R138" s="82"/>
      <c r="S138" s="82">
        <f t="shared" si="29"/>
        <v>3375.6666666666665</v>
      </c>
      <c r="T138" s="283"/>
      <c r="V138" s="52">
        <f>S138-S119</f>
        <v>0</v>
      </c>
    </row>
    <row r="139" spans="1:23" ht="15.75" customHeight="1" thickBot="1" x14ac:dyDescent="0.3">
      <c r="A139" s="41"/>
      <c r="B139" s="41"/>
      <c r="C139" s="276"/>
      <c r="D139" s="100" t="s">
        <v>153</v>
      </c>
      <c r="E139" s="100" t="s">
        <v>168</v>
      </c>
      <c r="F139" s="48"/>
      <c r="G139" s="48"/>
      <c r="H139" s="48"/>
      <c r="I139" s="48"/>
      <c r="J139" s="48"/>
      <c r="K139" s="48"/>
      <c r="L139" s="48"/>
      <c r="M139" s="141"/>
      <c r="N139" s="48"/>
      <c r="O139" s="48"/>
      <c r="P139" s="48"/>
      <c r="Q139" s="48"/>
      <c r="R139" s="48"/>
      <c r="S139" s="48">
        <f t="shared" si="29"/>
        <v>0</v>
      </c>
      <c r="T139" s="283"/>
      <c r="V139" s="52">
        <f>S139-S120</f>
        <v>0</v>
      </c>
    </row>
    <row r="140" spans="1:23" ht="15" customHeight="1" x14ac:dyDescent="0.25">
      <c r="D140" s="101" t="s">
        <v>120</v>
      </c>
      <c r="E140" s="101" t="s">
        <v>120</v>
      </c>
      <c r="F140" s="64">
        <f>SUM(F123:F139)</f>
        <v>3326</v>
      </c>
      <c r="G140" s="64">
        <f>SUM(G123:G139)</f>
        <v>0</v>
      </c>
      <c r="H140" s="64">
        <f>SUM(H123:H139)</f>
        <v>0</v>
      </c>
      <c r="I140" s="64">
        <f t="shared" ref="I140:P140" si="31">SUM(I123:I139)</f>
        <v>40192.5</v>
      </c>
      <c r="J140" s="64">
        <f t="shared" si="31"/>
        <v>0</v>
      </c>
      <c r="K140" s="64">
        <f t="shared" si="31"/>
        <v>0</v>
      </c>
      <c r="L140" s="64">
        <f t="shared" si="31"/>
        <v>0</v>
      </c>
      <c r="M140" s="150">
        <f t="shared" si="31"/>
        <v>0</v>
      </c>
      <c r="N140" s="64">
        <f t="shared" si="31"/>
        <v>0</v>
      </c>
      <c r="O140" s="64">
        <f t="shared" si="31"/>
        <v>0</v>
      </c>
      <c r="P140" s="64">
        <f t="shared" si="31"/>
        <v>0</v>
      </c>
      <c r="Q140" s="64">
        <f>SUM(Q123:Q139)</f>
        <v>14463.666666666666</v>
      </c>
      <c r="R140" s="64">
        <f>SUM(R123:R139)</f>
        <v>0</v>
      </c>
      <c r="S140" s="54">
        <f>SUM(S123:S139)</f>
        <v>57982.166666666664</v>
      </c>
    </row>
    <row r="141" spans="1:23" ht="15.75" customHeight="1" thickBot="1" x14ac:dyDescent="0.3">
      <c r="M141" s="151"/>
    </row>
    <row r="142" spans="1:23" ht="17.25" x14ac:dyDescent="0.25">
      <c r="A142" s="166" t="s">
        <v>188</v>
      </c>
      <c r="B142" s="167">
        <f>B123+1</f>
        <v>202708</v>
      </c>
      <c r="C142" s="275">
        <f>B142</f>
        <v>202708</v>
      </c>
      <c r="D142" s="94" t="s">
        <v>151</v>
      </c>
      <c r="E142" s="177" t="s">
        <v>252</v>
      </c>
      <c r="F142" s="60"/>
      <c r="G142" s="59"/>
      <c r="H142" s="59"/>
      <c r="I142" s="60"/>
      <c r="J142" s="59"/>
      <c r="K142" s="60"/>
      <c r="L142" s="60"/>
      <c r="M142" s="148"/>
      <c r="N142" s="60"/>
      <c r="O142" s="60"/>
      <c r="P142" s="60"/>
      <c r="Q142" s="60">
        <f>2000+2000+2000+2000</f>
        <v>8000</v>
      </c>
      <c r="R142" s="60"/>
      <c r="S142" s="44">
        <f t="shared" ref="S142:S158" si="32">SUM(F142:R142)</f>
        <v>8000</v>
      </c>
      <c r="T142" s="277">
        <f>SUM(S142:S148)</f>
        <v>14414</v>
      </c>
    </row>
    <row r="143" spans="1:23" ht="15" customHeight="1" thickBot="1" x14ac:dyDescent="0.3">
      <c r="A143" s="164" t="s">
        <v>247</v>
      </c>
      <c r="B143" s="162">
        <f>$J$2</f>
        <v>166666.66666666666</v>
      </c>
      <c r="C143" s="275"/>
      <c r="D143" s="95" t="s">
        <v>151</v>
      </c>
      <c r="E143" s="176" t="s">
        <v>251</v>
      </c>
      <c r="F143" s="79"/>
      <c r="G143" s="78"/>
      <c r="H143" s="78"/>
      <c r="I143" s="79"/>
      <c r="J143" s="78"/>
      <c r="K143" s="79"/>
      <c r="L143" s="79"/>
      <c r="M143" s="149"/>
      <c r="N143" s="79"/>
      <c r="O143" s="79"/>
      <c r="P143" s="79"/>
      <c r="Q143" s="79"/>
      <c r="R143" s="79"/>
      <c r="S143" s="80">
        <f t="shared" si="32"/>
        <v>0</v>
      </c>
      <c r="T143" s="278"/>
    </row>
    <row r="144" spans="1:23" ht="15" customHeight="1" thickTop="1" x14ac:dyDescent="0.25">
      <c r="A144" s="165" t="s">
        <v>237</v>
      </c>
      <c r="B144" s="182">
        <f>SUMPRODUCT((($V$10:$V$21)&lt;=VALUE(B142))*($Z$10:$Z$21))</f>
        <v>254204.99999999997</v>
      </c>
      <c r="C144" s="275"/>
      <c r="D144" s="95" t="s">
        <v>151</v>
      </c>
      <c r="E144" s="176" t="s">
        <v>254</v>
      </c>
      <c r="F144" s="79">
        <v>3326</v>
      </c>
      <c r="G144" s="78"/>
      <c r="H144" s="78"/>
      <c r="I144" s="79"/>
      <c r="J144" s="78"/>
      <c r="K144" s="79"/>
      <c r="L144" s="79"/>
      <c r="M144" s="149"/>
      <c r="N144" s="79"/>
      <c r="O144" s="79"/>
      <c r="P144" s="79"/>
      <c r="Q144" s="79">
        <f>9491-7000</f>
        <v>2491</v>
      </c>
      <c r="R144" s="79"/>
      <c r="S144" s="80">
        <f t="shared" si="32"/>
        <v>5817</v>
      </c>
      <c r="T144" s="278"/>
    </row>
    <row r="145" spans="1:20" ht="15" customHeight="1" x14ac:dyDescent="0.25">
      <c r="A145" s="165" t="s">
        <v>264</v>
      </c>
      <c r="B145" s="181">
        <f>B144/SUMPRODUCT(('2027'!$V$10:$V$21&lt;='2027'!B142)*'2022'!$Z$10:$Z$21)</f>
        <v>0.20182191908068825</v>
      </c>
      <c r="C145" s="275"/>
      <c r="D145" s="95" t="s">
        <v>151</v>
      </c>
      <c r="E145" s="176" t="s">
        <v>255</v>
      </c>
      <c r="F145" s="79"/>
      <c r="G145" s="78"/>
      <c r="H145" s="78"/>
      <c r="I145" s="79"/>
      <c r="J145" s="78"/>
      <c r="K145" s="79"/>
      <c r="L145" s="79"/>
      <c r="M145" s="149"/>
      <c r="N145" s="79"/>
      <c r="O145" s="79"/>
      <c r="P145" s="79"/>
      <c r="Q145" s="79">
        <v>597</v>
      </c>
      <c r="R145" s="79"/>
      <c r="S145" s="80">
        <f t="shared" si="32"/>
        <v>597</v>
      </c>
      <c r="T145" s="278"/>
    </row>
    <row r="146" spans="1:20" ht="15" customHeight="1" x14ac:dyDescent="0.25">
      <c r="A146" s="165" t="s">
        <v>236</v>
      </c>
      <c r="B146" s="186">
        <f>B144-$K$2*VALUE(RIGHT(B142,2))/9</f>
        <v>254204.99999999997</v>
      </c>
      <c r="C146" s="275"/>
      <c r="D146" s="96" t="s">
        <v>151</v>
      </c>
      <c r="E146" s="176" t="s">
        <v>256</v>
      </c>
      <c r="F146" s="79"/>
      <c r="G146" s="78"/>
      <c r="H146" s="78"/>
      <c r="I146" s="78"/>
      <c r="J146" s="78"/>
      <c r="K146" s="79"/>
      <c r="L146" s="79"/>
      <c r="M146" s="149"/>
      <c r="N146" s="79"/>
      <c r="O146" s="79"/>
      <c r="P146" s="79"/>
      <c r="Q146" s="79"/>
      <c r="R146" s="79"/>
      <c r="S146" s="80">
        <f t="shared" si="32"/>
        <v>0</v>
      </c>
      <c r="T146" s="278"/>
    </row>
    <row r="147" spans="1:20" ht="15" customHeight="1" x14ac:dyDescent="0.25">
      <c r="A147" s="164" t="s">
        <v>242</v>
      </c>
      <c r="B147" s="157">
        <f>B146/($J$2*12)</f>
        <v>0.12710249999999998</v>
      </c>
      <c r="C147" s="275"/>
      <c r="D147" s="95" t="s">
        <v>151</v>
      </c>
      <c r="E147" s="176" t="s">
        <v>257</v>
      </c>
      <c r="F147" s="79"/>
      <c r="G147" s="78"/>
      <c r="H147" s="78"/>
      <c r="I147" s="79"/>
      <c r="J147" s="78"/>
      <c r="K147" s="79"/>
      <c r="L147" s="79"/>
      <c r="M147" s="149"/>
      <c r="N147" s="79"/>
      <c r="O147" s="79"/>
      <c r="P147" s="79"/>
      <c r="Q147" s="79"/>
      <c r="R147" s="79"/>
      <c r="S147" s="80">
        <f t="shared" si="32"/>
        <v>0</v>
      </c>
      <c r="T147" s="278"/>
    </row>
    <row r="148" spans="1:20" ht="15" customHeight="1" x14ac:dyDescent="0.25">
      <c r="A148" s="164" t="s">
        <v>282</v>
      </c>
      <c r="B148" s="126">
        <f>VALUE(RIGHT(B142,2))/12</f>
        <v>0.66666666666666663</v>
      </c>
      <c r="C148" s="275"/>
      <c r="D148" s="95" t="s">
        <v>151</v>
      </c>
      <c r="E148" s="176" t="s">
        <v>263</v>
      </c>
      <c r="F148" s="78"/>
      <c r="G148" s="78"/>
      <c r="H148" s="78"/>
      <c r="I148" s="79"/>
      <c r="J148" s="78"/>
      <c r="K148" s="79"/>
      <c r="L148" s="79"/>
      <c r="M148" s="149"/>
      <c r="N148" s="79"/>
      <c r="O148" s="79"/>
      <c r="P148" s="79"/>
      <c r="Q148" s="79"/>
      <c r="R148" s="79"/>
      <c r="S148" s="80">
        <f t="shared" si="32"/>
        <v>0</v>
      </c>
      <c r="T148" s="279"/>
    </row>
    <row r="149" spans="1:20" ht="15" customHeight="1" x14ac:dyDescent="0.25">
      <c r="A149" s="164" t="s">
        <v>243</v>
      </c>
      <c r="B149" s="161">
        <f>B143*VALUE(RIGHT(B142,2))-B146</f>
        <v>1079128.3333333333</v>
      </c>
      <c r="C149" s="275"/>
      <c r="D149" s="97" t="s">
        <v>152</v>
      </c>
      <c r="E149" s="97" t="s">
        <v>144</v>
      </c>
      <c r="F149" s="85"/>
      <c r="G149" s="46"/>
      <c r="H149" s="85"/>
      <c r="I149" s="46"/>
      <c r="J149" s="46"/>
      <c r="K149" s="46"/>
      <c r="L149" s="46"/>
      <c r="M149" s="152"/>
      <c r="N149" s="46"/>
      <c r="O149" s="86"/>
      <c r="P149" s="46"/>
      <c r="Q149" s="46"/>
      <c r="R149" s="46"/>
      <c r="S149" s="83">
        <f t="shared" si="32"/>
        <v>0</v>
      </c>
      <c r="T149" s="280">
        <f>SUM(S149:S153)</f>
        <v>0</v>
      </c>
    </row>
    <row r="150" spans="1:20" ht="15" customHeight="1" x14ac:dyDescent="0.25">
      <c r="A150" s="164" t="s">
        <v>265</v>
      </c>
      <c r="B150" s="184">
        <f>$J$2-(S159-F156)</f>
        <v>148877</v>
      </c>
      <c r="C150" s="275"/>
      <c r="D150" s="97" t="s">
        <v>152</v>
      </c>
      <c r="E150" s="97" t="s">
        <v>145</v>
      </c>
      <c r="F150" s="85"/>
      <c r="G150" s="46"/>
      <c r="H150" s="85"/>
      <c r="I150" s="46"/>
      <c r="J150" s="46"/>
      <c r="K150" s="46"/>
      <c r="L150" s="46"/>
      <c r="M150" s="152"/>
      <c r="N150" s="46"/>
      <c r="O150" s="86"/>
      <c r="P150" s="46"/>
      <c r="Q150" s="46"/>
      <c r="R150" s="46"/>
      <c r="S150" s="83">
        <f t="shared" si="32"/>
        <v>0</v>
      </c>
      <c r="T150" s="281"/>
    </row>
    <row r="151" spans="1:20" ht="15" customHeight="1" x14ac:dyDescent="0.25">
      <c r="C151" s="275"/>
      <c r="D151" s="97" t="s">
        <v>152</v>
      </c>
      <c r="E151" s="97" t="s">
        <v>146</v>
      </c>
      <c r="F151" s="86"/>
      <c r="G151" s="46"/>
      <c r="H151" s="87"/>
      <c r="I151" s="46"/>
      <c r="J151" s="46"/>
      <c r="K151" s="46"/>
      <c r="L151" s="46"/>
      <c r="M151" s="152"/>
      <c r="N151" s="46"/>
      <c r="O151" s="86"/>
      <c r="P151" s="46"/>
      <c r="Q151" s="46"/>
      <c r="R151" s="46"/>
      <c r="S151" s="83">
        <f t="shared" si="32"/>
        <v>0</v>
      </c>
      <c r="T151" s="281"/>
    </row>
    <row r="152" spans="1:20" ht="15" customHeight="1" x14ac:dyDescent="0.25">
      <c r="C152" s="275"/>
      <c r="D152" s="97" t="s">
        <v>152</v>
      </c>
      <c r="E152" s="97" t="s">
        <v>147</v>
      </c>
      <c r="F152" s="85"/>
      <c r="G152" s="46"/>
      <c r="H152" s="87"/>
      <c r="I152" s="46"/>
      <c r="J152" s="46"/>
      <c r="K152" s="46"/>
      <c r="L152" s="46"/>
      <c r="M152" s="152"/>
      <c r="N152" s="46"/>
      <c r="O152" s="86"/>
      <c r="P152" s="46"/>
      <c r="Q152" s="86"/>
      <c r="R152" s="46"/>
      <c r="S152" s="83">
        <f t="shared" si="32"/>
        <v>0</v>
      </c>
      <c r="T152" s="281"/>
    </row>
    <row r="153" spans="1:20" ht="15" customHeight="1" x14ac:dyDescent="0.25">
      <c r="C153" s="275"/>
      <c r="D153" s="97" t="s">
        <v>152</v>
      </c>
      <c r="E153" s="97" t="s">
        <v>168</v>
      </c>
      <c r="F153" s="85"/>
      <c r="G153" s="46"/>
      <c r="H153" s="46"/>
      <c r="I153" s="46"/>
      <c r="J153" s="46"/>
      <c r="K153" s="46"/>
      <c r="L153" s="46"/>
      <c r="M153" s="152"/>
      <c r="N153" s="46"/>
      <c r="O153" s="86"/>
      <c r="P153" s="46"/>
      <c r="Q153" s="46"/>
      <c r="R153" s="46"/>
      <c r="S153" s="83">
        <f t="shared" si="32"/>
        <v>0</v>
      </c>
      <c r="T153" s="281"/>
    </row>
    <row r="154" spans="1:20" ht="15" customHeight="1" x14ac:dyDescent="0.25">
      <c r="C154" s="275"/>
      <c r="D154" s="98" t="s">
        <v>153</v>
      </c>
      <c r="E154" s="98" t="s">
        <v>170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>
        <f t="shared" si="32"/>
        <v>0</v>
      </c>
      <c r="T154" s="282">
        <f>SUM(S154:S158)</f>
        <v>3375.6666666666665</v>
      </c>
    </row>
    <row r="155" spans="1:20" ht="15" customHeight="1" x14ac:dyDescent="0.25">
      <c r="C155" s="275"/>
      <c r="D155" s="99" t="s">
        <v>153</v>
      </c>
      <c r="E155" s="99" t="s">
        <v>171</v>
      </c>
      <c r="F155" s="82"/>
      <c r="G155" s="82"/>
      <c r="H155" s="82"/>
      <c r="I155" s="82"/>
      <c r="J155" s="82"/>
      <c r="K155" s="82"/>
      <c r="L155" s="82"/>
      <c r="M155" s="140"/>
      <c r="N155" s="82"/>
      <c r="O155" s="82"/>
      <c r="P155" s="82"/>
      <c r="Q155" s="82"/>
      <c r="R155" s="82"/>
      <c r="S155" s="82">
        <f t="shared" si="32"/>
        <v>0</v>
      </c>
      <c r="T155" s="283"/>
    </row>
    <row r="156" spans="1:20" ht="15" customHeight="1" x14ac:dyDescent="0.25">
      <c r="C156" s="275"/>
      <c r="D156" s="99" t="s">
        <v>153</v>
      </c>
      <c r="E156" s="99" t="s">
        <v>172</v>
      </c>
      <c r="F156" s="82"/>
      <c r="G156" s="82"/>
      <c r="H156" s="82"/>
      <c r="I156" s="82"/>
      <c r="J156" s="82"/>
      <c r="K156" s="82"/>
      <c r="L156" s="82"/>
      <c r="M156" s="140"/>
      <c r="N156" s="82"/>
      <c r="O156" s="82"/>
      <c r="P156" s="82"/>
      <c r="Q156" s="82"/>
      <c r="R156" s="82"/>
      <c r="S156" s="82">
        <f t="shared" si="32"/>
        <v>0</v>
      </c>
      <c r="T156" s="283"/>
    </row>
    <row r="157" spans="1:20" s="41" customFormat="1" ht="15" customHeight="1" x14ac:dyDescent="0.25">
      <c r="A157" s="45"/>
      <c r="B157" s="52"/>
      <c r="C157" s="276"/>
      <c r="D157" s="99" t="s">
        <v>153</v>
      </c>
      <c r="E157" s="99" t="s">
        <v>173</v>
      </c>
      <c r="F157" s="82"/>
      <c r="G157" s="82"/>
      <c r="H157" s="82"/>
      <c r="I157" s="82"/>
      <c r="J157" s="82"/>
      <c r="K157" s="82"/>
      <c r="L157" s="82"/>
      <c r="M157" s="140"/>
      <c r="N157" s="82"/>
      <c r="O157" s="82"/>
      <c r="P157" s="82"/>
      <c r="Q157" s="82">
        <f>40508/12</f>
        <v>3375.6666666666665</v>
      </c>
      <c r="R157" s="82"/>
      <c r="S157" s="82">
        <f t="shared" si="32"/>
        <v>3375.6666666666665</v>
      </c>
      <c r="T157" s="283"/>
    </row>
    <row r="158" spans="1:20" ht="15.75" customHeight="1" thickBot="1" x14ac:dyDescent="0.3">
      <c r="A158" s="41"/>
      <c r="B158" s="163"/>
      <c r="C158" s="276"/>
      <c r="D158" s="100" t="s">
        <v>153</v>
      </c>
      <c r="E158" s="100" t="s">
        <v>168</v>
      </c>
      <c r="F158" s="48"/>
      <c r="G158" s="48"/>
      <c r="H158" s="48"/>
      <c r="I158" s="48"/>
      <c r="J158" s="48"/>
      <c r="K158" s="48"/>
      <c r="L158" s="48"/>
      <c r="M158" s="141"/>
      <c r="N158" s="48"/>
      <c r="O158" s="48"/>
      <c r="P158" s="48"/>
      <c r="Q158" s="48"/>
      <c r="R158" s="48"/>
      <c r="S158" s="48">
        <f t="shared" si="32"/>
        <v>0</v>
      </c>
      <c r="T158" s="283"/>
    </row>
    <row r="159" spans="1:20" ht="15" customHeight="1" x14ac:dyDescent="0.25">
      <c r="D159" s="101" t="s">
        <v>120</v>
      </c>
      <c r="E159" s="101" t="s">
        <v>120</v>
      </c>
      <c r="F159" s="64">
        <f>SUM(F142:F158)</f>
        <v>3326</v>
      </c>
      <c r="G159" s="64">
        <f>SUM(G142:G158)</f>
        <v>0</v>
      </c>
      <c r="H159" s="64">
        <f>SUM(H142:H158)</f>
        <v>0</v>
      </c>
      <c r="I159" s="64">
        <f t="shared" ref="I159:P159" si="33">SUM(I142:I158)</f>
        <v>0</v>
      </c>
      <c r="J159" s="64">
        <f t="shared" si="33"/>
        <v>0</v>
      </c>
      <c r="K159" s="64">
        <f t="shared" si="33"/>
        <v>0</v>
      </c>
      <c r="L159" s="64">
        <f t="shared" si="33"/>
        <v>0</v>
      </c>
      <c r="M159" s="150">
        <f t="shared" si="33"/>
        <v>0</v>
      </c>
      <c r="N159" s="64">
        <f t="shared" si="33"/>
        <v>0</v>
      </c>
      <c r="O159" s="64">
        <f t="shared" si="33"/>
        <v>0</v>
      </c>
      <c r="P159" s="64">
        <f t="shared" si="33"/>
        <v>0</v>
      </c>
      <c r="Q159" s="64">
        <f>SUM(Q142:Q158)</f>
        <v>14463.666666666666</v>
      </c>
      <c r="R159" s="64">
        <f>SUM(R142:R158)</f>
        <v>0</v>
      </c>
      <c r="S159" s="54">
        <f>SUM(S142:S158)</f>
        <v>17789.666666666668</v>
      </c>
    </row>
    <row r="160" spans="1:20" ht="15.75" customHeight="1" thickBot="1" x14ac:dyDescent="0.3">
      <c r="M160" s="151"/>
    </row>
    <row r="161" spans="1:20" ht="17.25" x14ac:dyDescent="0.25">
      <c r="A161" s="166" t="s">
        <v>188</v>
      </c>
      <c r="B161" s="167">
        <f>B142+1</f>
        <v>202709</v>
      </c>
      <c r="C161" s="275">
        <f>B161</f>
        <v>202709</v>
      </c>
      <c r="D161" s="94" t="s">
        <v>151</v>
      </c>
      <c r="E161" s="177" t="s">
        <v>252</v>
      </c>
      <c r="F161" s="60"/>
      <c r="G161" s="59"/>
      <c r="H161" s="59"/>
      <c r="I161" s="60"/>
      <c r="J161" s="59"/>
      <c r="K161" s="60"/>
      <c r="L161" s="60"/>
      <c r="M161" s="148"/>
      <c r="N161" s="60"/>
      <c r="O161" s="60"/>
      <c r="P161" s="60"/>
      <c r="Q161" s="60">
        <f>2000+2000+2000+2000</f>
        <v>8000</v>
      </c>
      <c r="R161" s="60"/>
      <c r="S161" s="44">
        <f t="shared" ref="S161:S177" si="34">SUM(F161:R161)</f>
        <v>8000</v>
      </c>
      <c r="T161" s="277">
        <f>SUM(S161:S167)</f>
        <v>20914</v>
      </c>
    </row>
    <row r="162" spans="1:20" ht="15" customHeight="1" thickBot="1" x14ac:dyDescent="0.3">
      <c r="A162" s="164" t="s">
        <v>247</v>
      </c>
      <c r="B162" s="162">
        <f>$J$2</f>
        <v>166666.66666666666</v>
      </c>
      <c r="C162" s="275"/>
      <c r="D162" s="95" t="s">
        <v>151</v>
      </c>
      <c r="E162" s="176" t="s">
        <v>251</v>
      </c>
      <c r="F162" s="79"/>
      <c r="G162" s="78"/>
      <c r="H162" s="78"/>
      <c r="I162" s="79"/>
      <c r="J162" s="78"/>
      <c r="K162" s="79"/>
      <c r="L162" s="79"/>
      <c r="M162" s="149"/>
      <c r="N162" s="79"/>
      <c r="O162" s="79"/>
      <c r="P162" s="79"/>
      <c r="Q162" s="79"/>
      <c r="R162" s="79"/>
      <c r="S162" s="80">
        <f t="shared" si="34"/>
        <v>0</v>
      </c>
      <c r="T162" s="278"/>
    </row>
    <row r="163" spans="1:20" ht="15" customHeight="1" thickTop="1" x14ac:dyDescent="0.25">
      <c r="A163" s="165" t="s">
        <v>237</v>
      </c>
      <c r="B163" s="182">
        <f>SUMPRODUCT((($V$10:$V$21)&lt;=VALUE(B161))*($Z$10:$Z$21))</f>
        <v>278494.66666666663</v>
      </c>
      <c r="C163" s="275"/>
      <c r="D163" s="95" t="s">
        <v>151</v>
      </c>
      <c r="E163" s="176" t="s">
        <v>254</v>
      </c>
      <c r="F163" s="79">
        <v>3326</v>
      </c>
      <c r="G163" s="78"/>
      <c r="H163" s="78"/>
      <c r="I163" s="79"/>
      <c r="J163" s="78"/>
      <c r="K163" s="79"/>
      <c r="L163" s="79"/>
      <c r="M163" s="149"/>
      <c r="N163" s="79"/>
      <c r="O163" s="79"/>
      <c r="P163" s="79"/>
      <c r="Q163" s="79">
        <f>9491-7000</f>
        <v>2491</v>
      </c>
      <c r="R163" s="79"/>
      <c r="S163" s="80">
        <f t="shared" si="34"/>
        <v>5817</v>
      </c>
      <c r="T163" s="278"/>
    </row>
    <row r="164" spans="1:20" ht="15" customHeight="1" x14ac:dyDescent="0.25">
      <c r="A164" s="165" t="s">
        <v>264</v>
      </c>
      <c r="B164" s="181">
        <f>B163/SUMPRODUCT(('2027'!$V$10:$V$21&lt;='2027'!B161)*'2022'!$Z$10:$Z$21)</f>
        <v>0.19073879767648069</v>
      </c>
      <c r="C164" s="275"/>
      <c r="D164" s="95" t="s">
        <v>151</v>
      </c>
      <c r="E164" s="176" t="s">
        <v>255</v>
      </c>
      <c r="F164" s="79"/>
      <c r="G164" s="78"/>
      <c r="H164" s="78"/>
      <c r="I164" s="79"/>
      <c r="J164" s="78"/>
      <c r="K164" s="79"/>
      <c r="L164" s="79"/>
      <c r="M164" s="149"/>
      <c r="N164" s="79"/>
      <c r="O164" s="79"/>
      <c r="P164" s="79"/>
      <c r="Q164" s="79">
        <v>597</v>
      </c>
      <c r="R164" s="79"/>
      <c r="S164" s="80">
        <f t="shared" si="34"/>
        <v>597</v>
      </c>
      <c r="T164" s="278"/>
    </row>
    <row r="165" spans="1:20" ht="15" customHeight="1" x14ac:dyDescent="0.25">
      <c r="A165" s="165" t="s">
        <v>236</v>
      </c>
      <c r="B165" s="186">
        <f>B163-$K$2*VALUE(RIGHT(B161,2))/9</f>
        <v>278494.66666666663</v>
      </c>
      <c r="C165" s="275"/>
      <c r="D165" s="96" t="s">
        <v>151</v>
      </c>
      <c r="E165" s="176" t="s">
        <v>256</v>
      </c>
      <c r="F165" s="79">
        <v>6500</v>
      </c>
      <c r="G165" s="78"/>
      <c r="H165" s="78"/>
      <c r="I165" s="78"/>
      <c r="J165" s="78"/>
      <c r="K165" s="79"/>
      <c r="L165" s="79"/>
      <c r="M165" s="149"/>
      <c r="N165" s="79"/>
      <c r="O165" s="79"/>
      <c r="P165" s="79"/>
      <c r="Q165" s="79"/>
      <c r="R165" s="79"/>
      <c r="S165" s="80">
        <f t="shared" si="34"/>
        <v>6500</v>
      </c>
      <c r="T165" s="278"/>
    </row>
    <row r="166" spans="1:20" ht="15" customHeight="1" x14ac:dyDescent="0.25">
      <c r="A166" s="164" t="s">
        <v>242</v>
      </c>
      <c r="B166" s="157">
        <f>B165/($J$2*12)</f>
        <v>0.13924733333333331</v>
      </c>
      <c r="C166" s="275"/>
      <c r="D166" s="95" t="s">
        <v>151</v>
      </c>
      <c r="E166" s="176" t="s">
        <v>257</v>
      </c>
      <c r="F166" s="79"/>
      <c r="G166" s="78"/>
      <c r="H166" s="78"/>
      <c r="I166" s="79"/>
      <c r="J166" s="78"/>
      <c r="K166" s="79"/>
      <c r="L166" s="79"/>
      <c r="M166" s="149"/>
      <c r="N166" s="79"/>
      <c r="O166" s="79"/>
      <c r="P166" s="79"/>
      <c r="Q166" s="79"/>
      <c r="R166" s="79"/>
      <c r="S166" s="80">
        <f t="shared" si="34"/>
        <v>0</v>
      </c>
      <c r="T166" s="278"/>
    </row>
    <row r="167" spans="1:20" ht="15" customHeight="1" x14ac:dyDescent="0.25">
      <c r="A167" s="164" t="s">
        <v>282</v>
      </c>
      <c r="B167" s="126">
        <f>VALUE(RIGHT(B161,2))/12</f>
        <v>0.75</v>
      </c>
      <c r="C167" s="275"/>
      <c r="D167" s="95" t="s">
        <v>151</v>
      </c>
      <c r="E167" s="176" t="s">
        <v>263</v>
      </c>
      <c r="F167" s="78"/>
      <c r="G167" s="78"/>
      <c r="H167" s="78"/>
      <c r="I167" s="79"/>
      <c r="J167" s="78"/>
      <c r="K167" s="79"/>
      <c r="L167" s="79"/>
      <c r="M167" s="149"/>
      <c r="N167" s="79"/>
      <c r="O167" s="79"/>
      <c r="P167" s="79"/>
      <c r="Q167" s="79"/>
      <c r="R167" s="79"/>
      <c r="S167" s="80">
        <f t="shared" si="34"/>
        <v>0</v>
      </c>
      <c r="T167" s="279"/>
    </row>
    <row r="168" spans="1:20" ht="15" customHeight="1" x14ac:dyDescent="0.25">
      <c r="A168" s="164" t="s">
        <v>243</v>
      </c>
      <c r="B168" s="161">
        <f>B162*VALUE(RIGHT(B161,2))-B165</f>
        <v>1221505.3333333335</v>
      </c>
      <c r="C168" s="275"/>
      <c r="D168" s="97" t="s">
        <v>152</v>
      </c>
      <c r="E168" s="97" t="s">
        <v>144</v>
      </c>
      <c r="F168" s="85"/>
      <c r="G168" s="46"/>
      <c r="H168" s="85"/>
      <c r="I168" s="46"/>
      <c r="J168" s="46"/>
      <c r="K168" s="46"/>
      <c r="L168" s="46"/>
      <c r="M168" s="152"/>
      <c r="N168" s="46"/>
      <c r="O168" s="89"/>
      <c r="P168" s="46"/>
      <c r="Q168" s="46"/>
      <c r="R168" s="46"/>
      <c r="S168" s="83">
        <f t="shared" si="34"/>
        <v>0</v>
      </c>
      <c r="T168" s="280">
        <f>SUM(S168:S172)</f>
        <v>0</v>
      </c>
    </row>
    <row r="169" spans="1:20" ht="15" customHeight="1" x14ac:dyDescent="0.25">
      <c r="A169" s="164" t="s">
        <v>265</v>
      </c>
      <c r="B169" s="184">
        <f>$J$2-(S178-F175)</f>
        <v>142377</v>
      </c>
      <c r="C169" s="275"/>
      <c r="D169" s="97" t="s">
        <v>152</v>
      </c>
      <c r="E169" s="97" t="s">
        <v>145</v>
      </c>
      <c r="F169" s="85"/>
      <c r="G169" s="46"/>
      <c r="H169" s="85"/>
      <c r="I169" s="46"/>
      <c r="J169" s="46"/>
      <c r="K169" s="46"/>
      <c r="L169" s="46"/>
      <c r="M169" s="152"/>
      <c r="N169" s="46"/>
      <c r="O169" s="46"/>
      <c r="P169" s="46"/>
      <c r="Q169" s="46"/>
      <c r="R169" s="46"/>
      <c r="S169" s="83">
        <f t="shared" si="34"/>
        <v>0</v>
      </c>
      <c r="T169" s="281"/>
    </row>
    <row r="170" spans="1:20" ht="15" customHeight="1" x14ac:dyDescent="0.25">
      <c r="C170" s="275"/>
      <c r="D170" s="97" t="s">
        <v>152</v>
      </c>
      <c r="E170" s="97" t="s">
        <v>146</v>
      </c>
      <c r="F170" s="85"/>
      <c r="G170" s="46"/>
      <c r="H170" s="87"/>
      <c r="I170" s="46"/>
      <c r="J170" s="46"/>
      <c r="K170" s="46"/>
      <c r="L170" s="46"/>
      <c r="M170" s="152"/>
      <c r="N170" s="46"/>
      <c r="O170" s="46"/>
      <c r="P170" s="46"/>
      <c r="Q170" s="46"/>
      <c r="R170" s="46"/>
      <c r="S170" s="83">
        <f t="shared" si="34"/>
        <v>0</v>
      </c>
      <c r="T170" s="281"/>
    </row>
    <row r="171" spans="1:20" ht="15" customHeight="1" x14ac:dyDescent="0.25">
      <c r="C171" s="275"/>
      <c r="D171" s="97" t="s">
        <v>152</v>
      </c>
      <c r="E171" s="97" t="s">
        <v>147</v>
      </c>
      <c r="F171" s="85"/>
      <c r="G171" s="46"/>
      <c r="H171" s="87"/>
      <c r="I171" s="46"/>
      <c r="J171" s="46"/>
      <c r="K171" s="46"/>
      <c r="L171" s="46"/>
      <c r="M171" s="152"/>
      <c r="N171" s="46"/>
      <c r="O171" s="46"/>
      <c r="P171" s="46"/>
      <c r="Q171" s="46"/>
      <c r="R171" s="46"/>
      <c r="S171" s="83">
        <f t="shared" si="34"/>
        <v>0</v>
      </c>
      <c r="T171" s="281"/>
    </row>
    <row r="172" spans="1:20" ht="15" customHeight="1" x14ac:dyDescent="0.25">
      <c r="C172" s="275"/>
      <c r="D172" s="97" t="s">
        <v>152</v>
      </c>
      <c r="E172" s="97" t="s">
        <v>168</v>
      </c>
      <c r="F172" s="85"/>
      <c r="G172" s="46"/>
      <c r="H172" s="46"/>
      <c r="I172" s="46"/>
      <c r="J172" s="46"/>
      <c r="K172" s="46"/>
      <c r="L172" s="46"/>
      <c r="M172" s="152"/>
      <c r="N172" s="46"/>
      <c r="O172" s="86"/>
      <c r="P172" s="46"/>
      <c r="Q172" s="46"/>
      <c r="R172" s="46"/>
      <c r="S172" s="83">
        <f t="shared" si="34"/>
        <v>0</v>
      </c>
      <c r="T172" s="281"/>
    </row>
    <row r="173" spans="1:20" ht="15" customHeight="1" x14ac:dyDescent="0.25">
      <c r="C173" s="275"/>
      <c r="D173" s="98" t="s">
        <v>153</v>
      </c>
      <c r="E173" s="98" t="s">
        <v>170</v>
      </c>
      <c r="F173" s="81"/>
      <c r="G173" s="81"/>
      <c r="H173" s="81"/>
      <c r="I173" s="81"/>
      <c r="J173" s="81"/>
      <c r="K173" s="81"/>
      <c r="L173" s="81"/>
      <c r="M173" s="91"/>
      <c r="N173" s="81"/>
      <c r="O173" s="81"/>
      <c r="P173" s="81"/>
      <c r="Q173" s="81"/>
      <c r="R173" s="81"/>
      <c r="S173" s="81">
        <f t="shared" si="34"/>
        <v>0</v>
      </c>
      <c r="T173" s="282">
        <f>SUM(S173:S177)</f>
        <v>3375.6666666666665</v>
      </c>
    </row>
    <row r="174" spans="1:20" ht="15" customHeight="1" x14ac:dyDescent="0.25">
      <c r="B174" s="52"/>
      <c r="C174" s="275"/>
      <c r="D174" s="99" t="s">
        <v>153</v>
      </c>
      <c r="E174" s="99" t="s">
        <v>171</v>
      </c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>
        <f t="shared" si="34"/>
        <v>0</v>
      </c>
      <c r="T174" s="283"/>
    </row>
    <row r="175" spans="1:20" ht="15" customHeight="1" x14ac:dyDescent="0.25">
      <c r="B175" s="52"/>
      <c r="C175" s="275"/>
      <c r="D175" s="99" t="s">
        <v>153</v>
      </c>
      <c r="E175" s="99" t="s">
        <v>172</v>
      </c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>
        <f t="shared" si="34"/>
        <v>0</v>
      </c>
      <c r="T175" s="283"/>
    </row>
    <row r="176" spans="1:20" s="41" customFormat="1" ht="15" customHeight="1" x14ac:dyDescent="0.25">
      <c r="A176" s="45"/>
      <c r="B176" s="45"/>
      <c r="C176" s="276"/>
      <c r="D176" s="99" t="s">
        <v>153</v>
      </c>
      <c r="E176" s="99" t="s">
        <v>173</v>
      </c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>
        <f>40508/12</f>
        <v>3375.6666666666665</v>
      </c>
      <c r="R176" s="82"/>
      <c r="S176" s="82">
        <f t="shared" si="34"/>
        <v>3375.6666666666665</v>
      </c>
      <c r="T176" s="283"/>
    </row>
    <row r="177" spans="1:20" ht="15.75" customHeight="1" thickBot="1" x14ac:dyDescent="0.3">
      <c r="A177" s="41"/>
      <c r="B177" s="41"/>
      <c r="C177" s="276"/>
      <c r="D177" s="100" t="s">
        <v>153</v>
      </c>
      <c r="E177" s="100" t="s">
        <v>168</v>
      </c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>
        <f t="shared" si="34"/>
        <v>0</v>
      </c>
      <c r="T177" s="283"/>
    </row>
    <row r="178" spans="1:20" ht="15" customHeight="1" x14ac:dyDescent="0.25">
      <c r="D178" s="101" t="s">
        <v>120</v>
      </c>
      <c r="E178" s="101" t="s">
        <v>120</v>
      </c>
      <c r="F178" s="64">
        <f>SUM(F161:F177)</f>
        <v>9826</v>
      </c>
      <c r="G178" s="64">
        <f>SUM(G161:G177)</f>
        <v>0</v>
      </c>
      <c r="H178" s="64">
        <f>SUM(H161:H177)</f>
        <v>0</v>
      </c>
      <c r="I178" s="64">
        <f t="shared" ref="I178:P178" si="35">SUM(I161:I177)</f>
        <v>0</v>
      </c>
      <c r="J178" s="64">
        <f t="shared" si="35"/>
        <v>0</v>
      </c>
      <c r="K178" s="64">
        <f t="shared" si="35"/>
        <v>0</v>
      </c>
      <c r="L178" s="64">
        <f t="shared" si="35"/>
        <v>0</v>
      </c>
      <c r="M178" s="64">
        <f t="shared" si="35"/>
        <v>0</v>
      </c>
      <c r="N178" s="64">
        <f t="shared" si="35"/>
        <v>0</v>
      </c>
      <c r="O178" s="64">
        <f t="shared" si="35"/>
        <v>0</v>
      </c>
      <c r="P178" s="64">
        <f t="shared" si="35"/>
        <v>0</v>
      </c>
      <c r="Q178" s="64">
        <f>SUM(Q161:Q177)</f>
        <v>14463.666666666666</v>
      </c>
      <c r="R178" s="64">
        <f>SUM(R161:R177)</f>
        <v>0</v>
      </c>
      <c r="S178" s="54">
        <f>SUM(S161:S177)</f>
        <v>24289.666666666668</v>
      </c>
    </row>
    <row r="179" spans="1:20" ht="15.75" customHeight="1" thickBot="1" x14ac:dyDescent="0.3"/>
    <row r="180" spans="1:20" ht="17.25" x14ac:dyDescent="0.25">
      <c r="A180" s="166" t="s">
        <v>188</v>
      </c>
      <c r="B180" s="167">
        <f>B161+1</f>
        <v>202710</v>
      </c>
      <c r="C180" s="275">
        <f>B180</f>
        <v>202710</v>
      </c>
      <c r="D180" s="94" t="s">
        <v>151</v>
      </c>
      <c r="E180" s="177" t="s">
        <v>252</v>
      </c>
      <c r="F180" s="60"/>
      <c r="G180" s="59"/>
      <c r="H180" s="59"/>
      <c r="I180" s="60"/>
      <c r="J180" s="59"/>
      <c r="K180" s="60"/>
      <c r="L180" s="60"/>
      <c r="M180" s="60"/>
      <c r="N180" s="60"/>
      <c r="O180" s="60"/>
      <c r="P180" s="60"/>
      <c r="Q180" s="60">
        <f>2000+2000+2000+2000</f>
        <v>8000</v>
      </c>
      <c r="R180" s="60"/>
      <c r="S180" s="44">
        <f t="shared" ref="S180:S196" si="36">SUM(F180:R180)</f>
        <v>8000</v>
      </c>
      <c r="T180" s="277">
        <f>SUM(S180:S186)</f>
        <v>20914</v>
      </c>
    </row>
    <row r="181" spans="1:20" ht="15" customHeight="1" thickBot="1" x14ac:dyDescent="0.3">
      <c r="A181" s="164" t="s">
        <v>247</v>
      </c>
      <c r="B181" s="162">
        <f>$J$2</f>
        <v>166666.66666666666</v>
      </c>
      <c r="C181" s="275"/>
      <c r="D181" s="95" t="s">
        <v>151</v>
      </c>
      <c r="E181" s="176" t="s">
        <v>251</v>
      </c>
      <c r="F181" s="79"/>
      <c r="G181" s="78"/>
      <c r="H181" s="78"/>
      <c r="I181" s="79"/>
      <c r="J181" s="78"/>
      <c r="K181" s="79"/>
      <c r="L181" s="79"/>
      <c r="M181" s="79"/>
      <c r="N181" s="79"/>
      <c r="O181" s="79"/>
      <c r="P181" s="79"/>
      <c r="Q181" s="79"/>
      <c r="R181" s="79"/>
      <c r="S181" s="80">
        <f t="shared" si="36"/>
        <v>0</v>
      </c>
      <c r="T181" s="278"/>
    </row>
    <row r="182" spans="1:20" ht="15" customHeight="1" thickTop="1" x14ac:dyDescent="0.25">
      <c r="A182" s="165" t="s">
        <v>237</v>
      </c>
      <c r="B182" s="182">
        <f>SUMPRODUCT((($V$10:$V$21)&lt;=VALUE(B180))*($Z$10:$Z$21))</f>
        <v>302784.33333333331</v>
      </c>
      <c r="C182" s="275"/>
      <c r="D182" s="95" t="s">
        <v>151</v>
      </c>
      <c r="E182" s="176" t="s">
        <v>254</v>
      </c>
      <c r="F182" s="79">
        <v>3326</v>
      </c>
      <c r="G182" s="78"/>
      <c r="H182" s="78"/>
      <c r="I182" s="79"/>
      <c r="J182" s="78"/>
      <c r="K182" s="79"/>
      <c r="L182" s="79"/>
      <c r="M182" s="79"/>
      <c r="N182" s="79"/>
      <c r="O182" s="79"/>
      <c r="P182" s="79"/>
      <c r="Q182" s="79">
        <f>9491-7000</f>
        <v>2491</v>
      </c>
      <c r="R182" s="79"/>
      <c r="S182" s="80">
        <f t="shared" si="36"/>
        <v>5817</v>
      </c>
      <c r="T182" s="278"/>
    </row>
    <row r="183" spans="1:20" ht="15" customHeight="1" x14ac:dyDescent="0.25">
      <c r="A183" s="165" t="s">
        <v>264</v>
      </c>
      <c r="B183" s="181">
        <f>B182/SUMPRODUCT(('2027'!$V$10:$V$21&lt;='2027'!B180)*'2022'!$Z$10:$Z$21)</f>
        <v>0.18906142712131174</v>
      </c>
      <c r="C183" s="275"/>
      <c r="D183" s="95" t="s">
        <v>151</v>
      </c>
      <c r="E183" s="176" t="s">
        <v>255</v>
      </c>
      <c r="F183" s="79"/>
      <c r="G183" s="78"/>
      <c r="H183" s="78"/>
      <c r="I183" s="79"/>
      <c r="J183" s="78"/>
      <c r="K183" s="79"/>
      <c r="L183" s="79"/>
      <c r="M183" s="79"/>
      <c r="N183" s="79"/>
      <c r="O183" s="79"/>
      <c r="P183" s="79"/>
      <c r="Q183" s="79">
        <v>597</v>
      </c>
      <c r="R183" s="79"/>
      <c r="S183" s="80">
        <f t="shared" si="36"/>
        <v>597</v>
      </c>
      <c r="T183" s="278"/>
    </row>
    <row r="184" spans="1:20" ht="15" customHeight="1" x14ac:dyDescent="0.25">
      <c r="A184" s="165" t="s">
        <v>236</v>
      </c>
      <c r="B184" s="186">
        <f>B182-$K$2</f>
        <v>302784.33333333331</v>
      </c>
      <c r="C184" s="275"/>
      <c r="D184" s="96" t="s">
        <v>151</v>
      </c>
      <c r="E184" s="176" t="s">
        <v>256</v>
      </c>
      <c r="F184" s="79">
        <v>6500</v>
      </c>
      <c r="G184" s="78"/>
      <c r="H184" s="79"/>
      <c r="I184" s="78"/>
      <c r="J184" s="78"/>
      <c r="K184" s="79"/>
      <c r="L184" s="79"/>
      <c r="M184" s="79"/>
      <c r="N184" s="79"/>
      <c r="O184" s="79"/>
      <c r="P184" s="79"/>
      <c r="Q184" s="79"/>
      <c r="R184" s="79"/>
      <c r="S184" s="80">
        <f t="shared" si="36"/>
        <v>6500</v>
      </c>
      <c r="T184" s="278"/>
    </row>
    <row r="185" spans="1:20" ht="15" customHeight="1" x14ac:dyDescent="0.25">
      <c r="A185" s="164" t="s">
        <v>242</v>
      </c>
      <c r="B185" s="157">
        <f>B184/($J$2*12)</f>
        <v>0.15139216666666666</v>
      </c>
      <c r="C185" s="275"/>
      <c r="D185" s="95" t="s">
        <v>151</v>
      </c>
      <c r="E185" s="176" t="s">
        <v>257</v>
      </c>
      <c r="F185" s="79"/>
      <c r="G185" s="78"/>
      <c r="H185" s="78"/>
      <c r="I185" s="79"/>
      <c r="J185" s="78"/>
      <c r="K185" s="79"/>
      <c r="L185" s="79"/>
      <c r="M185" s="79"/>
      <c r="N185" s="79"/>
      <c r="O185" s="79"/>
      <c r="P185" s="79"/>
      <c r="Q185" s="79"/>
      <c r="R185" s="79"/>
      <c r="S185" s="80">
        <f t="shared" si="36"/>
        <v>0</v>
      </c>
      <c r="T185" s="278"/>
    </row>
    <row r="186" spans="1:20" ht="15" customHeight="1" x14ac:dyDescent="0.25">
      <c r="A186" s="164" t="s">
        <v>282</v>
      </c>
      <c r="B186" s="126">
        <f>VALUE(RIGHT(B180,2))/12</f>
        <v>0.83333333333333337</v>
      </c>
      <c r="C186" s="275"/>
      <c r="D186" s="95" t="s">
        <v>151</v>
      </c>
      <c r="E186" s="176" t="s">
        <v>263</v>
      </c>
      <c r="F186" s="78"/>
      <c r="G186" s="78"/>
      <c r="H186" s="78"/>
      <c r="I186" s="79"/>
      <c r="J186" s="78"/>
      <c r="K186" s="79"/>
      <c r="L186" s="79"/>
      <c r="M186" s="79"/>
      <c r="N186" s="79"/>
      <c r="O186" s="79"/>
      <c r="P186" s="79"/>
      <c r="Q186" s="79"/>
      <c r="R186" s="79"/>
      <c r="S186" s="80">
        <f t="shared" si="36"/>
        <v>0</v>
      </c>
      <c r="T186" s="279"/>
    </row>
    <row r="187" spans="1:20" ht="15" customHeight="1" x14ac:dyDescent="0.25">
      <c r="A187" s="164" t="s">
        <v>243</v>
      </c>
      <c r="B187" s="161">
        <f>B181*VALUE(RIGHT(B180,2))-B184</f>
        <v>1363882.3333333333</v>
      </c>
      <c r="C187" s="275"/>
      <c r="D187" s="97" t="s">
        <v>152</v>
      </c>
      <c r="E187" s="97" t="s">
        <v>144</v>
      </c>
      <c r="F187" s="85"/>
      <c r="G187" s="46"/>
      <c r="H187" s="85"/>
      <c r="I187" s="46"/>
      <c r="J187" s="46"/>
      <c r="K187" s="46"/>
      <c r="L187" s="46"/>
      <c r="M187" s="152"/>
      <c r="N187" s="46"/>
      <c r="O187" s="46"/>
      <c r="P187" s="46"/>
      <c r="Q187" s="46"/>
      <c r="R187" s="46"/>
      <c r="S187" s="83">
        <f t="shared" si="36"/>
        <v>0</v>
      </c>
      <c r="T187" s="280">
        <f>SUM(S187:S191)</f>
        <v>0</v>
      </c>
    </row>
    <row r="188" spans="1:20" ht="15" customHeight="1" x14ac:dyDescent="0.25">
      <c r="A188" s="164" t="s">
        <v>265</v>
      </c>
      <c r="B188" s="184">
        <f>$J$2-(S197-F194)</f>
        <v>142377</v>
      </c>
      <c r="C188" s="275"/>
      <c r="D188" s="97" t="s">
        <v>152</v>
      </c>
      <c r="E188" s="97" t="s">
        <v>145</v>
      </c>
      <c r="F188" s="85"/>
      <c r="G188" s="46"/>
      <c r="H188" s="85"/>
      <c r="I188" s="46"/>
      <c r="J188" s="46"/>
      <c r="K188" s="46"/>
      <c r="L188" s="46"/>
      <c r="M188" s="152"/>
      <c r="N188" s="46"/>
      <c r="O188" s="85"/>
      <c r="P188" s="46"/>
      <c r="Q188" s="46"/>
      <c r="R188" s="46"/>
      <c r="S188" s="83">
        <f t="shared" si="36"/>
        <v>0</v>
      </c>
      <c r="T188" s="281"/>
    </row>
    <row r="189" spans="1:20" ht="15" customHeight="1" x14ac:dyDescent="0.25">
      <c r="C189" s="275"/>
      <c r="D189" s="97" t="s">
        <v>152</v>
      </c>
      <c r="E189" s="97" t="s">
        <v>146</v>
      </c>
      <c r="F189" s="86"/>
      <c r="G189" s="46"/>
      <c r="H189" s="87"/>
      <c r="I189" s="46"/>
      <c r="J189" s="46"/>
      <c r="K189" s="46"/>
      <c r="L189" s="46"/>
      <c r="M189" s="152"/>
      <c r="N189" s="46"/>
      <c r="O189" s="87"/>
      <c r="P189" s="46"/>
      <c r="Q189" s="46"/>
      <c r="R189" s="46"/>
      <c r="S189" s="83">
        <f t="shared" si="36"/>
        <v>0</v>
      </c>
      <c r="T189" s="281"/>
    </row>
    <row r="190" spans="1:20" ht="15" customHeight="1" x14ac:dyDescent="0.25">
      <c r="C190" s="275"/>
      <c r="D190" s="97" t="s">
        <v>152</v>
      </c>
      <c r="E190" s="97" t="s">
        <v>147</v>
      </c>
      <c r="F190" s="86"/>
      <c r="G190" s="46"/>
      <c r="H190" s="87"/>
      <c r="I190" s="46"/>
      <c r="J190" s="46"/>
      <c r="K190" s="46"/>
      <c r="L190" s="46"/>
      <c r="M190" s="152"/>
      <c r="N190" s="46"/>
      <c r="O190" s="87"/>
      <c r="P190" s="46"/>
      <c r="Q190" s="46"/>
      <c r="R190" s="46"/>
      <c r="S190" s="83">
        <f t="shared" si="36"/>
        <v>0</v>
      </c>
      <c r="T190" s="281"/>
    </row>
    <row r="191" spans="1:20" ht="15" customHeight="1" x14ac:dyDescent="0.25">
      <c r="C191" s="275"/>
      <c r="D191" s="97" t="s">
        <v>152</v>
      </c>
      <c r="E191" s="97" t="s">
        <v>168</v>
      </c>
      <c r="F191" s="85"/>
      <c r="G191" s="46"/>
      <c r="H191" s="46"/>
      <c r="I191" s="46"/>
      <c r="J191" s="46"/>
      <c r="K191" s="46"/>
      <c r="L191" s="46"/>
      <c r="M191" s="152"/>
      <c r="N191" s="46"/>
      <c r="O191" s="86"/>
      <c r="P191" s="46"/>
      <c r="Q191" s="46"/>
      <c r="R191" s="46"/>
      <c r="S191" s="83">
        <f t="shared" si="36"/>
        <v>0</v>
      </c>
      <c r="T191" s="281"/>
    </row>
    <row r="192" spans="1:20" ht="15" customHeight="1" x14ac:dyDescent="0.25">
      <c r="C192" s="275"/>
      <c r="D192" s="98" t="s">
        <v>153</v>
      </c>
      <c r="E192" s="98" t="s">
        <v>170</v>
      </c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>
        <f t="shared" si="36"/>
        <v>0</v>
      </c>
      <c r="T192" s="282">
        <f>SUM(S192:S196)</f>
        <v>3375.6666666666665</v>
      </c>
    </row>
    <row r="193" spans="1:20" ht="15" customHeight="1" x14ac:dyDescent="0.25">
      <c r="C193" s="275"/>
      <c r="D193" s="99" t="s">
        <v>153</v>
      </c>
      <c r="E193" s="99" t="s">
        <v>171</v>
      </c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>
        <f t="shared" si="36"/>
        <v>0</v>
      </c>
      <c r="T193" s="283"/>
    </row>
    <row r="194" spans="1:20" ht="15" customHeight="1" x14ac:dyDescent="0.25">
      <c r="C194" s="275"/>
      <c r="D194" s="99" t="s">
        <v>153</v>
      </c>
      <c r="E194" s="99" t="s">
        <v>172</v>
      </c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>
        <f t="shared" si="36"/>
        <v>0</v>
      </c>
      <c r="T194" s="283"/>
    </row>
    <row r="195" spans="1:20" s="41" customFormat="1" ht="15" customHeight="1" x14ac:dyDescent="0.25">
      <c r="A195" s="45"/>
      <c r="B195" s="45"/>
      <c r="C195" s="276"/>
      <c r="D195" s="99" t="s">
        <v>153</v>
      </c>
      <c r="E195" s="99" t="s">
        <v>173</v>
      </c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>
        <f>40508/12</f>
        <v>3375.6666666666665</v>
      </c>
      <c r="R195" s="82"/>
      <c r="S195" s="82">
        <f t="shared" si="36"/>
        <v>3375.6666666666665</v>
      </c>
      <c r="T195" s="283"/>
    </row>
    <row r="196" spans="1:20" ht="15.75" customHeight="1" thickBot="1" x14ac:dyDescent="0.3">
      <c r="A196" s="41"/>
      <c r="B196" s="41"/>
      <c r="C196" s="276"/>
      <c r="D196" s="100" t="s">
        <v>153</v>
      </c>
      <c r="E196" s="100" t="s">
        <v>168</v>
      </c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>
        <f t="shared" si="36"/>
        <v>0</v>
      </c>
      <c r="T196" s="283"/>
    </row>
    <row r="197" spans="1:20" ht="15" customHeight="1" x14ac:dyDescent="0.25">
      <c r="D197" s="101" t="s">
        <v>120</v>
      </c>
      <c r="E197" s="101" t="s">
        <v>120</v>
      </c>
      <c r="F197" s="64">
        <f>SUM(F180:F196)</f>
        <v>9826</v>
      </c>
      <c r="G197" s="64">
        <f>SUM(G180:G196)</f>
        <v>0</v>
      </c>
      <c r="H197" s="64">
        <f>SUM(H180:H196)</f>
        <v>0</v>
      </c>
      <c r="I197" s="64">
        <f t="shared" ref="I197:P197" si="37">SUM(I180:I196)</f>
        <v>0</v>
      </c>
      <c r="J197" s="64">
        <f t="shared" si="37"/>
        <v>0</v>
      </c>
      <c r="K197" s="64">
        <f t="shared" si="37"/>
        <v>0</v>
      </c>
      <c r="L197" s="64">
        <f t="shared" si="37"/>
        <v>0</v>
      </c>
      <c r="M197" s="64">
        <f t="shared" si="37"/>
        <v>0</v>
      </c>
      <c r="N197" s="64">
        <f t="shared" si="37"/>
        <v>0</v>
      </c>
      <c r="O197" s="64">
        <f t="shared" si="37"/>
        <v>0</v>
      </c>
      <c r="P197" s="64">
        <f t="shared" si="37"/>
        <v>0</v>
      </c>
      <c r="Q197" s="64">
        <f>SUM(Q180:Q196)</f>
        <v>14463.666666666666</v>
      </c>
      <c r="R197" s="64">
        <f>SUM(R180:R196)</f>
        <v>0</v>
      </c>
      <c r="S197" s="54">
        <f>SUM(S180:S196)</f>
        <v>24289.666666666668</v>
      </c>
    </row>
    <row r="198" spans="1:20" ht="15.75" customHeight="1" thickBot="1" x14ac:dyDescent="0.3"/>
    <row r="199" spans="1:20" ht="17.25" x14ac:dyDescent="0.25">
      <c r="A199" s="166" t="s">
        <v>188</v>
      </c>
      <c r="B199" s="167">
        <f>B180+1</f>
        <v>202711</v>
      </c>
      <c r="C199" s="275">
        <f>B199</f>
        <v>202711</v>
      </c>
      <c r="D199" s="94" t="s">
        <v>151</v>
      </c>
      <c r="E199" s="177" t="s">
        <v>252</v>
      </c>
      <c r="F199" s="60"/>
      <c r="G199" s="59"/>
      <c r="H199" s="59"/>
      <c r="I199" s="60"/>
      <c r="J199" s="59"/>
      <c r="K199" s="60"/>
      <c r="L199" s="60"/>
      <c r="M199" s="60"/>
      <c r="N199" s="60"/>
      <c r="O199" s="60"/>
      <c r="P199" s="60"/>
      <c r="Q199" s="60">
        <f>2000+2000+2000+2000</f>
        <v>8000</v>
      </c>
      <c r="R199" s="60"/>
      <c r="S199" s="44">
        <f t="shared" ref="S199:S215" si="38">SUM(F199:R199)</f>
        <v>8000</v>
      </c>
      <c r="T199" s="277">
        <f>SUM(S199:S205)</f>
        <v>20914</v>
      </c>
    </row>
    <row r="200" spans="1:20" ht="15" customHeight="1" thickBot="1" x14ac:dyDescent="0.3">
      <c r="A200" s="164" t="s">
        <v>247</v>
      </c>
      <c r="B200" s="162">
        <f>$J$2</f>
        <v>166666.66666666666</v>
      </c>
      <c r="C200" s="275"/>
      <c r="D200" s="95" t="s">
        <v>151</v>
      </c>
      <c r="E200" s="176" t="s">
        <v>251</v>
      </c>
      <c r="F200" s="79"/>
      <c r="G200" s="78"/>
      <c r="H200" s="78"/>
      <c r="I200" s="79"/>
      <c r="J200" s="78"/>
      <c r="K200" s="79"/>
      <c r="L200" s="79"/>
      <c r="M200" s="79"/>
      <c r="N200" s="79"/>
      <c r="O200" s="79"/>
      <c r="P200" s="79"/>
      <c r="Q200" s="79"/>
      <c r="R200" s="79"/>
      <c r="S200" s="80">
        <f t="shared" si="38"/>
        <v>0</v>
      </c>
      <c r="T200" s="278"/>
    </row>
    <row r="201" spans="1:20" ht="15" customHeight="1" thickTop="1" x14ac:dyDescent="0.25">
      <c r="A201" s="165" t="s">
        <v>237</v>
      </c>
      <c r="B201" s="182">
        <f>SUMPRODUCT((($V$10:$V$21)&lt;=VALUE(B199))*($Z$10:$Z$21))</f>
        <v>323698.33333333331</v>
      </c>
      <c r="C201" s="275"/>
      <c r="D201" s="95" t="s">
        <v>151</v>
      </c>
      <c r="E201" s="176" t="s">
        <v>254</v>
      </c>
      <c r="F201" s="79">
        <v>3326</v>
      </c>
      <c r="G201" s="78"/>
      <c r="H201" s="78"/>
      <c r="I201" s="79"/>
      <c r="J201" s="78"/>
      <c r="K201" s="79"/>
      <c r="L201" s="79"/>
      <c r="M201" s="79"/>
      <c r="N201" s="79"/>
      <c r="O201" s="79"/>
      <c r="P201" s="79"/>
      <c r="Q201" s="79">
        <f>9491-7000</f>
        <v>2491</v>
      </c>
      <c r="R201" s="79"/>
      <c r="S201" s="80">
        <f t="shared" si="38"/>
        <v>5817</v>
      </c>
      <c r="T201" s="278"/>
    </row>
    <row r="202" spans="1:20" ht="15" customHeight="1" x14ac:dyDescent="0.25">
      <c r="A202" s="165" t="s">
        <v>264</v>
      </c>
      <c r="B202" s="181">
        <f>B201/SUMPRODUCT(('2027'!$V$10:$V$21&lt;='2027'!B199)*'2022'!$Z$10:$Z$21)</f>
        <v>0.18643317763558279</v>
      </c>
      <c r="C202" s="275"/>
      <c r="D202" s="95" t="s">
        <v>151</v>
      </c>
      <c r="E202" s="176" t="s">
        <v>255</v>
      </c>
      <c r="F202" s="79"/>
      <c r="G202" s="78"/>
      <c r="H202" s="78"/>
      <c r="I202" s="79"/>
      <c r="J202" s="78"/>
      <c r="K202" s="79"/>
      <c r="L202" s="79"/>
      <c r="M202" s="79"/>
      <c r="N202" s="79"/>
      <c r="O202" s="79"/>
      <c r="P202" s="79"/>
      <c r="Q202" s="79">
        <v>597</v>
      </c>
      <c r="R202" s="79"/>
      <c r="S202" s="80">
        <f t="shared" si="38"/>
        <v>597</v>
      </c>
      <c r="T202" s="278"/>
    </row>
    <row r="203" spans="1:20" ht="15" customHeight="1" x14ac:dyDescent="0.25">
      <c r="A203" s="165" t="s">
        <v>236</v>
      </c>
      <c r="B203" s="186">
        <f>B201-$K$2</f>
        <v>323698.33333333331</v>
      </c>
      <c r="C203" s="275"/>
      <c r="D203" s="96" t="s">
        <v>151</v>
      </c>
      <c r="E203" s="176" t="s">
        <v>256</v>
      </c>
      <c r="F203" s="79">
        <v>6500</v>
      </c>
      <c r="G203" s="78"/>
      <c r="H203" s="78"/>
      <c r="I203" s="78"/>
      <c r="J203" s="78"/>
      <c r="K203" s="79"/>
      <c r="L203" s="79"/>
      <c r="M203" s="79"/>
      <c r="N203" s="79"/>
      <c r="O203" s="79"/>
      <c r="P203" s="79"/>
      <c r="Q203" s="79"/>
      <c r="R203" s="79"/>
      <c r="S203" s="80">
        <f t="shared" si="38"/>
        <v>6500</v>
      </c>
      <c r="T203" s="278"/>
    </row>
    <row r="204" spans="1:20" ht="15" customHeight="1" x14ac:dyDescent="0.25">
      <c r="A204" s="164" t="s">
        <v>242</v>
      </c>
      <c r="B204" s="157">
        <f>B203/($J$2*12)</f>
        <v>0.16184916666666666</v>
      </c>
      <c r="C204" s="275"/>
      <c r="D204" s="95" t="s">
        <v>151</v>
      </c>
      <c r="E204" s="176" t="s">
        <v>257</v>
      </c>
      <c r="F204" s="79"/>
      <c r="G204" s="78"/>
      <c r="H204" s="78"/>
      <c r="I204" s="79"/>
      <c r="J204" s="78"/>
      <c r="K204" s="79"/>
      <c r="L204" s="79"/>
      <c r="M204" s="79"/>
      <c r="N204" s="79"/>
      <c r="O204" s="79"/>
      <c r="P204" s="79"/>
      <c r="Q204" s="79"/>
      <c r="R204" s="79"/>
      <c r="S204" s="80">
        <f t="shared" si="38"/>
        <v>0</v>
      </c>
      <c r="T204" s="278"/>
    </row>
    <row r="205" spans="1:20" ht="15" customHeight="1" x14ac:dyDescent="0.25">
      <c r="A205" s="164" t="s">
        <v>282</v>
      </c>
      <c r="B205" s="126">
        <f>VALUE(RIGHT(B199,2))/12</f>
        <v>0.91666666666666663</v>
      </c>
      <c r="C205" s="275"/>
      <c r="D205" s="95" t="s">
        <v>151</v>
      </c>
      <c r="E205" s="176" t="s">
        <v>263</v>
      </c>
      <c r="F205" s="78"/>
      <c r="G205" s="78"/>
      <c r="H205" s="78"/>
      <c r="I205" s="79"/>
      <c r="J205" s="78"/>
      <c r="K205" s="79"/>
      <c r="L205" s="79"/>
      <c r="M205" s="79"/>
      <c r="N205" s="79"/>
      <c r="O205" s="79"/>
      <c r="P205" s="79"/>
      <c r="Q205" s="79"/>
      <c r="R205" s="79"/>
      <c r="S205" s="80">
        <f t="shared" si="38"/>
        <v>0</v>
      </c>
      <c r="T205" s="279"/>
    </row>
    <row r="206" spans="1:20" ht="15" customHeight="1" x14ac:dyDescent="0.25">
      <c r="A206" s="164" t="s">
        <v>243</v>
      </c>
      <c r="B206" s="161">
        <f>B200*VALUE(RIGHT(B199,2))-B203</f>
        <v>1509635</v>
      </c>
      <c r="C206" s="275"/>
      <c r="D206" s="97" t="s">
        <v>152</v>
      </c>
      <c r="E206" s="97" t="s">
        <v>144</v>
      </c>
      <c r="F206" s="85"/>
      <c r="G206" s="46"/>
      <c r="H206" s="85"/>
      <c r="I206" s="46"/>
      <c r="J206" s="46"/>
      <c r="K206" s="46"/>
      <c r="L206" s="46"/>
      <c r="M206" s="152"/>
      <c r="N206" s="46"/>
      <c r="O206" s="46"/>
      <c r="P206" s="46"/>
      <c r="Q206" s="46"/>
      <c r="R206" s="46"/>
      <c r="S206" s="83">
        <f t="shared" si="38"/>
        <v>0</v>
      </c>
      <c r="T206" s="280">
        <f>SUM(S206:S210)</f>
        <v>0</v>
      </c>
    </row>
    <row r="207" spans="1:20" ht="15" customHeight="1" x14ac:dyDescent="0.25">
      <c r="A207" s="164" t="s">
        <v>265</v>
      </c>
      <c r="B207" s="184">
        <f>$J$2-(S216-F213)</f>
        <v>145752.66666666666</v>
      </c>
      <c r="C207" s="275"/>
      <c r="D207" s="97" t="s">
        <v>152</v>
      </c>
      <c r="E207" s="97" t="s">
        <v>145</v>
      </c>
      <c r="F207" s="85"/>
      <c r="G207" s="46"/>
      <c r="H207" s="85"/>
      <c r="I207" s="46"/>
      <c r="J207" s="46"/>
      <c r="K207" s="46"/>
      <c r="L207" s="46"/>
      <c r="M207" s="152"/>
      <c r="N207" s="46"/>
      <c r="O207" s="46"/>
      <c r="P207" s="46"/>
      <c r="Q207" s="46"/>
      <c r="R207" s="46"/>
      <c r="S207" s="83">
        <f t="shared" si="38"/>
        <v>0</v>
      </c>
      <c r="T207" s="281"/>
    </row>
    <row r="208" spans="1:20" ht="15" customHeight="1" x14ac:dyDescent="0.25">
      <c r="C208" s="275"/>
      <c r="D208" s="97" t="s">
        <v>152</v>
      </c>
      <c r="E208" s="97" t="s">
        <v>146</v>
      </c>
      <c r="F208" s="86"/>
      <c r="G208" s="46"/>
      <c r="H208" s="87"/>
      <c r="I208" s="46"/>
      <c r="J208" s="46"/>
      <c r="K208" s="46"/>
      <c r="L208" s="46"/>
      <c r="M208" s="152"/>
      <c r="N208" s="46"/>
      <c r="O208" s="46"/>
      <c r="P208" s="46"/>
      <c r="Q208" s="46"/>
      <c r="R208" s="46"/>
      <c r="S208" s="83">
        <f t="shared" si="38"/>
        <v>0</v>
      </c>
      <c r="T208" s="281"/>
    </row>
    <row r="209" spans="1:20" ht="15" customHeight="1" x14ac:dyDescent="0.25">
      <c r="C209" s="275"/>
      <c r="D209" s="97" t="s">
        <v>152</v>
      </c>
      <c r="E209" s="97" t="s">
        <v>147</v>
      </c>
      <c r="F209" s="85"/>
      <c r="G209" s="46"/>
      <c r="H209" s="87"/>
      <c r="I209" s="46"/>
      <c r="J209" s="46"/>
      <c r="K209" s="46"/>
      <c r="L209" s="46"/>
      <c r="M209" s="152"/>
      <c r="N209" s="46"/>
      <c r="O209" s="46"/>
      <c r="P209" s="46"/>
      <c r="Q209" s="46"/>
      <c r="R209" s="46"/>
      <c r="S209" s="83">
        <f t="shared" si="38"/>
        <v>0</v>
      </c>
      <c r="T209" s="281"/>
    </row>
    <row r="210" spans="1:20" ht="15" customHeight="1" x14ac:dyDescent="0.25">
      <c r="C210" s="275"/>
      <c r="D210" s="97" t="s">
        <v>152</v>
      </c>
      <c r="E210" s="97" t="s">
        <v>168</v>
      </c>
      <c r="F210" s="85"/>
      <c r="G210" s="46"/>
      <c r="H210" s="46"/>
      <c r="I210" s="46"/>
      <c r="J210" s="46"/>
      <c r="K210" s="46"/>
      <c r="L210" s="46"/>
      <c r="M210" s="152"/>
      <c r="N210" s="46"/>
      <c r="O210" s="86"/>
      <c r="P210" s="46"/>
      <c r="Q210" s="46"/>
      <c r="R210" s="46"/>
      <c r="S210" s="83">
        <f t="shared" si="38"/>
        <v>0</v>
      </c>
      <c r="T210" s="281"/>
    </row>
    <row r="211" spans="1:20" ht="15" customHeight="1" x14ac:dyDescent="0.25">
      <c r="C211" s="275"/>
      <c r="D211" s="98" t="s">
        <v>153</v>
      </c>
      <c r="E211" s="98" t="s">
        <v>170</v>
      </c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>
        <f t="shared" si="38"/>
        <v>0</v>
      </c>
      <c r="T211" s="282">
        <f>SUM(S211:S215)</f>
        <v>0</v>
      </c>
    </row>
    <row r="212" spans="1:20" ht="15" customHeight="1" x14ac:dyDescent="0.25">
      <c r="C212" s="275"/>
      <c r="D212" s="99" t="s">
        <v>153</v>
      </c>
      <c r="E212" s="99" t="s">
        <v>171</v>
      </c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>
        <f t="shared" si="38"/>
        <v>0</v>
      </c>
      <c r="T212" s="283"/>
    </row>
    <row r="213" spans="1:20" ht="15" customHeight="1" x14ac:dyDescent="0.25">
      <c r="C213" s="275"/>
      <c r="D213" s="99" t="s">
        <v>153</v>
      </c>
      <c r="E213" s="99" t="s">
        <v>172</v>
      </c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>
        <f t="shared" si="38"/>
        <v>0</v>
      </c>
      <c r="T213" s="283"/>
    </row>
    <row r="214" spans="1:20" s="41" customFormat="1" ht="15" customHeight="1" x14ac:dyDescent="0.25">
      <c r="A214" s="45"/>
      <c r="B214" s="45"/>
      <c r="C214" s="276"/>
      <c r="D214" s="99" t="s">
        <v>153</v>
      </c>
      <c r="E214" s="99" t="s">
        <v>173</v>
      </c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>
        <f t="shared" si="38"/>
        <v>0</v>
      </c>
      <c r="T214" s="283"/>
    </row>
    <row r="215" spans="1:20" ht="15.75" customHeight="1" thickBot="1" x14ac:dyDescent="0.3">
      <c r="A215" s="41"/>
      <c r="B215" s="41"/>
      <c r="C215" s="276"/>
      <c r="D215" s="100" t="s">
        <v>153</v>
      </c>
      <c r="E215" s="100" t="s">
        <v>168</v>
      </c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>
        <f t="shared" si="38"/>
        <v>0</v>
      </c>
      <c r="T215" s="283"/>
    </row>
    <row r="216" spans="1:20" ht="15" customHeight="1" x14ac:dyDescent="0.25">
      <c r="D216" s="101" t="s">
        <v>120</v>
      </c>
      <c r="E216" s="101" t="s">
        <v>120</v>
      </c>
      <c r="F216" s="64">
        <f>SUM(F199:F215)</f>
        <v>9826</v>
      </c>
      <c r="G216" s="64">
        <f>SUM(G199:G215)</f>
        <v>0</v>
      </c>
      <c r="H216" s="64">
        <f>SUM(H199:H215)</f>
        <v>0</v>
      </c>
      <c r="I216" s="64">
        <f t="shared" ref="I216:P216" si="39">SUM(I199:I215)</f>
        <v>0</v>
      </c>
      <c r="J216" s="64">
        <f t="shared" si="39"/>
        <v>0</v>
      </c>
      <c r="K216" s="64">
        <f t="shared" si="39"/>
        <v>0</v>
      </c>
      <c r="L216" s="64">
        <f t="shared" si="39"/>
        <v>0</v>
      </c>
      <c r="M216" s="64">
        <f t="shared" si="39"/>
        <v>0</v>
      </c>
      <c r="N216" s="64">
        <f t="shared" si="39"/>
        <v>0</v>
      </c>
      <c r="O216" s="64">
        <f t="shared" si="39"/>
        <v>0</v>
      </c>
      <c r="P216" s="64">
        <f t="shared" si="39"/>
        <v>0</v>
      </c>
      <c r="Q216" s="64">
        <f>SUM(Q199:Q215)</f>
        <v>11088</v>
      </c>
      <c r="R216" s="64">
        <f>SUM(R199:R215)</f>
        <v>0</v>
      </c>
      <c r="S216" s="54">
        <f>SUM(S199:S215)</f>
        <v>20914</v>
      </c>
    </row>
    <row r="217" spans="1:20" ht="15.75" customHeight="1" thickBot="1" x14ac:dyDescent="0.3"/>
    <row r="218" spans="1:20" ht="17.25" x14ac:dyDescent="0.25">
      <c r="A218" s="166" t="s">
        <v>188</v>
      </c>
      <c r="B218" s="167">
        <f>B199+1</f>
        <v>202712</v>
      </c>
      <c r="C218" s="275">
        <f>B218</f>
        <v>202712</v>
      </c>
      <c r="D218" s="94" t="s">
        <v>151</v>
      </c>
      <c r="E218" s="177" t="s">
        <v>252</v>
      </c>
      <c r="F218" s="60"/>
      <c r="G218" s="59"/>
      <c r="H218" s="59"/>
      <c r="I218" s="60"/>
      <c r="J218" s="59"/>
      <c r="K218" s="60"/>
      <c r="L218" s="60"/>
      <c r="M218" s="60"/>
      <c r="N218" s="60"/>
      <c r="O218" s="60"/>
      <c r="P218" s="60"/>
      <c r="Q218" s="60">
        <f>2000+2000+2000+2000</f>
        <v>8000</v>
      </c>
      <c r="R218" s="60"/>
      <c r="S218" s="44">
        <f t="shared" ref="S218:S234" si="40">SUM(F218:R218)</f>
        <v>8000</v>
      </c>
      <c r="T218" s="277">
        <f>SUM(S218:S224)</f>
        <v>20914</v>
      </c>
    </row>
    <row r="219" spans="1:20" ht="15" customHeight="1" thickBot="1" x14ac:dyDescent="0.3">
      <c r="A219" s="164" t="s">
        <v>247</v>
      </c>
      <c r="B219" s="162">
        <f>$J$2</f>
        <v>166666.66666666666</v>
      </c>
      <c r="C219" s="275"/>
      <c r="D219" s="95" t="s">
        <v>151</v>
      </c>
      <c r="E219" s="176" t="s">
        <v>251</v>
      </c>
      <c r="F219" s="79"/>
      <c r="G219" s="78"/>
      <c r="H219" s="78"/>
      <c r="I219" s="79"/>
      <c r="J219" s="78"/>
      <c r="K219" s="79"/>
      <c r="L219" s="79"/>
      <c r="M219" s="79"/>
      <c r="N219" s="79"/>
      <c r="O219" s="79"/>
      <c r="P219" s="79"/>
      <c r="Q219" s="79"/>
      <c r="R219" s="79"/>
      <c r="S219" s="80">
        <f t="shared" si="40"/>
        <v>0</v>
      </c>
      <c r="T219" s="278"/>
    </row>
    <row r="220" spans="1:20" ht="15" customHeight="1" thickTop="1" x14ac:dyDescent="0.25">
      <c r="A220" s="165" t="s">
        <v>237</v>
      </c>
      <c r="B220" s="182">
        <f>SUMPRODUCT((($V$10:$V$21)&lt;=VALUE(B218))*($Z$10:$Z$21))</f>
        <v>344612.33333333331</v>
      </c>
      <c r="C220" s="275"/>
      <c r="D220" s="95" t="s">
        <v>151</v>
      </c>
      <c r="E220" s="176" t="s">
        <v>254</v>
      </c>
      <c r="F220" s="79">
        <v>3326</v>
      </c>
      <c r="G220" s="78"/>
      <c r="H220" s="78"/>
      <c r="I220" s="79"/>
      <c r="J220" s="78"/>
      <c r="K220" s="79"/>
      <c r="L220" s="79"/>
      <c r="M220" s="79"/>
      <c r="N220" s="79"/>
      <c r="O220" s="79"/>
      <c r="P220" s="79"/>
      <c r="Q220" s="79">
        <f>9491-7000</f>
        <v>2491</v>
      </c>
      <c r="R220" s="79"/>
      <c r="S220" s="80">
        <f t="shared" si="40"/>
        <v>5817</v>
      </c>
      <c r="T220" s="278"/>
    </row>
    <row r="221" spans="1:20" ht="15" customHeight="1" x14ac:dyDescent="0.25">
      <c r="A221" s="165" t="s">
        <v>264</v>
      </c>
      <c r="B221" s="181">
        <f>B220/SUMPRODUCT(('2027'!$V$10:$V$21&lt;='2027'!B218)*'2022'!$Z$10:$Z$21)</f>
        <v>0.17960645045172757</v>
      </c>
      <c r="C221" s="275"/>
      <c r="D221" s="95" t="s">
        <v>151</v>
      </c>
      <c r="E221" s="176" t="s">
        <v>255</v>
      </c>
      <c r="F221" s="79"/>
      <c r="G221" s="78"/>
      <c r="H221" s="78"/>
      <c r="I221" s="79"/>
      <c r="J221" s="78"/>
      <c r="K221" s="79"/>
      <c r="L221" s="79"/>
      <c r="M221" s="79"/>
      <c r="N221" s="79"/>
      <c r="O221" s="79"/>
      <c r="P221" s="79"/>
      <c r="Q221" s="79">
        <v>597</v>
      </c>
      <c r="R221" s="79"/>
      <c r="S221" s="80">
        <f t="shared" si="40"/>
        <v>597</v>
      </c>
      <c r="T221" s="278"/>
    </row>
    <row r="222" spans="1:20" ht="15" customHeight="1" x14ac:dyDescent="0.25">
      <c r="A222" s="165" t="s">
        <v>236</v>
      </c>
      <c r="B222" s="186">
        <f>B220-$K$2</f>
        <v>344612.33333333331</v>
      </c>
      <c r="C222" s="275"/>
      <c r="D222" s="96" t="s">
        <v>151</v>
      </c>
      <c r="E222" s="176" t="s">
        <v>256</v>
      </c>
      <c r="F222" s="79">
        <v>6500</v>
      </c>
      <c r="G222" s="78"/>
      <c r="H222" s="78"/>
      <c r="I222" s="78"/>
      <c r="J222" s="78"/>
      <c r="K222" s="79"/>
      <c r="L222" s="79"/>
      <c r="M222" s="79"/>
      <c r="N222" s="79"/>
      <c r="O222" s="79"/>
      <c r="P222" s="79"/>
      <c r="Q222" s="79"/>
      <c r="R222" s="79"/>
      <c r="S222" s="80">
        <f t="shared" si="40"/>
        <v>6500</v>
      </c>
      <c r="T222" s="278"/>
    </row>
    <row r="223" spans="1:20" ht="15" customHeight="1" x14ac:dyDescent="0.25">
      <c r="A223" s="164" t="s">
        <v>242</v>
      </c>
      <c r="B223" s="157">
        <f>B222/($J$2*12)</f>
        <v>0.17230616666666665</v>
      </c>
      <c r="C223" s="275"/>
      <c r="D223" s="95" t="s">
        <v>151</v>
      </c>
      <c r="E223" s="176" t="s">
        <v>257</v>
      </c>
      <c r="F223" s="79"/>
      <c r="G223" s="78"/>
      <c r="H223" s="78"/>
      <c r="I223" s="79"/>
      <c r="J223" s="78"/>
      <c r="K223" s="79"/>
      <c r="L223" s="79"/>
      <c r="M223" s="79"/>
      <c r="N223" s="79"/>
      <c r="O223" s="79"/>
      <c r="P223" s="79"/>
      <c r="Q223" s="79"/>
      <c r="R223" s="79"/>
      <c r="S223" s="80">
        <f t="shared" si="40"/>
        <v>0</v>
      </c>
      <c r="T223" s="278"/>
    </row>
    <row r="224" spans="1:20" ht="15" customHeight="1" x14ac:dyDescent="0.25">
      <c r="A224" s="164" t="s">
        <v>241</v>
      </c>
      <c r="B224" s="126">
        <f>VALUE(RIGHT(B218,2))/12</f>
        <v>1</v>
      </c>
      <c r="C224" s="275"/>
      <c r="D224" s="95" t="s">
        <v>151</v>
      </c>
      <c r="E224" s="176" t="s">
        <v>263</v>
      </c>
      <c r="F224" s="78"/>
      <c r="G224" s="78"/>
      <c r="H224" s="78"/>
      <c r="I224" s="79"/>
      <c r="J224" s="78"/>
      <c r="K224" s="79"/>
      <c r="L224" s="79"/>
      <c r="M224" s="79"/>
      <c r="N224" s="79"/>
      <c r="O224" s="79"/>
      <c r="P224" s="79"/>
      <c r="Q224" s="79"/>
      <c r="R224" s="79"/>
      <c r="S224" s="80">
        <f t="shared" si="40"/>
        <v>0</v>
      </c>
      <c r="T224" s="279"/>
    </row>
    <row r="225" spans="1:20" ht="15" customHeight="1" x14ac:dyDescent="0.25">
      <c r="A225" s="164" t="s">
        <v>243</v>
      </c>
      <c r="B225" s="161">
        <f>B219*VALUE(RIGHT(B218,2))-B222</f>
        <v>1655387.6666666667</v>
      </c>
      <c r="C225" s="275"/>
      <c r="D225" s="97" t="s">
        <v>152</v>
      </c>
      <c r="E225" s="97" t="s">
        <v>144</v>
      </c>
      <c r="F225" s="85"/>
      <c r="G225" s="46"/>
      <c r="H225" s="85"/>
      <c r="I225" s="46"/>
      <c r="J225" s="46"/>
      <c r="K225" s="46"/>
      <c r="L225" s="46"/>
      <c r="M225" s="152"/>
      <c r="N225" s="46"/>
      <c r="O225" s="46"/>
      <c r="P225" s="46"/>
      <c r="Q225" s="46"/>
      <c r="R225" s="46"/>
      <c r="S225" s="83">
        <f t="shared" si="40"/>
        <v>0</v>
      </c>
      <c r="T225" s="280">
        <f>SUM(S225:S229)</f>
        <v>0</v>
      </c>
    </row>
    <row r="226" spans="1:20" ht="15" customHeight="1" x14ac:dyDescent="0.25">
      <c r="A226" s="164" t="s">
        <v>265</v>
      </c>
      <c r="B226" s="184">
        <f>$J$2-(S235-F232)</f>
        <v>145752.66666666666</v>
      </c>
      <c r="C226" s="275"/>
      <c r="D226" s="97" t="s">
        <v>152</v>
      </c>
      <c r="E226" s="97" t="s">
        <v>145</v>
      </c>
      <c r="F226" s="85"/>
      <c r="G226" s="46"/>
      <c r="H226" s="85"/>
      <c r="I226" s="46"/>
      <c r="J226" s="46"/>
      <c r="K226" s="46"/>
      <c r="L226" s="46"/>
      <c r="M226" s="152"/>
      <c r="N226" s="46"/>
      <c r="O226" s="46"/>
      <c r="P226" s="46"/>
      <c r="Q226" s="46"/>
      <c r="R226" s="46"/>
      <c r="S226" s="83">
        <f t="shared" si="40"/>
        <v>0</v>
      </c>
      <c r="T226" s="281"/>
    </row>
    <row r="227" spans="1:20" ht="15" customHeight="1" x14ac:dyDescent="0.25">
      <c r="C227" s="275"/>
      <c r="D227" s="97" t="s">
        <v>152</v>
      </c>
      <c r="E227" s="97" t="s">
        <v>146</v>
      </c>
      <c r="F227" s="86"/>
      <c r="G227" s="46"/>
      <c r="H227" s="87"/>
      <c r="I227" s="46"/>
      <c r="J227" s="46"/>
      <c r="K227" s="46"/>
      <c r="L227" s="46"/>
      <c r="M227" s="152"/>
      <c r="N227" s="46"/>
      <c r="O227" s="46"/>
      <c r="P227" s="46"/>
      <c r="Q227" s="46"/>
      <c r="R227" s="46"/>
      <c r="S227" s="83">
        <f t="shared" si="40"/>
        <v>0</v>
      </c>
      <c r="T227" s="281"/>
    </row>
    <row r="228" spans="1:20" ht="15" customHeight="1" x14ac:dyDescent="0.25">
      <c r="C228" s="275"/>
      <c r="D228" s="97" t="s">
        <v>152</v>
      </c>
      <c r="E228" s="97" t="s">
        <v>147</v>
      </c>
      <c r="F228" s="85"/>
      <c r="G228" s="46"/>
      <c r="H228" s="87"/>
      <c r="I228" s="46"/>
      <c r="J228" s="46"/>
      <c r="K228" s="46"/>
      <c r="L228" s="46"/>
      <c r="M228" s="152"/>
      <c r="N228" s="46"/>
      <c r="O228" s="46"/>
      <c r="P228" s="46"/>
      <c r="Q228" s="46"/>
      <c r="R228" s="46"/>
      <c r="S228" s="83">
        <f t="shared" si="40"/>
        <v>0</v>
      </c>
      <c r="T228" s="281"/>
    </row>
    <row r="229" spans="1:20" ht="15" customHeight="1" x14ac:dyDescent="0.25">
      <c r="C229" s="275"/>
      <c r="D229" s="97" t="s">
        <v>152</v>
      </c>
      <c r="E229" s="97" t="s">
        <v>168</v>
      </c>
      <c r="F229" s="85"/>
      <c r="G229" s="46"/>
      <c r="H229" s="46"/>
      <c r="I229" s="46"/>
      <c r="J229" s="46"/>
      <c r="K229" s="46"/>
      <c r="L229" s="46"/>
      <c r="M229" s="152"/>
      <c r="N229" s="46"/>
      <c r="O229" s="86"/>
      <c r="P229" s="46"/>
      <c r="Q229" s="46"/>
      <c r="R229" s="46"/>
      <c r="S229" s="83">
        <f t="shared" si="40"/>
        <v>0</v>
      </c>
      <c r="T229" s="281"/>
    </row>
    <row r="230" spans="1:20" ht="15" customHeight="1" x14ac:dyDescent="0.25">
      <c r="C230" s="275"/>
      <c r="D230" s="98" t="s">
        <v>153</v>
      </c>
      <c r="E230" s="98" t="s">
        <v>170</v>
      </c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>
        <f t="shared" si="40"/>
        <v>0</v>
      </c>
      <c r="T230" s="282">
        <f>SUM(S230:S234)</f>
        <v>0</v>
      </c>
    </row>
    <row r="231" spans="1:20" ht="15" customHeight="1" x14ac:dyDescent="0.25">
      <c r="C231" s="275"/>
      <c r="D231" s="99" t="s">
        <v>153</v>
      </c>
      <c r="E231" s="99" t="s">
        <v>171</v>
      </c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>
        <f t="shared" si="40"/>
        <v>0</v>
      </c>
      <c r="T231" s="283"/>
    </row>
    <row r="232" spans="1:20" ht="15" customHeight="1" x14ac:dyDescent="0.25">
      <c r="C232" s="275"/>
      <c r="D232" s="99" t="s">
        <v>153</v>
      </c>
      <c r="E232" s="99" t="s">
        <v>172</v>
      </c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>
        <f t="shared" si="40"/>
        <v>0</v>
      </c>
      <c r="T232" s="283"/>
    </row>
    <row r="233" spans="1:20" s="41" customFormat="1" ht="15" customHeight="1" x14ac:dyDescent="0.25">
      <c r="A233" s="45"/>
      <c r="B233" s="45"/>
      <c r="C233" s="276"/>
      <c r="D233" s="99" t="s">
        <v>153</v>
      </c>
      <c r="E233" s="99" t="s">
        <v>173</v>
      </c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>
        <f t="shared" si="40"/>
        <v>0</v>
      </c>
      <c r="T233" s="283"/>
    </row>
    <row r="234" spans="1:20" ht="15.75" customHeight="1" thickBot="1" x14ac:dyDescent="0.3">
      <c r="A234" s="41"/>
      <c r="B234" s="41"/>
      <c r="C234" s="276"/>
      <c r="D234" s="100" t="s">
        <v>153</v>
      </c>
      <c r="E234" s="100" t="s">
        <v>168</v>
      </c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>
        <f t="shared" si="40"/>
        <v>0</v>
      </c>
      <c r="T234" s="283"/>
    </row>
    <row r="235" spans="1:20" ht="15" customHeight="1" x14ac:dyDescent="0.25">
      <c r="D235" s="101" t="s">
        <v>120</v>
      </c>
      <c r="E235" s="101" t="s">
        <v>120</v>
      </c>
      <c r="F235" s="64">
        <f>SUM(F218:F234)</f>
        <v>9826</v>
      </c>
      <c r="G235" s="64">
        <f>SUM(G218:G234)</f>
        <v>0</v>
      </c>
      <c r="H235" s="64">
        <f>SUM(H218:H234)</f>
        <v>0</v>
      </c>
      <c r="I235" s="64">
        <f t="shared" ref="I235:P235" si="41">SUM(I218:I234)</f>
        <v>0</v>
      </c>
      <c r="J235" s="64">
        <f t="shared" si="41"/>
        <v>0</v>
      </c>
      <c r="K235" s="64">
        <f t="shared" si="41"/>
        <v>0</v>
      </c>
      <c r="L235" s="64">
        <f t="shared" si="41"/>
        <v>0</v>
      </c>
      <c r="M235" s="64">
        <f t="shared" si="41"/>
        <v>0</v>
      </c>
      <c r="N235" s="64">
        <f t="shared" si="41"/>
        <v>0</v>
      </c>
      <c r="O235" s="64">
        <f t="shared" si="41"/>
        <v>0</v>
      </c>
      <c r="P235" s="64">
        <f t="shared" si="41"/>
        <v>0</v>
      </c>
      <c r="Q235" s="64">
        <f>SUM(Q218:Q234)</f>
        <v>11088</v>
      </c>
      <c r="R235" s="64">
        <f>SUM(R218:R234)</f>
        <v>0</v>
      </c>
      <c r="S235" s="54">
        <f>SUM(S218:S234)</f>
        <v>20914</v>
      </c>
    </row>
    <row r="240" spans="1:20" x14ac:dyDescent="0.25">
      <c r="E240" s="129">
        <f>SUM(G240:P240)</f>
        <v>0.25016077170418005</v>
      </c>
      <c r="F240" s="130" t="s">
        <v>223</v>
      </c>
      <c r="G240" s="131">
        <f t="shared" ref="G240:M240" si="42">G242/$E$243</f>
        <v>6.4308681672025723E-3</v>
      </c>
      <c r="H240" s="131">
        <f t="shared" si="42"/>
        <v>2.3579849946409433E-2</v>
      </c>
      <c r="I240" s="131">
        <f t="shared" si="42"/>
        <v>1.5005359056806002E-2</v>
      </c>
      <c r="J240" s="131">
        <f t="shared" si="42"/>
        <v>5.5091103965702035E-2</v>
      </c>
      <c r="K240" s="131">
        <f t="shared" si="42"/>
        <v>5.0160771704180061E-2</v>
      </c>
      <c r="L240" s="131">
        <f t="shared" si="42"/>
        <v>4.9946409431939981E-2</v>
      </c>
      <c r="M240" s="131">
        <f t="shared" si="42"/>
        <v>4.9946409431939981E-2</v>
      </c>
      <c r="N240" s="143"/>
      <c r="O240" s="143"/>
    </row>
    <row r="241" spans="5:15" ht="16.5" x14ac:dyDescent="0.25">
      <c r="F241" s="132" t="s">
        <v>97</v>
      </c>
      <c r="G241" s="133">
        <v>44478</v>
      </c>
      <c r="H241" s="133">
        <v>44482</v>
      </c>
      <c r="I241" s="133">
        <v>44487</v>
      </c>
      <c r="J241" s="133">
        <v>44501</v>
      </c>
      <c r="K241" s="133">
        <v>44526</v>
      </c>
      <c r="L241" s="133">
        <v>44725</v>
      </c>
      <c r="M241" s="133">
        <v>45056</v>
      </c>
      <c r="N241" s="133">
        <v>45343</v>
      </c>
      <c r="O241" s="133"/>
    </row>
    <row r="242" spans="5:15" ht="16.5" x14ac:dyDescent="0.25">
      <c r="E242" s="128">
        <f>SUM(G242:P242)</f>
        <v>11670000</v>
      </c>
      <c r="F242" s="132" t="s">
        <v>96</v>
      </c>
      <c r="G242" s="134">
        <v>300000</v>
      </c>
      <c r="H242" s="134">
        <v>1100000</v>
      </c>
      <c r="I242" s="134">
        <v>700000</v>
      </c>
      <c r="J242" s="134">
        <v>2570000</v>
      </c>
      <c r="K242" s="134">
        <v>2340000</v>
      </c>
      <c r="L242" s="134">
        <v>2330000</v>
      </c>
      <c r="M242" s="134">
        <v>2330000</v>
      </c>
      <c r="N242" s="143"/>
      <c r="O242" s="143"/>
    </row>
    <row r="243" spans="5:15" ht="19.5" x14ac:dyDescent="0.25">
      <c r="E243" s="127">
        <v>46650000</v>
      </c>
      <c r="F243" s="132" t="s">
        <v>57</v>
      </c>
      <c r="G243" s="132" t="s">
        <v>218</v>
      </c>
      <c r="H243" s="132" t="s">
        <v>218</v>
      </c>
      <c r="I243" s="132" t="s">
        <v>219</v>
      </c>
      <c r="J243" s="132" t="s">
        <v>219</v>
      </c>
      <c r="K243" s="132" t="s">
        <v>225</v>
      </c>
      <c r="L243" s="132" t="s">
        <v>226</v>
      </c>
      <c r="M243" s="132" t="s">
        <v>227</v>
      </c>
      <c r="N243" s="132" t="s">
        <v>228</v>
      </c>
      <c r="O243" s="130" t="s">
        <v>229</v>
      </c>
    </row>
  </sheetData>
  <mergeCells count="56">
    <mergeCell ref="AE6:AK6"/>
    <mergeCell ref="AL6:AP6"/>
    <mergeCell ref="AQ6:AU6"/>
    <mergeCell ref="AE7:AK7"/>
    <mergeCell ref="AL7:AP7"/>
    <mergeCell ref="AQ7:AU7"/>
    <mergeCell ref="AF8:AH8"/>
    <mergeCell ref="AI8:AJ8"/>
    <mergeCell ref="C9:C25"/>
    <mergeCell ref="T9:T15"/>
    <mergeCell ref="T16:T20"/>
    <mergeCell ref="T21:T25"/>
    <mergeCell ref="C28:C44"/>
    <mergeCell ref="T28:T34"/>
    <mergeCell ref="T35:T39"/>
    <mergeCell ref="T40:T44"/>
    <mergeCell ref="C47:C63"/>
    <mergeCell ref="T47:T53"/>
    <mergeCell ref="T54:T58"/>
    <mergeCell ref="T59:T63"/>
    <mergeCell ref="C66:C82"/>
    <mergeCell ref="T66:T72"/>
    <mergeCell ref="T73:T77"/>
    <mergeCell ref="T78:T82"/>
    <mergeCell ref="C85:C101"/>
    <mergeCell ref="T85:T91"/>
    <mergeCell ref="T92:T96"/>
    <mergeCell ref="T97:T101"/>
    <mergeCell ref="C104:C120"/>
    <mergeCell ref="T104:T110"/>
    <mergeCell ref="T111:T115"/>
    <mergeCell ref="T116:T120"/>
    <mergeCell ref="C123:C139"/>
    <mergeCell ref="T123:T129"/>
    <mergeCell ref="T130:T134"/>
    <mergeCell ref="T135:T139"/>
    <mergeCell ref="C142:C158"/>
    <mergeCell ref="T142:T148"/>
    <mergeCell ref="T149:T153"/>
    <mergeCell ref="T154:T158"/>
    <mergeCell ref="C161:C177"/>
    <mergeCell ref="T161:T167"/>
    <mergeCell ref="T168:T172"/>
    <mergeCell ref="T173:T177"/>
    <mergeCell ref="C218:C234"/>
    <mergeCell ref="T218:T224"/>
    <mergeCell ref="T225:T229"/>
    <mergeCell ref="T230:T234"/>
    <mergeCell ref="C180:C196"/>
    <mergeCell ref="T180:T186"/>
    <mergeCell ref="T187:T191"/>
    <mergeCell ref="T192:T196"/>
    <mergeCell ref="C199:C215"/>
    <mergeCell ref="T199:T205"/>
    <mergeCell ref="T206:T210"/>
    <mergeCell ref="T211:T215"/>
  </mergeCells>
  <phoneticPr fontId="1" type="noConversion"/>
  <conditionalFormatting sqref="J6:R6 F6:H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K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:AP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:AU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8">
    <cfRule type="expression" dxfId="23" priority="12">
      <formula>$B$88&gt;1</formula>
    </cfRule>
  </conditionalFormatting>
  <conditionalFormatting sqref="B69">
    <cfRule type="expression" dxfId="22" priority="11">
      <formula>$B$88&gt;1</formula>
    </cfRule>
  </conditionalFormatting>
  <conditionalFormatting sqref="B12">
    <cfRule type="expression" dxfId="21" priority="10">
      <formula>$B$88&gt;1</formula>
    </cfRule>
  </conditionalFormatting>
  <conditionalFormatting sqref="B31">
    <cfRule type="expression" dxfId="20" priority="9">
      <formula>$B$88&gt;1</formula>
    </cfRule>
  </conditionalFormatting>
  <conditionalFormatting sqref="B50">
    <cfRule type="expression" dxfId="19" priority="8">
      <formula>$B$88&gt;1</formula>
    </cfRule>
  </conditionalFormatting>
  <conditionalFormatting sqref="B107">
    <cfRule type="expression" dxfId="18" priority="7">
      <formula>$B$88&gt;1</formula>
    </cfRule>
  </conditionalFormatting>
  <conditionalFormatting sqref="B126">
    <cfRule type="expression" dxfId="17" priority="6">
      <formula>$B$88&gt;1</formula>
    </cfRule>
  </conditionalFormatting>
  <conditionalFormatting sqref="B145">
    <cfRule type="expression" dxfId="16" priority="5">
      <formula>$B$88&gt;1</formula>
    </cfRule>
  </conditionalFormatting>
  <conditionalFormatting sqref="B221">
    <cfRule type="expression" dxfId="15" priority="1">
      <formula>$B$88&gt;1</formula>
    </cfRule>
  </conditionalFormatting>
  <conditionalFormatting sqref="B164">
    <cfRule type="expression" dxfId="14" priority="4">
      <formula>$B$88&gt;1</formula>
    </cfRule>
  </conditionalFormatting>
  <conditionalFormatting sqref="B183">
    <cfRule type="expression" dxfId="13" priority="3">
      <formula>$B$88&gt;1</formula>
    </cfRule>
  </conditionalFormatting>
  <conditionalFormatting sqref="B202">
    <cfRule type="expression" dxfId="12" priority="2">
      <formula>$B$88&gt;1</formula>
    </cfRule>
  </conditionalFormatting>
  <pageMargins left="0.7" right="0.7" top="0.75" bottom="0.75" header="0.3" footer="0.3"/>
  <pageSetup paperSize="9" scale="6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5">
    <tabColor theme="1" tint="0.34998626667073579"/>
  </sheetPr>
  <dimension ref="A1:AV243"/>
  <sheetViews>
    <sheetView zoomScale="70" zoomScaleNormal="70" workbookViewId="0">
      <pane ySplit="8" topLeftCell="A9" activePane="bottomLeft" state="frozen"/>
      <selection pane="bottomLeft" activeCell="F33" sqref="F33"/>
    </sheetView>
  </sheetViews>
  <sheetFormatPr defaultColWidth="9" defaultRowHeight="15" x14ac:dyDescent="0.25"/>
  <cols>
    <col min="1" max="1" width="26" style="45" customWidth="1"/>
    <col min="2" max="2" width="16.5" style="45" bestFit="1" customWidth="1"/>
    <col min="3" max="3" width="11" style="45" customWidth="1"/>
    <col min="4" max="4" width="13.625" style="92" bestFit="1" customWidth="1"/>
    <col min="5" max="5" width="18" style="92" bestFit="1" customWidth="1"/>
    <col min="6" max="6" width="16.125" style="45" bestFit="1" customWidth="1"/>
    <col min="7" max="7" width="17.375" style="45" bestFit="1" customWidth="1"/>
    <col min="8" max="8" width="12.625" style="45" bestFit="1" customWidth="1"/>
    <col min="9" max="9" width="15.125" style="45" bestFit="1" customWidth="1"/>
    <col min="10" max="10" width="13.375" style="45" bestFit="1" customWidth="1"/>
    <col min="11" max="11" width="16.125" style="45" bestFit="1" customWidth="1"/>
    <col min="12" max="12" width="20.125" style="45" customWidth="1"/>
    <col min="13" max="13" width="18.375" style="45" bestFit="1" customWidth="1"/>
    <col min="14" max="14" width="16.125" style="45" bestFit="1" customWidth="1"/>
    <col min="15" max="15" width="17.5" style="45" bestFit="1" customWidth="1"/>
    <col min="16" max="16" width="16.125" style="45" bestFit="1" customWidth="1"/>
    <col min="17" max="18" width="15" style="45" customWidth="1"/>
    <col min="19" max="19" width="13.5" style="45" bestFit="1" customWidth="1"/>
    <col min="20" max="20" width="12.625" style="45" bestFit="1" customWidth="1"/>
    <col min="21" max="21" width="9.625" style="45" bestFit="1" customWidth="1"/>
    <col min="22" max="22" width="10.875" style="45" bestFit="1" customWidth="1"/>
    <col min="23" max="23" width="12.125" style="45" bestFit="1" customWidth="1"/>
    <col min="24" max="24" width="13.75" style="45" bestFit="1" customWidth="1"/>
    <col min="25" max="25" width="14.25" style="45" bestFit="1" customWidth="1"/>
    <col min="26" max="26" width="10.875" style="45" bestFit="1" customWidth="1"/>
    <col min="27" max="27" width="12.625" style="45" customWidth="1"/>
    <col min="28" max="29" width="9" style="45"/>
    <col min="30" max="30" width="12.875" style="45" bestFit="1" customWidth="1"/>
    <col min="31" max="31" width="14.25" style="45" bestFit="1" customWidth="1"/>
    <col min="32" max="33" width="10.875" style="45" bestFit="1" customWidth="1"/>
    <col min="34" max="34" width="9" style="45" bestFit="1" customWidth="1"/>
    <col min="35" max="37" width="10.875" style="45" bestFit="1" customWidth="1"/>
    <col min="38" max="40" width="9.625" style="45" bestFit="1" customWidth="1"/>
    <col min="41" max="41" width="10.875" style="45" bestFit="1" customWidth="1"/>
    <col min="42" max="43" width="9.625" style="45" bestFit="1" customWidth="1"/>
    <col min="44" max="44" width="10" style="45" bestFit="1" customWidth="1"/>
    <col min="45" max="45" width="14.25" style="45" bestFit="1" customWidth="1"/>
    <col min="46" max="47" width="9.625" style="45" bestFit="1" customWidth="1"/>
    <col min="48" max="48" width="10.875" style="45" bestFit="1" customWidth="1"/>
    <col min="49" max="16384" width="9" style="45"/>
  </cols>
  <sheetData>
    <row r="1" spans="1:48" ht="16.5" x14ac:dyDescent="0.25">
      <c r="A1" s="55" t="s">
        <v>119</v>
      </c>
      <c r="B1" s="51">
        <f>SUMIF(D:D,A1,S:S)</f>
        <v>331164</v>
      </c>
      <c r="C1" s="57">
        <f>B1/$B$4</f>
        <v>0.98001580269711197</v>
      </c>
      <c r="J1" s="53" t="s">
        <v>246</v>
      </c>
      <c r="K1" s="179" t="s">
        <v>283</v>
      </c>
      <c r="L1" s="227" t="s">
        <v>276</v>
      </c>
      <c r="O1" s="126"/>
      <c r="P1" s="126"/>
    </row>
    <row r="2" spans="1:48" ht="18" thickBot="1" x14ac:dyDescent="0.3">
      <c r="A2" s="45" t="s">
        <v>152</v>
      </c>
      <c r="B2" s="51">
        <f>SUMIF(D:D,A2,S:S)</f>
        <v>0</v>
      </c>
      <c r="C2" s="57">
        <f>B2/$B$4</f>
        <v>0</v>
      </c>
      <c r="J2" s="162">
        <v>160000</v>
      </c>
      <c r="K2" s="107"/>
      <c r="L2" s="107">
        <f>J2*12+K2</f>
        <v>1920000</v>
      </c>
      <c r="O2" s="147"/>
      <c r="P2" s="125"/>
      <c r="S2" s="51"/>
      <c r="AO2" s="52"/>
    </row>
    <row r="3" spans="1:48" ht="18.75" thickTop="1" thickBot="1" x14ac:dyDescent="0.3">
      <c r="A3" s="45" t="s">
        <v>153</v>
      </c>
      <c r="B3" s="51">
        <f>SUMIF(D:D,A3,S:S)</f>
        <v>6753</v>
      </c>
      <c r="C3" s="57">
        <f>B3/$B$4</f>
        <v>1.9984197302887988E-2</v>
      </c>
      <c r="K3" s="74"/>
      <c r="M3" s="51"/>
      <c r="N3" s="51"/>
      <c r="O3" s="126"/>
      <c r="P3" s="51"/>
      <c r="Q3" s="67"/>
      <c r="S3" s="51"/>
      <c r="AD3" s="224" t="str">
        <f ca="1">YEAR(NOW())-1&amp;IF(LEN(MONTH(NOW()))=1,"0","")&amp;MONTH(NOW())</f>
        <v>202508</v>
      </c>
      <c r="AE3" s="51"/>
      <c r="AF3" s="52"/>
      <c r="AH3" s="191"/>
      <c r="AS3" s="51">
        <f>27778*12</f>
        <v>333336</v>
      </c>
    </row>
    <row r="4" spans="1:48" ht="15" customHeight="1" x14ac:dyDescent="0.25">
      <c r="A4" s="56" t="s">
        <v>120</v>
      </c>
      <c r="B4" s="156">
        <f>SUMIF(D:D,A4,S:S)</f>
        <v>337917</v>
      </c>
      <c r="C4" s="145">
        <f>B4-B89</f>
        <v>190679</v>
      </c>
      <c r="M4" s="53"/>
      <c r="N4" s="53"/>
      <c r="O4" s="53"/>
      <c r="AD4" s="224" t="str">
        <f ca="1">YEAR(NOW())&amp;IF(LEN(MONTH(NOW()))=1,"0","")&amp;MONTH(NOW())</f>
        <v>202608</v>
      </c>
    </row>
    <row r="5" spans="1:48" ht="17.25" thickBot="1" x14ac:dyDescent="0.3">
      <c r="A5" s="45" t="s">
        <v>239</v>
      </c>
      <c r="B5" s="154">
        <f>B4-K2</f>
        <v>337917</v>
      </c>
      <c r="AD5" s="163">
        <f>SUM(AE5:AU5)</f>
        <v>337917</v>
      </c>
      <c r="AE5" s="192">
        <f t="shared" ref="AE5:AU5" si="0">SUM(AE10:AE21)</f>
        <v>96000</v>
      </c>
      <c r="AF5" s="192">
        <f t="shared" si="0"/>
        <v>0</v>
      </c>
      <c r="AG5" s="192">
        <f t="shared" si="0"/>
        <v>42000</v>
      </c>
      <c r="AH5" s="192">
        <f t="shared" si="0"/>
        <v>0</v>
      </c>
      <c r="AI5" s="192">
        <f t="shared" si="0"/>
        <v>186000</v>
      </c>
      <c r="AJ5" s="192">
        <f t="shared" si="0"/>
        <v>0</v>
      </c>
      <c r="AK5" s="192">
        <f t="shared" si="0"/>
        <v>7164</v>
      </c>
      <c r="AL5" s="192">
        <f t="shared" si="0"/>
        <v>0</v>
      </c>
      <c r="AM5" s="192">
        <f t="shared" si="0"/>
        <v>0</v>
      </c>
      <c r="AN5" s="192">
        <f t="shared" si="0"/>
        <v>0</v>
      </c>
      <c r="AO5" s="192">
        <f t="shared" si="0"/>
        <v>0</v>
      </c>
      <c r="AP5" s="192">
        <f t="shared" si="0"/>
        <v>0</v>
      </c>
      <c r="AQ5" s="192">
        <f t="shared" si="0"/>
        <v>0</v>
      </c>
      <c r="AR5" s="192">
        <f t="shared" si="0"/>
        <v>0</v>
      </c>
      <c r="AS5" s="192">
        <f t="shared" si="0"/>
        <v>0</v>
      </c>
      <c r="AT5" s="192">
        <f t="shared" si="0"/>
        <v>6753</v>
      </c>
      <c r="AU5" s="192">
        <f t="shared" si="0"/>
        <v>0</v>
      </c>
    </row>
    <row r="6" spans="1:48" ht="17.25" thickBot="1" x14ac:dyDescent="0.3">
      <c r="A6" s="55" t="s">
        <v>238</v>
      </c>
      <c r="B6" s="157">
        <f>B4/L2</f>
        <v>0.17599843749999999</v>
      </c>
      <c r="F6" s="73">
        <f t="shared" ref="F6:R6" si="1">F7/$S$7</f>
        <v>0.55043102300268998</v>
      </c>
      <c r="G6" s="73">
        <f t="shared" si="1"/>
        <v>0</v>
      </c>
      <c r="H6" s="73">
        <f t="shared" si="1"/>
        <v>0</v>
      </c>
      <c r="I6" s="73">
        <f t="shared" si="1"/>
        <v>0</v>
      </c>
      <c r="J6" s="73">
        <f t="shared" si="1"/>
        <v>0</v>
      </c>
      <c r="K6" s="73">
        <f t="shared" si="1"/>
        <v>0</v>
      </c>
      <c r="L6" s="73">
        <f t="shared" si="1"/>
        <v>0</v>
      </c>
      <c r="M6" s="73">
        <f t="shared" si="1"/>
        <v>0</v>
      </c>
      <c r="N6" s="73">
        <f t="shared" si="1"/>
        <v>0</v>
      </c>
      <c r="O6" s="73">
        <f t="shared" si="1"/>
        <v>0</v>
      </c>
      <c r="P6" s="73">
        <f t="shared" si="1"/>
        <v>0</v>
      </c>
      <c r="Q6" s="73">
        <f t="shared" si="1"/>
        <v>0.44956897699730997</v>
      </c>
      <c r="R6" s="73">
        <f t="shared" si="1"/>
        <v>0</v>
      </c>
      <c r="AE6" s="289" t="str">
        <f>W9</f>
        <v>生活</v>
      </c>
      <c r="AF6" s="290"/>
      <c r="AG6" s="290"/>
      <c r="AH6" s="290"/>
      <c r="AI6" s="290"/>
      <c r="AJ6" s="290"/>
      <c r="AK6" s="291"/>
      <c r="AL6" s="289" t="str">
        <f>X9</f>
        <v>想要&amp;奢侈品</v>
      </c>
      <c r="AM6" s="292"/>
      <c r="AN6" s="292"/>
      <c r="AO6" s="292"/>
      <c r="AP6" s="293"/>
      <c r="AQ6" s="289" t="str">
        <f>Y9</f>
        <v>一次性支出</v>
      </c>
      <c r="AR6" s="292"/>
      <c r="AS6" s="292"/>
      <c r="AT6" s="292"/>
      <c r="AU6" s="293"/>
    </row>
    <row r="7" spans="1:48" ht="15.75" customHeight="1" thickBot="1" x14ac:dyDescent="0.3">
      <c r="F7" s="70">
        <f t="shared" ref="F7:R7" si="2">SUMIF($D$9:$D$1012,"Total",F9:F1012)</f>
        <v>186000</v>
      </c>
      <c r="G7" s="70">
        <f t="shared" si="2"/>
        <v>0</v>
      </c>
      <c r="H7" s="70">
        <f t="shared" si="2"/>
        <v>0</v>
      </c>
      <c r="I7" s="70">
        <f t="shared" si="2"/>
        <v>0</v>
      </c>
      <c r="J7" s="70">
        <f t="shared" si="2"/>
        <v>0</v>
      </c>
      <c r="K7" s="70">
        <f t="shared" si="2"/>
        <v>0</v>
      </c>
      <c r="L7" s="70">
        <f t="shared" si="2"/>
        <v>0</v>
      </c>
      <c r="M7" s="70">
        <f t="shared" si="2"/>
        <v>0</v>
      </c>
      <c r="N7" s="70">
        <f t="shared" si="2"/>
        <v>0</v>
      </c>
      <c r="O7" s="70">
        <f t="shared" si="2"/>
        <v>0</v>
      </c>
      <c r="P7" s="70">
        <f t="shared" si="2"/>
        <v>0</v>
      </c>
      <c r="Q7" s="70">
        <f>SUMIF($D$9:$D$1012,"Total",Q9:Q1012)</f>
        <v>151917</v>
      </c>
      <c r="R7" s="70">
        <f t="shared" si="2"/>
        <v>0</v>
      </c>
      <c r="S7" s="71">
        <f>SUM(F7:R7)</f>
        <v>337917</v>
      </c>
      <c r="Y7" s="51"/>
      <c r="AD7" s="225" t="s">
        <v>264</v>
      </c>
      <c r="AE7" s="294">
        <f ca="1">SUMPRODUCT((VALUE($AD$10:$AD$21)&lt;=VALUE($AD$4))*(AE10:AK21))/SUMPRODUCT((VALUE('2022'!$AD$10:$AD$21)&lt;=VALUE($AD$3))*('2022'!AE$10:AK$21))</f>
        <v>0.31152807396962084</v>
      </c>
      <c r="AF7" s="295"/>
      <c r="AG7" s="295"/>
      <c r="AH7" s="295"/>
      <c r="AI7" s="295"/>
      <c r="AJ7" s="295"/>
      <c r="AK7" s="296"/>
      <c r="AL7" s="294">
        <f ca="1">SUMPRODUCT((VALUE($AD$10:$AD$21)&lt;=VALUE($AD$4))*(AL10:AP21))/SUMPRODUCT((VALUE('2022'!$AD$10:$AD$21)&lt;=VALUE($AD$3))*('2022'!AL$10:AP$21))</f>
        <v>0</v>
      </c>
      <c r="AM7" s="295"/>
      <c r="AN7" s="295"/>
      <c r="AO7" s="295"/>
      <c r="AP7" s="295"/>
      <c r="AQ7" s="294">
        <f ca="1">SUMPRODUCT((VALUE($AD$10:$AD$21)&lt;=VALUE($AD$4))*(AQ10:AU21))/SUMPRODUCT((VALUE('2022'!$AD$10:$AD$21)&lt;=VALUE($AD$3))*('2022'!AQ$10:AU$21))</f>
        <v>1.0043368075385493E-2</v>
      </c>
      <c r="AR7" s="295"/>
      <c r="AS7" s="295"/>
      <c r="AT7" s="295"/>
      <c r="AU7" s="296"/>
    </row>
    <row r="8" spans="1:48" ht="18.75" thickTop="1" thickBot="1" x14ac:dyDescent="0.3">
      <c r="C8" s="41" t="s">
        <v>154</v>
      </c>
      <c r="D8" s="93"/>
      <c r="E8" s="93"/>
      <c r="F8" s="41" t="s">
        <v>155</v>
      </c>
      <c r="G8" s="41" t="s">
        <v>156</v>
      </c>
      <c r="H8" s="41" t="s">
        <v>157</v>
      </c>
      <c r="I8" s="41" t="s">
        <v>158</v>
      </c>
      <c r="J8" s="41" t="s">
        <v>159</v>
      </c>
      <c r="K8" s="41" t="s">
        <v>160</v>
      </c>
      <c r="L8" s="41" t="s">
        <v>161</v>
      </c>
      <c r="M8" s="53" t="s">
        <v>235</v>
      </c>
      <c r="N8" s="41" t="s">
        <v>162</v>
      </c>
      <c r="O8" s="53" t="s">
        <v>233</v>
      </c>
      <c r="P8" s="41" t="s">
        <v>192</v>
      </c>
      <c r="Q8" s="41" t="s">
        <v>164</v>
      </c>
      <c r="R8" s="41"/>
      <c r="S8" s="84" t="s">
        <v>120</v>
      </c>
      <c r="W8" s="52">
        <f>SUM(W10:W21)</f>
        <v>331164</v>
      </c>
      <c r="X8" s="52">
        <f>SUM(X10:X21)</f>
        <v>0</v>
      </c>
      <c r="Y8" s="52">
        <f>SUM(Y10:Y21)</f>
        <v>6753</v>
      </c>
      <c r="Z8" s="51"/>
      <c r="AA8" s="74"/>
      <c r="AD8" s="226">
        <f ca="1">SUMPRODUCT((VALUE($AD$10:$AD$21)&lt;=VALUE($AD$4))*(AE10:AU21))/SUMPRODUCT((VALUE('2022'!$AD$10:$AD$21)&lt;=VALUE($AD$3))*('2022'!AE$10:AU$21))</f>
        <v>0.17611694953062165</v>
      </c>
      <c r="AE8" s="199">
        <f ca="1">SUMPRODUCT((VALUE($AD$10:$AD$21)&lt;=VALUE($AD$4))*(AE10:AE21))/SUMPRODUCT((VALUE('2022'!$AD$10:$AD$21)&lt;=VALUE($AD$3))*('2022'!AG$10:AG$21))</f>
        <v>0.31311256722950825</v>
      </c>
      <c r="AF8" s="299">
        <f ca="1">(SUMPRODUCT((VALUE($AD$10:$AD$21)&lt;=VALUE($AD$4))*(AF10:AF21))+SUMPRODUCT((VALUE($AD$10:$AD$21)&lt;=VALUE($AD$4))*(AG10:AG21))+SUMPRODUCT((VALUE($AD$10:$AD$21)&lt;=VALUE($AD$4))*(AK10:AK21)))/(SUMPRODUCT((VALUE('2022'!$AD$10:$AD$21)&lt;=VALUE($AD$3))*('2022'!AE$10:AE$21))+SUMPRODUCT((VALUE('2022'!$AD$10:$AD$21)&lt;=VALUE($AD$3))*('2022'!AI$10:AI$21))+SUMPRODUCT((VALUE('2022'!$AD$10:$AD$21)&lt;=VALUE($AD$3))*('2022'!AJ$10:AJ$21)))</f>
        <v>0.19651293858071325</v>
      </c>
      <c r="AG8" s="300"/>
      <c r="AH8" s="300"/>
      <c r="AI8" s="297">
        <f ca="1">(SUMPRODUCT((VALUE($AD$10:$AD$21)&lt;=VALUE($AD$4))*(AI10:AI21))+SUMPRODUCT((VALUE($AD$10:$AD$21)&lt;=VALUE($AD$4))*(AJ10:AJ21)))/SUMPRODUCT((VALUE('2022'!$AD$10:$AD$21)&lt;=VALUE($AD$3))*('2022'!AK$10:AK$21))</f>
        <v>0.39964161171594503</v>
      </c>
      <c r="AJ8" s="298"/>
      <c r="AK8" s="220">
        <f ca="1">SUMPRODUCT((VALUE($AD$10:$AD$21)&lt;=VALUE($AD$4))*(AH10:AH21))/SUMPRODUCT((VALUE('2022'!$AD$10:$AD$21)&lt;=VALUE($AD$3))*('2022'!AF$10:AF$21))</f>
        <v>0</v>
      </c>
      <c r="AL8" s="196">
        <f ca="1">SUMPRODUCT((VALUE($AD$10:$AD$21)&lt;=VALUE($AD$4))*(AL10:AL21))/SUMPRODUCT((VALUE('2022'!$AD$10:$AD$21)&lt;=VALUE($AD$3))*('2022'!AL10:AL21))</f>
        <v>0</v>
      </c>
      <c r="AM8" s="197">
        <f ca="1">SUMPRODUCT((VALUE($AD$10:$AD$21)&lt;=VALUE($AD$4))*(AM10:AM21))/SUMPRODUCT((VALUE('2022'!$AD$10:$AD$21)&lt;=VALUE($AD$3))*('2022'!AM10:AM21))</f>
        <v>0</v>
      </c>
      <c r="AN8" s="197">
        <f ca="1">SUMPRODUCT((VALUE($AD$10:$AD$21)&lt;=VALUE($AD$4))*(AN10:AN21))/SUMPRODUCT((VALUE('2022'!$AD$10:$AD$21)&lt;=VALUE($AD$3))*('2022'!AN10:AN21))</f>
        <v>0</v>
      </c>
      <c r="AO8" s="197">
        <f ca="1">SUMPRODUCT((VALUE($AD$10:$AD$21)&lt;=VALUE($AD$4))*(AO10:AO21))/SUMPRODUCT((VALUE('2022'!$AD$10:$AD$21)&lt;=VALUE($AD$3))*('2022'!AO10:AO21))</f>
        <v>0</v>
      </c>
      <c r="AP8" s="198">
        <f ca="1">SUMPRODUCT((VALUE($AD$10:$AD$21)&lt;=VALUE($AD$4))*(AP10:AP21))/SUMPRODUCT((VALUE('2022'!$AD$10:$AD$21)&lt;=VALUE($AD$3))*('2022'!AP10:AP21))</f>
        <v>0</v>
      </c>
      <c r="AQ8" s="221">
        <f ca="1">SUMPRODUCT((VALUE($AD$10:$AD$21)&lt;=VALUE($AD$4))*(AQ10:AQ21))/SUMPRODUCT((VALUE('2022'!$AD$10:$AD$21)&lt;=VALUE($AD$3))*('2022'!AQ10:AQ21))</f>
        <v>0</v>
      </c>
      <c r="AR8" s="197">
        <f ca="1">SUMPRODUCT((VALUE($AD$10:$AD$21)&lt;=VALUE($AD$4))*(AR10:AR21))/SUMPRODUCT((VALUE('2022'!$AD$10:$AD$21)&lt;=VALUE($AD$3))*('2022'!AR10:AR21))</f>
        <v>0</v>
      </c>
      <c r="AS8" s="197">
        <f ca="1">SUMPRODUCT((VALUE($AD$10:$AD$21)&lt;=VALUE($AD$4))*(AS10:AS21))/SUMPRODUCT((VALUE('2022'!$AD$10:$AD$21)&lt;=VALUE($AD$3))*('2022'!AS10:AS21))</f>
        <v>0</v>
      </c>
      <c r="AT8" s="197">
        <f ca="1">SUMPRODUCT((VALUE($AD$10:$AD$21)&lt;=VALUE($AD$4))*(AT10:AT21))/SUMPRODUCT((VALUE('2022'!$AD$10:$AD$21)&lt;=VALUE($AD$3))*('2022'!AT10:AT21))</f>
        <v>0.20205858591903295</v>
      </c>
      <c r="AU8" s="198">
        <f ca="1">SUMPRODUCT((VALUE($AD$10:$AD$21)&lt;=VALUE($AD$4))*(AU10:AU21))/SUMPRODUCT((VALUE('2022'!$AD$10:$AD$21)&lt;=VALUE($AD$3))*('2022'!AU10:AU21))</f>
        <v>0</v>
      </c>
    </row>
    <row r="9" spans="1:48" ht="18" thickBot="1" x14ac:dyDescent="0.3">
      <c r="A9" s="166" t="s">
        <v>188</v>
      </c>
      <c r="B9" s="167">
        <v>202301</v>
      </c>
      <c r="C9" s="275">
        <v>202301</v>
      </c>
      <c r="D9" s="94" t="s">
        <v>151</v>
      </c>
      <c r="E9" s="177" t="s">
        <v>252</v>
      </c>
      <c r="F9" s="60"/>
      <c r="G9" s="59"/>
      <c r="H9" s="59"/>
      <c r="I9" s="60"/>
      <c r="J9" s="59"/>
      <c r="K9" s="60"/>
      <c r="L9" s="60"/>
      <c r="M9" s="60"/>
      <c r="N9" s="60"/>
      <c r="O9" s="60"/>
      <c r="P9" s="60"/>
      <c r="Q9" s="60">
        <f>2000+2000+2000+2000</f>
        <v>8000</v>
      </c>
      <c r="R9" s="60"/>
      <c r="S9" s="44">
        <f t="shared" ref="S9:S25" si="3">SUM(F9:R9)</f>
        <v>8000</v>
      </c>
      <c r="T9" s="277">
        <f>SUM(S9:S15)</f>
        <v>28097</v>
      </c>
      <c r="V9" s="41" t="s">
        <v>188</v>
      </c>
      <c r="W9" s="41" t="str">
        <f>A1</f>
        <v>生活</v>
      </c>
      <c r="X9" s="41" t="s">
        <v>152</v>
      </c>
      <c r="Y9" s="41" t="str">
        <f>A3</f>
        <v>一次性支出</v>
      </c>
      <c r="Z9" s="41" t="s">
        <v>120</v>
      </c>
      <c r="AD9" s="41" t="s">
        <v>208</v>
      </c>
      <c r="AE9" s="193" t="s">
        <v>252</v>
      </c>
      <c r="AF9" s="194" t="s">
        <v>251</v>
      </c>
      <c r="AG9" s="194" t="s">
        <v>254</v>
      </c>
      <c r="AH9" s="195" t="s">
        <v>263</v>
      </c>
      <c r="AI9" s="194" t="s">
        <v>256</v>
      </c>
      <c r="AJ9" s="194" t="s">
        <v>257</v>
      </c>
      <c r="AK9" s="194" t="s">
        <v>255</v>
      </c>
      <c r="AL9" s="122" t="s">
        <v>200</v>
      </c>
      <c r="AM9" s="123" t="s">
        <v>201</v>
      </c>
      <c r="AN9" s="123" t="s">
        <v>202</v>
      </c>
      <c r="AO9" s="123" t="s">
        <v>203</v>
      </c>
      <c r="AP9" s="124" t="s">
        <v>198</v>
      </c>
      <c r="AQ9" s="123" t="s">
        <v>204</v>
      </c>
      <c r="AR9" s="123" t="s">
        <v>205</v>
      </c>
      <c r="AS9" s="123" t="s">
        <v>206</v>
      </c>
      <c r="AT9" s="123" t="s">
        <v>207</v>
      </c>
      <c r="AU9" s="124" t="s">
        <v>198</v>
      </c>
      <c r="AV9" s="158" t="s">
        <v>240</v>
      </c>
    </row>
    <row r="10" spans="1:48" ht="15" customHeight="1" thickBot="1" x14ac:dyDescent="0.3">
      <c r="A10" s="164" t="s">
        <v>247</v>
      </c>
      <c r="B10" s="162">
        <f>$J$2</f>
        <v>160000</v>
      </c>
      <c r="C10" s="275"/>
      <c r="D10" s="95" t="s">
        <v>151</v>
      </c>
      <c r="E10" s="176" t="s">
        <v>251</v>
      </c>
      <c r="F10" s="79"/>
      <c r="G10" s="78"/>
      <c r="H10" s="78"/>
      <c r="I10" s="79"/>
      <c r="J10" s="78"/>
      <c r="K10" s="79"/>
      <c r="L10" s="79"/>
      <c r="M10" s="79"/>
      <c r="N10" s="79"/>
      <c r="O10" s="79"/>
      <c r="P10" s="79"/>
      <c r="Q10" s="79"/>
      <c r="R10" s="79"/>
      <c r="S10" s="80">
        <f t="shared" si="3"/>
        <v>0</v>
      </c>
      <c r="T10" s="278"/>
      <c r="V10" s="90">
        <f>$C$9</f>
        <v>202301</v>
      </c>
      <c r="W10" s="52">
        <f>T9</f>
        <v>28097</v>
      </c>
      <c r="X10" s="52">
        <f>T16</f>
        <v>0</v>
      </c>
      <c r="Y10" s="52">
        <f>T21</f>
        <v>0</v>
      </c>
      <c r="Z10" s="52">
        <f>W10+X10+Y10</f>
        <v>28097</v>
      </c>
      <c r="AD10" s="200">
        <f t="shared" ref="AD10:AD21" si="4">V10</f>
        <v>202301</v>
      </c>
      <c r="AE10" s="116">
        <f>SUMPRODUCT(($D$9:$D$25=$AE$6)*($E$9:$E$25=AE$9)*$S$9:$S$25)</f>
        <v>8000</v>
      </c>
      <c r="AF10" s="201">
        <f>SUMPRODUCT(($D$9:$D$25=$AE$6)*($E$9:$E$25=$AF$9)*$S$9:$S$25)</f>
        <v>0</v>
      </c>
      <c r="AG10" s="202">
        <f>SUMPRODUCT(($D$9:$D$25=$AE$6)*($E$9:$E$25=$AG$9)*$S$9:$S$25)</f>
        <v>3500</v>
      </c>
      <c r="AH10" s="203">
        <f>SUMPRODUCT(($D$9:$D$25=$AE$6)*($E$9:$E$25=$AH$9)*$S$9:$S$25)</f>
        <v>0</v>
      </c>
      <c r="AI10" s="201">
        <f>SUMPRODUCT(($D$9:$D$25=$AE$6)*($E$9:$E$25=$AI$9)*$S$9:$S$25)</f>
        <v>16000</v>
      </c>
      <c r="AJ10" s="203">
        <f>SUMPRODUCT(($D$9:$D$25=$AE$6)*($E$9:$E$25=$AJ$9)*$S$9:$S$25)</f>
        <v>0</v>
      </c>
      <c r="AK10" s="117">
        <f>SUMPRODUCT(($D$9:$D$25=$AE$6)*($E$9:$E$25=$AK$9)*$S$9:$S$25)</f>
        <v>597</v>
      </c>
      <c r="AL10" s="210">
        <f>SUMPRODUCT(($D$9:$D$25=$AL$6)*($E$9:$E$25=$AL$9)*$S$9:$S$25)</f>
        <v>0</v>
      </c>
      <c r="AM10" s="211">
        <f>SUMPRODUCT(($D$9:$D$25=$AL$6)*($E$9:$E$25=$AM$9)*$S$9:$S$25)</f>
        <v>0</v>
      </c>
      <c r="AN10" s="211">
        <f>SUMPRODUCT(($D$9:$D$25=$AL$6)*($E$9:$E$25=$AN$9)*$S$9:$S$25)</f>
        <v>0</v>
      </c>
      <c r="AO10" s="211">
        <f>SUMPRODUCT(($D$9:$D$25=$AL$6)*($E$9:$E$25=$AO$9)*$S$9:$S$25)</f>
        <v>0</v>
      </c>
      <c r="AP10" s="212">
        <f>SUMPRODUCT(($D$9:$D$25=$AL$6)*($E$9:$E$25=$AP$9)*$S$9:$S$25)</f>
        <v>0</v>
      </c>
      <c r="AQ10" s="210">
        <f>SUMPRODUCT(($D$9:$D$25=$AQ$6)*($E$9:$E$25=$AQ$9)*$S$9:$S$25)</f>
        <v>0</v>
      </c>
      <c r="AR10" s="211">
        <f>SUMPRODUCT(($D$9:$D$25=$AQ$6)*($E$9:$E$25=$AR$9)*$S$9:$S$25)</f>
        <v>0</v>
      </c>
      <c r="AS10" s="211">
        <f>SUMPRODUCT(($D$9:$D$25=$AQ$6)*($E$9:$E$25=$AS$9)*$S$9:$S$25)</f>
        <v>0</v>
      </c>
      <c r="AT10" s="211">
        <f>SUMPRODUCT(($D$9:$D$25=$AQ$6)*($E$9:$E$25=$AT$9)*$S$9:$S$25)</f>
        <v>0</v>
      </c>
      <c r="AU10" s="212">
        <f>SUMPRODUCT(($D$9:$D$25=$AQ$6)*($E$9:$E$25=$AU$9)*$S$9:$S$25)</f>
        <v>0</v>
      </c>
      <c r="AV10" s="159">
        <f>SUM(AE10:AU10)</f>
        <v>28097</v>
      </c>
    </row>
    <row r="11" spans="1:48" ht="15" customHeight="1" thickTop="1" x14ac:dyDescent="0.25">
      <c r="A11" s="165" t="s">
        <v>237</v>
      </c>
      <c r="B11" s="182">
        <f>SUMPRODUCT((($V$10:$V$21)&lt;=VALUE(B9))*($Z$10:$Z$21))</f>
        <v>28097</v>
      </c>
      <c r="C11" s="275"/>
      <c r="D11" s="95" t="s">
        <v>151</v>
      </c>
      <c r="E11" s="176" t="s">
        <v>254</v>
      </c>
      <c r="F11" s="79"/>
      <c r="G11" s="78"/>
      <c r="H11" s="78"/>
      <c r="I11" s="79"/>
      <c r="J11" s="78"/>
      <c r="K11" s="79"/>
      <c r="L11" s="79"/>
      <c r="M11" s="79"/>
      <c r="N11" s="79"/>
      <c r="O11" s="79"/>
      <c r="P11" s="79"/>
      <c r="Q11" s="79">
        <f>10500-7000</f>
        <v>3500</v>
      </c>
      <c r="R11" s="79"/>
      <c r="S11" s="80">
        <f t="shared" si="3"/>
        <v>3500</v>
      </c>
      <c r="T11" s="278"/>
      <c r="V11" s="90">
        <f>$C$28</f>
        <v>202302</v>
      </c>
      <c r="W11" s="52">
        <f>T28</f>
        <v>28097</v>
      </c>
      <c r="X11" s="52">
        <f>T35</f>
        <v>0</v>
      </c>
      <c r="Y11" s="52">
        <f>T40</f>
        <v>0</v>
      </c>
      <c r="Z11" s="52">
        <f t="shared" ref="Z11:Z21" si="5">W11+X11+Y11</f>
        <v>28097</v>
      </c>
      <c r="AD11" s="200">
        <f t="shared" si="4"/>
        <v>202302</v>
      </c>
      <c r="AE11" s="116">
        <f t="shared" ref="AE11:AK11" si="6">SUMPRODUCT(($D$28:$D$44=$AE$6)*($E$28:$E$44=AE$9)*$S$28:$S$44)</f>
        <v>8000</v>
      </c>
      <c r="AF11" s="204">
        <f t="shared" si="6"/>
        <v>0</v>
      </c>
      <c r="AG11" s="117">
        <f t="shared" si="6"/>
        <v>3500</v>
      </c>
      <c r="AH11" s="205">
        <f t="shared" si="6"/>
        <v>0</v>
      </c>
      <c r="AI11" s="204">
        <f t="shared" si="6"/>
        <v>16000</v>
      </c>
      <c r="AJ11" s="205">
        <f t="shared" si="6"/>
        <v>0</v>
      </c>
      <c r="AK11" s="117">
        <f t="shared" si="6"/>
        <v>597</v>
      </c>
      <c r="AL11" s="213">
        <f>SUMPRODUCT(($D$28:$D$44=$AL$6)*($E$28:$E$44=AL$9)*$S$28:$S$44)</f>
        <v>0</v>
      </c>
      <c r="AM11" s="208">
        <f>SUMPRODUCT(($D$28:$D$44=$AL$6)*($E$28:$E$44=AM$9)*$S$28:$S$44)</f>
        <v>0</v>
      </c>
      <c r="AN11" s="208">
        <f>SUMPRODUCT(($D$28:$D$44=$AL$6)*($E$28:$E$44=AN$9)*$S$28:$S$44)</f>
        <v>0</v>
      </c>
      <c r="AO11" s="208">
        <f>SUMPRODUCT(($D$28:$D$44=$AL$6)*($E$28:$E$44=AO$9)*$S$28:$S$44)</f>
        <v>0</v>
      </c>
      <c r="AP11" s="214">
        <f>SUMPRODUCT(($D$28:$D$44=$AL$6)*($E$28:$E$44=AP$9)*$S$28:$S$44)</f>
        <v>0</v>
      </c>
      <c r="AQ11" s="213">
        <f>SUMPRODUCT(($D$28:$D$44=$AQ$6)*($E$28:$E$44=AQ$9)*$S$28:$S$44)</f>
        <v>0</v>
      </c>
      <c r="AR11" s="208">
        <f>SUMPRODUCT(($D$28:$D$44=$AQ$6)*($E$28:$E$44=AR$9)*$S$28:$S$44)</f>
        <v>0</v>
      </c>
      <c r="AS11" s="208">
        <f>SUMPRODUCT(($D$28:$D$44=$AQ$6)*($E$28:$E$44=AS$9)*$S$28:$S$44)</f>
        <v>0</v>
      </c>
      <c r="AT11" s="208">
        <f>SUMPRODUCT(($D$28:$D$44=$AQ$6)*($E$28:$E$44=AT$9)*$S$28:$S$44)</f>
        <v>0</v>
      </c>
      <c r="AU11" s="214">
        <f>SUMPRODUCT(($D$28:$D$44=$AQ$6)*($E$28:$E$44=AU$9)*$S$28:$S$44)</f>
        <v>0</v>
      </c>
      <c r="AV11" s="159">
        <f t="shared" ref="AV11:AV21" si="7">SUM(AE11:AU11)</f>
        <v>28097</v>
      </c>
    </row>
    <row r="12" spans="1:48" ht="15" customHeight="1" x14ac:dyDescent="0.25">
      <c r="A12" s="165" t="s">
        <v>264</v>
      </c>
      <c r="B12" s="181">
        <f>B11/SUMPRODUCT((留底!$V$10:$V$21&lt;=留底!B9)*'2022'!$Z$10:$Z$21)</f>
        <v>0.18155560006978683</v>
      </c>
      <c r="C12" s="275"/>
      <c r="D12" s="95" t="s">
        <v>151</v>
      </c>
      <c r="E12" s="176" t="s">
        <v>255</v>
      </c>
      <c r="F12" s="79"/>
      <c r="G12" s="78"/>
      <c r="H12" s="78"/>
      <c r="I12" s="79"/>
      <c r="J12" s="78"/>
      <c r="K12" s="79"/>
      <c r="L12" s="79"/>
      <c r="M12" s="79"/>
      <c r="N12" s="79"/>
      <c r="O12" s="79"/>
      <c r="P12" s="79"/>
      <c r="Q12" s="79">
        <v>597</v>
      </c>
      <c r="R12" s="79"/>
      <c r="S12" s="80">
        <f t="shared" si="3"/>
        <v>597</v>
      </c>
      <c r="T12" s="278"/>
      <c r="V12" s="90">
        <f>$C$47</f>
        <v>202303</v>
      </c>
      <c r="W12" s="52">
        <f>T47</f>
        <v>28097</v>
      </c>
      <c r="X12" s="52">
        <f>T54</f>
        <v>0</v>
      </c>
      <c r="Y12" s="52">
        <f>T59</f>
        <v>0</v>
      </c>
      <c r="Z12" s="52">
        <f t="shared" si="5"/>
        <v>28097</v>
      </c>
      <c r="AD12" s="200">
        <f t="shared" si="4"/>
        <v>202303</v>
      </c>
      <c r="AE12" s="116">
        <f t="shared" ref="AE12:AK12" si="8">SUMPRODUCT(($D$47:$D$63=$AE$6)*($E$47:$E$63=AE$9)*$S$47:$S$63)</f>
        <v>8000</v>
      </c>
      <c r="AF12" s="204">
        <f t="shared" si="8"/>
        <v>0</v>
      </c>
      <c r="AG12" s="117">
        <f t="shared" si="8"/>
        <v>3500</v>
      </c>
      <c r="AH12" s="205">
        <f t="shared" si="8"/>
        <v>0</v>
      </c>
      <c r="AI12" s="204">
        <f t="shared" si="8"/>
        <v>16000</v>
      </c>
      <c r="AJ12" s="205">
        <f t="shared" si="8"/>
        <v>0</v>
      </c>
      <c r="AK12" s="117">
        <f t="shared" si="8"/>
        <v>597</v>
      </c>
      <c r="AL12" s="213">
        <f>SUMPRODUCT(($D$47:$D$63=$AL$6)*($E$47:$E$63=AL$9)*$S$47:$S$63)</f>
        <v>0</v>
      </c>
      <c r="AM12" s="208">
        <f>SUMPRODUCT(($D$47:$D$63=$AL$6)*($E$47:$E$63=AM$9)*$S$47:$S$63)</f>
        <v>0</v>
      </c>
      <c r="AN12" s="208">
        <f>SUMPRODUCT(($D$47:$D$63=$AL$6)*($E$47:$E$63=AN$9)*$S$47:$S$63)</f>
        <v>0</v>
      </c>
      <c r="AO12" s="208">
        <f>SUMPRODUCT(($D$47:$D$63=$AL$6)*($E$47:$E$63=AO$9)*$S$47:$S$63)</f>
        <v>0</v>
      </c>
      <c r="AP12" s="214">
        <f>SUMPRODUCT(($D$47:$D$63=$AL$6)*($E$47:$E$63=AP$9)*$S$47:$S$63)</f>
        <v>0</v>
      </c>
      <c r="AQ12" s="213">
        <f>SUMPRODUCT(($D$47:$D$63=$AQ$6)*($E$47:$E$63=AQ$9)*$S$47:$S$63)</f>
        <v>0</v>
      </c>
      <c r="AR12" s="208">
        <f>SUMPRODUCT(($D$47:$D$63=$AQ$6)*($E$47:$E$63=AR$9)*$S$47:$S$63)</f>
        <v>0</v>
      </c>
      <c r="AS12" s="208">
        <f>SUMPRODUCT(($D$47:$D$63=$AQ$6)*($E$47:$E$63=AS$9)*$S$47:$S$63)</f>
        <v>0</v>
      </c>
      <c r="AT12" s="208">
        <f>SUMPRODUCT(($D$47:$D$63=$AQ$6)*($E$47:$E$63=AT$9)*$S$47:$S$63)</f>
        <v>0</v>
      </c>
      <c r="AU12" s="214">
        <f>SUMPRODUCT(($D$47:$D$63=$AQ$6)*($E$47:$E$63=AU$9)*$S$47:$S$63)</f>
        <v>0</v>
      </c>
      <c r="AV12" s="159">
        <f t="shared" si="7"/>
        <v>28097</v>
      </c>
    </row>
    <row r="13" spans="1:48" ht="15" customHeight="1" x14ac:dyDescent="0.25">
      <c r="A13" s="165" t="s">
        <v>236</v>
      </c>
      <c r="B13" s="186">
        <f>B11-$K$2*VALUE(RIGHT(B9,2))/9</f>
        <v>28097</v>
      </c>
      <c r="C13" s="275"/>
      <c r="D13" s="96" t="s">
        <v>151</v>
      </c>
      <c r="E13" s="176" t="s">
        <v>256</v>
      </c>
      <c r="F13" s="79">
        <f>11500+4500</f>
        <v>16000</v>
      </c>
      <c r="G13" s="78"/>
      <c r="H13" s="78"/>
      <c r="I13" s="78"/>
      <c r="J13" s="78"/>
      <c r="K13" s="79"/>
      <c r="L13" s="79"/>
      <c r="M13" s="79"/>
      <c r="N13" s="79"/>
      <c r="O13" s="79"/>
      <c r="P13" s="79"/>
      <c r="Q13" s="79"/>
      <c r="R13" s="79"/>
      <c r="S13" s="80">
        <f t="shared" si="3"/>
        <v>16000</v>
      </c>
      <c r="T13" s="278"/>
      <c r="V13" s="90">
        <f>$C$66</f>
        <v>202304</v>
      </c>
      <c r="W13" s="52">
        <f>T66</f>
        <v>28097</v>
      </c>
      <c r="X13" s="52">
        <f>T73</f>
        <v>0</v>
      </c>
      <c r="Y13" s="52">
        <f>T78</f>
        <v>0</v>
      </c>
      <c r="Z13" s="52">
        <f t="shared" si="5"/>
        <v>28097</v>
      </c>
      <c r="AD13" s="200">
        <f t="shared" si="4"/>
        <v>202304</v>
      </c>
      <c r="AE13" s="116">
        <f t="shared" ref="AE13:AK13" si="9">SUMPRODUCT(($D$66:$D$82=$AE$6)*($E$66:$E$82=AE$9)*$S$66:$S$82)</f>
        <v>8000</v>
      </c>
      <c r="AF13" s="204">
        <f t="shared" si="9"/>
        <v>0</v>
      </c>
      <c r="AG13" s="117">
        <f t="shared" si="9"/>
        <v>3500</v>
      </c>
      <c r="AH13" s="205">
        <f t="shared" si="9"/>
        <v>0</v>
      </c>
      <c r="AI13" s="204">
        <f t="shared" si="9"/>
        <v>16000</v>
      </c>
      <c r="AJ13" s="205">
        <f t="shared" si="9"/>
        <v>0</v>
      </c>
      <c r="AK13" s="117">
        <f t="shared" si="9"/>
        <v>597</v>
      </c>
      <c r="AL13" s="213">
        <f>SUMPRODUCT(($D$66:$D$82=$AL$6)*($E$66:$E$82=AL$9)*$S$66:$S$82)</f>
        <v>0</v>
      </c>
      <c r="AM13" s="208">
        <f>SUMPRODUCT(($D$66:$D$82=$AL$6)*($E$66:$E$82=AM$9)*$S$66:$S$82)</f>
        <v>0</v>
      </c>
      <c r="AN13" s="208">
        <f>SUMPRODUCT(($D$66:$D$82=$AL$6)*($E$66:$E$82=AN$9)*$S$66:$S$82)</f>
        <v>0</v>
      </c>
      <c r="AO13" s="208">
        <f>SUMPRODUCT(($D$66:$D$82=$AL$6)*($E$66:$E$82=AO$9)*$S$66:$S$82)</f>
        <v>0</v>
      </c>
      <c r="AP13" s="214">
        <f>SUMPRODUCT(($D$66:$D$82=$AL$6)*($E$66:$E$82=AP$9)*$S$66:$S$82)</f>
        <v>0</v>
      </c>
      <c r="AQ13" s="213">
        <f>SUMPRODUCT(($D$66:$D$82=$AQ$6)*($E$66:$E$82=AQ$9)*$S$66:$S$82)</f>
        <v>0</v>
      </c>
      <c r="AR13" s="208">
        <f>SUMPRODUCT(($D$66:$D$82=$AQ$6)*($E$66:$E$82=AR$9)*$S$66:$S$82)</f>
        <v>0</v>
      </c>
      <c r="AS13" s="208">
        <f>SUMPRODUCT(($D$66:$D$82=$AQ$6)*($E$66:$E$82=AS$9)*$S$66:$S$82)</f>
        <v>0</v>
      </c>
      <c r="AT13" s="208">
        <f>SUMPRODUCT(($D$66:$D$82=$AQ$6)*($E$66:$E$82=AT$9)*$S$66:$S$82)</f>
        <v>0</v>
      </c>
      <c r="AU13" s="214">
        <f>SUMPRODUCT(($D$66:$D$82=$AQ$6)*($E$66:$E$82=AU$9)*$S$66:$S$82)</f>
        <v>0</v>
      </c>
      <c r="AV13" s="159">
        <f t="shared" si="7"/>
        <v>28097</v>
      </c>
    </row>
    <row r="14" spans="1:48" ht="15" customHeight="1" x14ac:dyDescent="0.25">
      <c r="A14" s="164" t="s">
        <v>242</v>
      </c>
      <c r="B14" s="157">
        <f>B13/($J$2*12)</f>
        <v>1.4633854166666667E-2</v>
      </c>
      <c r="C14" s="275"/>
      <c r="D14" s="95" t="s">
        <v>151</v>
      </c>
      <c r="E14" s="176" t="s">
        <v>257</v>
      </c>
      <c r="F14" s="79"/>
      <c r="G14" s="78"/>
      <c r="H14" s="78"/>
      <c r="I14" s="79"/>
      <c r="J14" s="78"/>
      <c r="K14" s="79"/>
      <c r="L14" s="79"/>
      <c r="M14" s="79"/>
      <c r="N14" s="79"/>
      <c r="O14" s="79"/>
      <c r="P14" s="79"/>
      <c r="Q14" s="79"/>
      <c r="R14" s="79"/>
      <c r="S14" s="80">
        <f>SUM(F14:R14)</f>
        <v>0</v>
      </c>
      <c r="T14" s="278"/>
      <c r="V14" s="90">
        <f>$C$85</f>
        <v>202305</v>
      </c>
      <c r="W14" s="52">
        <f>T85</f>
        <v>28097</v>
      </c>
      <c r="X14" s="52">
        <f>T92</f>
        <v>0</v>
      </c>
      <c r="Y14" s="52">
        <f>T97</f>
        <v>6753</v>
      </c>
      <c r="Z14" s="52">
        <f t="shared" si="5"/>
        <v>34850</v>
      </c>
      <c r="AD14" s="200">
        <f t="shared" si="4"/>
        <v>202305</v>
      </c>
      <c r="AE14" s="116">
        <f t="shared" ref="AE14:AK14" si="10">SUMPRODUCT(($D$85:$D$101=$AE$6)*($E$85:$E$101=AE$9)*$S$85:$S$101)</f>
        <v>8000</v>
      </c>
      <c r="AF14" s="204">
        <f t="shared" si="10"/>
        <v>0</v>
      </c>
      <c r="AG14" s="117">
        <f t="shared" si="10"/>
        <v>3500</v>
      </c>
      <c r="AH14" s="205">
        <f t="shared" si="10"/>
        <v>0</v>
      </c>
      <c r="AI14" s="204">
        <f t="shared" si="10"/>
        <v>16000</v>
      </c>
      <c r="AJ14" s="205">
        <f t="shared" si="10"/>
        <v>0</v>
      </c>
      <c r="AK14" s="117">
        <f t="shared" si="10"/>
        <v>597</v>
      </c>
      <c r="AL14" s="213">
        <f>SUMPRODUCT(($D$85:$D$101=$AL$6)*($E$85:$E$101=AL$9)*$S$85:$S$101)</f>
        <v>0</v>
      </c>
      <c r="AM14" s="208">
        <f>SUMPRODUCT(($D$85:$D$101=$AL$6)*($E$85:$E$101=AM$9)*$S$85:$S$101)</f>
        <v>0</v>
      </c>
      <c r="AN14" s="208">
        <f>SUMPRODUCT(($D$85:$D$101=$AL$6)*($E$85:$E$101=AN$9)*$S$85:$S$101)</f>
        <v>0</v>
      </c>
      <c r="AO14" s="208">
        <f>SUMPRODUCT(($D$85:$D$101=$AL$6)*($E$85:$E$101=AO$9)*$S$85:$S$101)</f>
        <v>0</v>
      </c>
      <c r="AP14" s="214">
        <f>SUMPRODUCT(($D$85:$D$101=$AL$6)*($E$85:$E$101=AP$9)*$S$85:$S$101)</f>
        <v>0</v>
      </c>
      <c r="AQ14" s="213">
        <f>SUMPRODUCT(($D$85:$D$101=$AQ$6)*($E$85:$E$101=AQ$9)*$S$85:$S$101)</f>
        <v>0</v>
      </c>
      <c r="AR14" s="208">
        <f>SUMPRODUCT(($D$85:$D$101=$AQ$6)*($E$85:$E$101=AR$9)*$S$85:$S$101)</f>
        <v>0</v>
      </c>
      <c r="AS14" s="208">
        <f>SUMPRODUCT(($D$85:$D$101=$AQ$6)*($E$85:$E$101=AS$9)*$S$85:$S$101)</f>
        <v>0</v>
      </c>
      <c r="AT14" s="208">
        <f>SUMPRODUCT(($D$85:$D$101=$AQ$6)*($E$85:$E$101=AT$9)*$S$85:$S$101)</f>
        <v>6753</v>
      </c>
      <c r="AU14" s="214">
        <f>SUMPRODUCT(($D$85:$D$101=$AQ$6)*($E$85:$E$101=AU$9)*$S$85:$S$101)</f>
        <v>0</v>
      </c>
      <c r="AV14" s="159">
        <f t="shared" si="7"/>
        <v>34850</v>
      </c>
    </row>
    <row r="15" spans="1:48" ht="15" customHeight="1" x14ac:dyDescent="0.25">
      <c r="A15" s="164" t="s">
        <v>241</v>
      </c>
      <c r="B15" s="126">
        <f>VALUE(RIGHT(B9,2))/12</f>
        <v>8.3333333333333329E-2</v>
      </c>
      <c r="C15" s="275"/>
      <c r="D15" s="95" t="s">
        <v>151</v>
      </c>
      <c r="E15" s="176" t="s">
        <v>263</v>
      </c>
      <c r="F15" s="78"/>
      <c r="G15" s="78"/>
      <c r="H15" s="78"/>
      <c r="I15" s="79"/>
      <c r="J15" s="78"/>
      <c r="K15" s="79"/>
      <c r="L15" s="79"/>
      <c r="M15" s="79"/>
      <c r="N15" s="79"/>
      <c r="O15" s="79"/>
      <c r="P15" s="79"/>
      <c r="Q15" s="79"/>
      <c r="R15" s="79"/>
      <c r="S15" s="80">
        <f>SUM(F15:R15)</f>
        <v>0</v>
      </c>
      <c r="T15" s="278"/>
      <c r="V15" s="90">
        <f>$C$104</f>
        <v>202306</v>
      </c>
      <c r="W15" s="52">
        <f>T104</f>
        <v>28097</v>
      </c>
      <c r="X15" s="52">
        <f>T111</f>
        <v>0</v>
      </c>
      <c r="Y15" s="52">
        <f>T116</f>
        <v>0</v>
      </c>
      <c r="Z15" s="52">
        <f t="shared" si="5"/>
        <v>28097</v>
      </c>
      <c r="AD15" s="200">
        <f t="shared" si="4"/>
        <v>202306</v>
      </c>
      <c r="AE15" s="116">
        <f t="shared" ref="AE15:AK15" si="11">SUMPRODUCT(($D$104:$D$120=$AE$6)*($E$104:$E$120=AE$9)*$S$104:$S$120)</f>
        <v>8000</v>
      </c>
      <c r="AF15" s="204">
        <f t="shared" si="11"/>
        <v>0</v>
      </c>
      <c r="AG15" s="117">
        <f t="shared" si="11"/>
        <v>3500</v>
      </c>
      <c r="AH15" s="205">
        <f t="shared" si="11"/>
        <v>0</v>
      </c>
      <c r="AI15" s="204">
        <f t="shared" si="11"/>
        <v>16000</v>
      </c>
      <c r="AJ15" s="205">
        <f t="shared" si="11"/>
        <v>0</v>
      </c>
      <c r="AK15" s="117">
        <f t="shared" si="11"/>
        <v>597</v>
      </c>
      <c r="AL15" s="213">
        <f>SUMPRODUCT(($D$104:$D$120=$AL$6)*($E$104:$E$120=AL$9)*$S$104:$S$120)</f>
        <v>0</v>
      </c>
      <c r="AM15" s="208">
        <f>SUMPRODUCT(($D$104:$D$120=$AL$6)*($E$104:$E$120=AM$9)*$S$104:$S$120)</f>
        <v>0</v>
      </c>
      <c r="AN15" s="208">
        <f>SUMPRODUCT(($D$104:$D$120=$AL$6)*($E$104:$E$120=AN$9)*$S$104:$S$120)</f>
        <v>0</v>
      </c>
      <c r="AO15" s="208">
        <f>SUMPRODUCT(($D$104:$D$120=$AL$6)*($E$104:$E$120=AO$9)*$S$104:$S$120)</f>
        <v>0</v>
      </c>
      <c r="AP15" s="214">
        <f>SUMPRODUCT(($D$104:$D$120=$AL$6)*($E$104:$E$120=AP$9)*$S$104:$S$120)</f>
        <v>0</v>
      </c>
      <c r="AQ15" s="213">
        <f>SUMPRODUCT(($D$104:$D$120=$AQ$6)*($E$104:$E$120=AQ$9)*$S$104:$S$120)</f>
        <v>0</v>
      </c>
      <c r="AR15" s="208">
        <f>SUMPRODUCT(($D$104:$D$120=$AQ$6)*($E$104:$E$120=AR$9)*$S$104:$S$120)</f>
        <v>0</v>
      </c>
      <c r="AS15" s="208">
        <f>SUMPRODUCT(($D$104:$D$120=$AQ$6)*($E$104:$E$120=AS$9)*$S$104:$S$120)</f>
        <v>0</v>
      </c>
      <c r="AT15" s="208">
        <f>SUMPRODUCT(($D$104:$D$120=$AQ$6)*($E$104:$E$120=AT$9)*$S$104:$S$120)</f>
        <v>0</v>
      </c>
      <c r="AU15" s="214">
        <f>SUMPRODUCT(($D$104:$D$120=$AQ$6)*($E$104:$E$120=AU$9)*$S$104:$S$120)</f>
        <v>0</v>
      </c>
      <c r="AV15" s="159">
        <f t="shared" si="7"/>
        <v>28097</v>
      </c>
    </row>
    <row r="16" spans="1:48" ht="15" customHeight="1" x14ac:dyDescent="0.25">
      <c r="A16" s="164" t="s">
        <v>243</v>
      </c>
      <c r="B16" s="161">
        <f>B10*VALUE(RIGHT(B9,2))-B13</f>
        <v>131903</v>
      </c>
      <c r="C16" s="275"/>
      <c r="D16" s="97" t="s">
        <v>152</v>
      </c>
      <c r="E16" s="97" t="s">
        <v>144</v>
      </c>
      <c r="F16" s="85"/>
      <c r="G16" s="85"/>
      <c r="H16" s="85"/>
      <c r="I16" s="46"/>
      <c r="J16" s="46"/>
      <c r="K16" s="46"/>
      <c r="L16" s="46"/>
      <c r="M16" s="89"/>
      <c r="N16" s="46"/>
      <c r="O16" s="89"/>
      <c r="P16" s="46"/>
      <c r="Q16" s="46"/>
      <c r="R16" s="46"/>
      <c r="S16" s="83">
        <f t="shared" si="3"/>
        <v>0</v>
      </c>
      <c r="T16" s="280">
        <f>SUM(S16:S20)</f>
        <v>0</v>
      </c>
      <c r="V16" s="90">
        <f>$C$123</f>
        <v>202307</v>
      </c>
      <c r="W16" s="52">
        <f>T123</f>
        <v>12097</v>
      </c>
      <c r="X16" s="52">
        <f>T130</f>
        <v>0</v>
      </c>
      <c r="Y16" s="52">
        <f>T135</f>
        <v>0</v>
      </c>
      <c r="Z16" s="52">
        <f t="shared" si="5"/>
        <v>12097</v>
      </c>
      <c r="AD16" s="200">
        <f t="shared" si="4"/>
        <v>202307</v>
      </c>
      <c r="AE16" s="116">
        <f t="shared" ref="AE16:AK16" si="12">SUMPRODUCT(($D$123:$D$139=$AE$6)*($E$123:$E$139=AE$9)*$S$123:$S$139)</f>
        <v>8000</v>
      </c>
      <c r="AF16" s="204">
        <f t="shared" si="12"/>
        <v>0</v>
      </c>
      <c r="AG16" s="117">
        <f t="shared" si="12"/>
        <v>3500</v>
      </c>
      <c r="AH16" s="205">
        <f t="shared" si="12"/>
        <v>0</v>
      </c>
      <c r="AI16" s="204">
        <f t="shared" si="12"/>
        <v>0</v>
      </c>
      <c r="AJ16" s="205">
        <f t="shared" si="12"/>
        <v>0</v>
      </c>
      <c r="AK16" s="117">
        <f t="shared" si="12"/>
        <v>597</v>
      </c>
      <c r="AL16" s="213">
        <f>SUMPRODUCT(($D$123:$D$139=$AL$6)*($E$123:$E$139=AL$9)*$S$123:$S$139)</f>
        <v>0</v>
      </c>
      <c r="AM16" s="208">
        <f>SUMPRODUCT(($D$123:$D$139=$AL$6)*($E$123:$E$139=AM$9)*$S$123:$S$139)</f>
        <v>0</v>
      </c>
      <c r="AN16" s="208">
        <f>SUMPRODUCT(($D$123:$D$139=$AL$6)*($E$123:$E$139=AN$9)*$S$123:$S$139)</f>
        <v>0</v>
      </c>
      <c r="AO16" s="208">
        <f>SUMPRODUCT(($D$123:$D$139=$AL$6)*($E$123:$E$139=AO$9)*$S$123:$S$139)</f>
        <v>0</v>
      </c>
      <c r="AP16" s="214">
        <f>SUMPRODUCT(($D$123:$D$139=$AL$6)*($E$123:$E$139=AP$9)*$S$123:$S$139)</f>
        <v>0</v>
      </c>
      <c r="AQ16" s="213">
        <f>SUMPRODUCT(($D$123:$D$139=$AQ$6)*($E$123:$E$139=AQ$9)*$S$123:$S$139)</f>
        <v>0</v>
      </c>
      <c r="AR16" s="208">
        <f>SUMPRODUCT(($D$123:$D$139=$AQ$6)*($E$123:$E$139=AR$9)*$S$123:$S$139)</f>
        <v>0</v>
      </c>
      <c r="AS16" s="208">
        <f>SUMPRODUCT(($D$123:$D$139=$AQ$6)*($E$123:$E$139=AS$9)*$S$123:$S$139)</f>
        <v>0</v>
      </c>
      <c r="AT16" s="208">
        <f>SUMPRODUCT(($D$123:$D$139=$AQ$6)*($E$123:$E$139=AT$9)*$S$123:$S$139)</f>
        <v>0</v>
      </c>
      <c r="AU16" s="214">
        <f>SUMPRODUCT(($D$123:$D$139=$AQ$6)*($E$123:$E$139=AU$9)*$S$123:$S$139)</f>
        <v>0</v>
      </c>
      <c r="AV16" s="159">
        <f t="shared" si="7"/>
        <v>12097</v>
      </c>
    </row>
    <row r="17" spans="1:48" ht="15" customHeight="1" x14ac:dyDescent="0.25">
      <c r="A17" s="164" t="s">
        <v>265</v>
      </c>
      <c r="B17" s="184">
        <f>$J$2-(S26-F23)</f>
        <v>131903</v>
      </c>
      <c r="C17" s="275"/>
      <c r="D17" s="97" t="s">
        <v>152</v>
      </c>
      <c r="E17" s="97" t="s">
        <v>145</v>
      </c>
      <c r="F17" s="85"/>
      <c r="G17" s="46"/>
      <c r="H17" s="85"/>
      <c r="I17" s="46"/>
      <c r="J17" s="46"/>
      <c r="K17" s="46"/>
      <c r="L17" s="46"/>
      <c r="M17" s="46"/>
      <c r="N17" s="46"/>
      <c r="O17" s="89"/>
      <c r="P17" s="46"/>
      <c r="Q17" s="46"/>
      <c r="R17" s="46"/>
      <c r="S17" s="83">
        <f t="shared" si="3"/>
        <v>0</v>
      </c>
      <c r="T17" s="281"/>
      <c r="V17" s="90">
        <f>$C$142</f>
        <v>202308</v>
      </c>
      <c r="W17" s="52">
        <f>T142</f>
        <v>12097</v>
      </c>
      <c r="X17" s="52">
        <f>T149</f>
        <v>0</v>
      </c>
      <c r="Y17" s="52">
        <f>T154</f>
        <v>0</v>
      </c>
      <c r="Z17" s="52">
        <f t="shared" si="5"/>
        <v>12097</v>
      </c>
      <c r="AD17" s="200">
        <f t="shared" si="4"/>
        <v>202308</v>
      </c>
      <c r="AE17" s="116">
        <f t="shared" ref="AE17:AK17" si="13">SUMPRODUCT(($D$142:$D$158=$AE$6)*($E$142:$E$158=AE$9)*$S$142:$S$158)</f>
        <v>8000</v>
      </c>
      <c r="AF17" s="204">
        <f t="shared" si="13"/>
        <v>0</v>
      </c>
      <c r="AG17" s="117">
        <f t="shared" si="13"/>
        <v>3500</v>
      </c>
      <c r="AH17" s="205">
        <f t="shared" si="13"/>
        <v>0</v>
      </c>
      <c r="AI17" s="204">
        <f t="shared" si="13"/>
        <v>0</v>
      </c>
      <c r="AJ17" s="205">
        <f t="shared" si="13"/>
        <v>0</v>
      </c>
      <c r="AK17" s="117">
        <f t="shared" si="13"/>
        <v>597</v>
      </c>
      <c r="AL17" s="213">
        <f>SUMPRODUCT(($D$142:$D$158=$AL$6)*($E$142:$E$158=AL$9)*$S$142:$S$158)</f>
        <v>0</v>
      </c>
      <c r="AM17" s="208">
        <f>SUMPRODUCT(($D$142:$D$158=$AL$6)*($E$142:$E$158=AM$9)*$S$142:$S$158)</f>
        <v>0</v>
      </c>
      <c r="AN17" s="208">
        <f>SUMPRODUCT(($D$142:$D$158=$AL$6)*($E$142:$E$158=AN$9)*$S$142:$S$158)</f>
        <v>0</v>
      </c>
      <c r="AO17" s="208">
        <f>SUMPRODUCT(($D$142:$D$158=$AL$6)*($E$142:$E$158=AO$9)*$S$142:$S$158)</f>
        <v>0</v>
      </c>
      <c r="AP17" s="214">
        <f>SUMPRODUCT(($D$142:$D$158=$AL$6)*($E$142:$E$158=AP$9)*$S$142:$S$158)</f>
        <v>0</v>
      </c>
      <c r="AQ17" s="213">
        <f>SUMPRODUCT(($D$142:$D$158=$AQ$6)*($E$142:$E$158=AQ$9)*$S$142:$S$158)</f>
        <v>0</v>
      </c>
      <c r="AR17" s="208">
        <f>SUMPRODUCT(($D$142:$D$158=$AQ$6)*($E$142:$E$158=AR$9)*$S$142:$S$158)</f>
        <v>0</v>
      </c>
      <c r="AS17" s="208">
        <f>SUMPRODUCT(($D$142:$D$158=$AQ$6)*($E$142:$E$158=AS$9)*$S$142:$S$158)</f>
        <v>0</v>
      </c>
      <c r="AT17" s="208">
        <f>SUMPRODUCT(($D$142:$D$158=$AQ$6)*($E$142:$E$158=AT$9)*$S$142:$S$158)</f>
        <v>0</v>
      </c>
      <c r="AU17" s="214">
        <f>SUMPRODUCT(($D$142:$D$158=$AQ$6)*($E$142:$E$158=AU$9)*$S$142:$S$158)</f>
        <v>0</v>
      </c>
      <c r="AV17" s="159">
        <f t="shared" si="7"/>
        <v>12097</v>
      </c>
    </row>
    <row r="18" spans="1:48" ht="15" customHeight="1" x14ac:dyDescent="0.25">
      <c r="C18" s="275"/>
      <c r="D18" s="97" t="s">
        <v>152</v>
      </c>
      <c r="E18" s="97" t="s">
        <v>146</v>
      </c>
      <c r="F18" s="86"/>
      <c r="G18" s="46"/>
      <c r="H18" s="87"/>
      <c r="I18" s="87"/>
      <c r="J18" s="46"/>
      <c r="K18" s="46"/>
      <c r="L18" s="46"/>
      <c r="M18" s="46"/>
      <c r="N18" s="46"/>
      <c r="O18" s="46"/>
      <c r="P18" s="46"/>
      <c r="Q18" s="46"/>
      <c r="R18" s="46"/>
      <c r="S18" s="83">
        <f t="shared" si="3"/>
        <v>0</v>
      </c>
      <c r="T18" s="281"/>
      <c r="V18" s="90">
        <f>$C$161</f>
        <v>202309</v>
      </c>
      <c r="W18" s="52">
        <f>T161</f>
        <v>34597</v>
      </c>
      <c r="X18" s="52">
        <f>T168</f>
        <v>0</v>
      </c>
      <c r="Y18" s="52">
        <f>T173</f>
        <v>0</v>
      </c>
      <c r="Z18" s="52">
        <f t="shared" si="5"/>
        <v>34597</v>
      </c>
      <c r="AD18" s="200">
        <f t="shared" si="4"/>
        <v>202309</v>
      </c>
      <c r="AE18" s="110">
        <f t="shared" ref="AE18:AK18" si="14">SUMPRODUCT(($D$161:$D$177=$AE$6)*($E$161:$E$177=AE$9)*$S$161:$S$177)</f>
        <v>8000</v>
      </c>
      <c r="AF18" s="206">
        <f t="shared" si="14"/>
        <v>0</v>
      </c>
      <c r="AG18" s="111">
        <f t="shared" si="14"/>
        <v>3500</v>
      </c>
      <c r="AH18" s="207">
        <f t="shared" si="14"/>
        <v>0</v>
      </c>
      <c r="AI18" s="206">
        <f t="shared" si="14"/>
        <v>22500</v>
      </c>
      <c r="AJ18" s="207">
        <f t="shared" si="14"/>
        <v>0</v>
      </c>
      <c r="AK18" s="111">
        <f t="shared" si="14"/>
        <v>597</v>
      </c>
      <c r="AL18" s="215">
        <f>SUMPRODUCT(($D$161:$D$177=$AL$6)*($E$161:$E$177=AL$9)*$S$161:$S$177)</f>
        <v>0</v>
      </c>
      <c r="AM18" s="209">
        <f>SUMPRODUCT(($D$161:$D$177=$AL$6)*($E$161:$E$177=AM$9)*$S$161:$S$177)</f>
        <v>0</v>
      </c>
      <c r="AN18" s="209">
        <f>SUMPRODUCT(($D$161:$D$177=$AL$6)*($E$161:$E$177=AN$9)*$S$161:$S$177)</f>
        <v>0</v>
      </c>
      <c r="AO18" s="209">
        <f>SUMPRODUCT(($D$161:$D$177=$AL$6)*($E$161:$E$177=AO$9)*$S$161:$S$177)</f>
        <v>0</v>
      </c>
      <c r="AP18" s="216">
        <f>SUMPRODUCT(($D$161:$D$177=$AL$6)*($E$161:$E$177=AP$9)*$S$161:$S$177)</f>
        <v>0</v>
      </c>
      <c r="AQ18" s="215">
        <f>SUMPRODUCT(($D$161:$D$177=$AQ$6)*($E$161:$E$177=AQ$9)*$S$161:$S$177)</f>
        <v>0</v>
      </c>
      <c r="AR18" s="209">
        <f>SUMPRODUCT(($D$161:$D$177=$AQ$6)*($E$161:$E$177=AR$9)*$S$161:$S$177)</f>
        <v>0</v>
      </c>
      <c r="AS18" s="209">
        <f>SUMPRODUCT(($D$161:$D$177=$AQ$6)*($E$161:$E$177=AS$9)*$S$161:$S$177)</f>
        <v>0</v>
      </c>
      <c r="AT18" s="209">
        <f>SUMPRODUCT(($D$161:$D$177=$AQ$6)*($E$161:$E$177=AT$9)*$S$161:$S$177)</f>
        <v>0</v>
      </c>
      <c r="AU18" s="216">
        <f>SUMPRODUCT(($D$161:$D$177=$AQ$6)*($E$161:$E$177=AU$9)*$S$161:$S$177)</f>
        <v>0</v>
      </c>
      <c r="AV18" s="159">
        <f t="shared" si="7"/>
        <v>34597</v>
      </c>
    </row>
    <row r="19" spans="1:48" ht="15" customHeight="1" x14ac:dyDescent="0.25">
      <c r="C19" s="275"/>
      <c r="D19" s="97" t="s">
        <v>152</v>
      </c>
      <c r="E19" s="97" t="s">
        <v>147</v>
      </c>
      <c r="F19" s="86"/>
      <c r="G19" s="46"/>
      <c r="H19" s="87"/>
      <c r="I19" s="87"/>
      <c r="J19" s="46"/>
      <c r="K19" s="46"/>
      <c r="L19" s="46"/>
      <c r="M19" s="46"/>
      <c r="N19" s="46"/>
      <c r="O19" s="46"/>
      <c r="P19" s="46"/>
      <c r="Q19" s="46"/>
      <c r="R19" s="46"/>
      <c r="S19" s="83">
        <f t="shared" si="3"/>
        <v>0</v>
      </c>
      <c r="T19" s="281"/>
      <c r="V19" s="90">
        <f>$C$180</f>
        <v>202310</v>
      </c>
      <c r="W19" s="52">
        <f>T180</f>
        <v>34597</v>
      </c>
      <c r="X19" s="52">
        <f>T187</f>
        <v>0</v>
      </c>
      <c r="Y19" s="52">
        <f>T192</f>
        <v>0</v>
      </c>
      <c r="Z19" s="52">
        <f t="shared" si="5"/>
        <v>34597</v>
      </c>
      <c r="AD19" s="200">
        <f t="shared" si="4"/>
        <v>202310</v>
      </c>
      <c r="AE19" s="110">
        <f t="shared" ref="AE19:AK19" si="15">SUMPRODUCT(($D$180:$D$196=$AE$6)*($E$180:$E$196=AE$9)*$S$180:$S$196)</f>
        <v>8000</v>
      </c>
      <c r="AF19" s="206">
        <f t="shared" si="15"/>
        <v>0</v>
      </c>
      <c r="AG19" s="111">
        <f t="shared" si="15"/>
        <v>3500</v>
      </c>
      <c r="AH19" s="207">
        <f t="shared" si="15"/>
        <v>0</v>
      </c>
      <c r="AI19" s="206">
        <f t="shared" si="15"/>
        <v>22500</v>
      </c>
      <c r="AJ19" s="207">
        <f t="shared" si="15"/>
        <v>0</v>
      </c>
      <c r="AK19" s="111">
        <f t="shared" si="15"/>
        <v>597</v>
      </c>
      <c r="AL19" s="215">
        <f>SUMPRODUCT(($D$180:$D$196=$AL$6)*($E$180:$E$196=AL$9)*$S$180:$S$196)</f>
        <v>0</v>
      </c>
      <c r="AM19" s="209">
        <f>SUMPRODUCT(($D$180:$D$196=$AL$6)*($E$180:$E$196=AM$9)*$S$180:$S$196)</f>
        <v>0</v>
      </c>
      <c r="AN19" s="209">
        <f>SUMPRODUCT(($D$180:$D$196=$AL$6)*($E$180:$E$196=AN$9)*$S$180:$S$196)</f>
        <v>0</v>
      </c>
      <c r="AO19" s="209">
        <f>SUMPRODUCT(($D$180:$D$196=$AL$6)*($E$180:$E$196=AO$9)*$S$180:$S$196)</f>
        <v>0</v>
      </c>
      <c r="AP19" s="216">
        <f>SUMPRODUCT(($D$180:$D$196=$AL$6)*($E$180:$E$196=AP$9)*$S$180:$S$196)</f>
        <v>0</v>
      </c>
      <c r="AQ19" s="215">
        <f>SUMPRODUCT(($D$180:$D$196=$AQ$6)*($E$180:$E$196=AQ$9)*$S$180:$S$196)</f>
        <v>0</v>
      </c>
      <c r="AR19" s="209">
        <f>SUMPRODUCT(($D$180:$D$196=$AQ$6)*($E$180:$E$196=AR$9)*$S$180:$S$196)</f>
        <v>0</v>
      </c>
      <c r="AS19" s="209">
        <f>SUMPRODUCT(($D$180:$D$196=$AQ$6)*($E$180:$E$196=AS$9)*$S$180:$S$196)</f>
        <v>0</v>
      </c>
      <c r="AT19" s="209">
        <f>SUMPRODUCT(($D$180:$D$196=$AQ$6)*($E$180:$E$196=AT$9)*$S$180:$S$196)</f>
        <v>0</v>
      </c>
      <c r="AU19" s="216">
        <f>SUMPRODUCT(($D$180:$D$196=$AQ$6)*($E$180:$E$196=AU$9)*$S$180:$S$196)</f>
        <v>0</v>
      </c>
      <c r="AV19" s="159">
        <f t="shared" si="7"/>
        <v>34597</v>
      </c>
    </row>
    <row r="20" spans="1:48" ht="15" customHeight="1" x14ac:dyDescent="0.25">
      <c r="B20" s="52"/>
      <c r="C20" s="275"/>
      <c r="D20" s="97" t="s">
        <v>152</v>
      </c>
      <c r="E20" s="97" t="s">
        <v>168</v>
      </c>
      <c r="F20" s="85"/>
      <c r="G20" s="85"/>
      <c r="H20" s="87"/>
      <c r="I20" s="87"/>
      <c r="J20" s="46"/>
      <c r="K20" s="46"/>
      <c r="L20" s="46"/>
      <c r="M20" s="46"/>
      <c r="N20" s="46"/>
      <c r="O20" s="46"/>
      <c r="P20" s="46"/>
      <c r="Q20" s="86"/>
      <c r="R20" s="46"/>
      <c r="S20" s="83">
        <f t="shared" si="3"/>
        <v>0</v>
      </c>
      <c r="T20" s="281"/>
      <c r="V20" s="90">
        <f>$C$199</f>
        <v>202311</v>
      </c>
      <c r="W20" s="52">
        <f>T199</f>
        <v>34597</v>
      </c>
      <c r="X20" s="52">
        <f>T206</f>
        <v>0</v>
      </c>
      <c r="Y20" s="52">
        <f>T211</f>
        <v>0</v>
      </c>
      <c r="Z20" s="52">
        <f t="shared" si="5"/>
        <v>34597</v>
      </c>
      <c r="AD20" s="200">
        <f t="shared" si="4"/>
        <v>202311</v>
      </c>
      <c r="AE20" s="110">
        <f t="shared" ref="AE20:AK20" si="16">SUMPRODUCT(($D$199:$D$215=$AE$6)*($E$199:$E$215=AE$9)*$S$199:$S$215)</f>
        <v>8000</v>
      </c>
      <c r="AF20" s="206">
        <f t="shared" si="16"/>
        <v>0</v>
      </c>
      <c r="AG20" s="111">
        <f t="shared" si="16"/>
        <v>3500</v>
      </c>
      <c r="AH20" s="207">
        <f t="shared" si="16"/>
        <v>0</v>
      </c>
      <c r="AI20" s="206">
        <f t="shared" si="16"/>
        <v>22500</v>
      </c>
      <c r="AJ20" s="207">
        <f t="shared" si="16"/>
        <v>0</v>
      </c>
      <c r="AK20" s="111">
        <f t="shared" si="16"/>
        <v>597</v>
      </c>
      <c r="AL20" s="215">
        <f>SUMPRODUCT(($D$199:$D$215=$AL$6)*($E$199:$E$215=AL$9)*$S$199:$S$215)</f>
        <v>0</v>
      </c>
      <c r="AM20" s="209">
        <f>SUMPRODUCT(($D$199:$D$215=$AL$6)*($E$199:$E$215=AM$9)*$S$199:$S$215)</f>
        <v>0</v>
      </c>
      <c r="AN20" s="209">
        <f>SUMPRODUCT(($D$199:$D$215=$AL$6)*($E$199:$E$215=AN$9)*$S$199:$S$215)</f>
        <v>0</v>
      </c>
      <c r="AO20" s="209">
        <f>SUMPRODUCT(($D$199:$D$215=$AL$6)*($E$199:$E$215=AO$9)*$S$199:$S$215)</f>
        <v>0</v>
      </c>
      <c r="AP20" s="216">
        <f>SUMPRODUCT(($D$199:$D$215=$AL$6)*($E$199:$E$215=AP$9)*$S$199:$S$215)</f>
        <v>0</v>
      </c>
      <c r="AQ20" s="215">
        <f>SUMPRODUCT(($D$199:$D$215=$AQ$6)*($E$199:$E$215=AQ$9)*$S$199:$S$215)</f>
        <v>0</v>
      </c>
      <c r="AR20" s="209">
        <f>SUMPRODUCT(($D$199:$D$215=$AQ$6)*($E$199:$E$215=AR$9)*$S$199:$S$215)</f>
        <v>0</v>
      </c>
      <c r="AS20" s="209">
        <f>SUMPRODUCT(($D$199:$D$215=$AQ$6)*($E$199:$E$215=AS$9)*$S$199:$S$215)</f>
        <v>0</v>
      </c>
      <c r="AT20" s="209">
        <f>SUMPRODUCT(($D$199:$D$215=$AQ$6)*($E$199:$E$215=AT$9)*$S$199:$S$215)</f>
        <v>0</v>
      </c>
      <c r="AU20" s="216">
        <f>SUMPRODUCT(($D$199:$D$215=$AQ$6)*($E$199:$E$215=AU$9)*$S$199:$S$215)</f>
        <v>0</v>
      </c>
      <c r="AV20" s="159">
        <f t="shared" si="7"/>
        <v>34597</v>
      </c>
    </row>
    <row r="21" spans="1:48" ht="15" customHeight="1" thickBot="1" x14ac:dyDescent="0.3">
      <c r="C21" s="275"/>
      <c r="D21" s="98" t="s">
        <v>153</v>
      </c>
      <c r="E21" s="178" t="s">
        <v>258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2">
        <f t="shared" si="3"/>
        <v>0</v>
      </c>
      <c r="T21" s="282">
        <f>SUM(S21:S25)</f>
        <v>0</v>
      </c>
      <c r="V21" s="90">
        <f>$C$218</f>
        <v>202312</v>
      </c>
      <c r="W21" s="52">
        <f>T218</f>
        <v>34597</v>
      </c>
      <c r="X21" s="52">
        <f>T225</f>
        <v>0</v>
      </c>
      <c r="Y21" s="52">
        <f>T230</f>
        <v>0</v>
      </c>
      <c r="Z21" s="52">
        <f t="shared" si="5"/>
        <v>34597</v>
      </c>
      <c r="AD21" s="200">
        <f t="shared" si="4"/>
        <v>202312</v>
      </c>
      <c r="AE21" s="113">
        <f t="shared" ref="AE21:AK21" si="17">SUMPRODUCT(($D$218:$D$234=$AE$6)*($E$218:$E$234=AE$9)*$S$218:$S$234)</f>
        <v>8000</v>
      </c>
      <c r="AF21" s="222">
        <f t="shared" si="17"/>
        <v>0</v>
      </c>
      <c r="AG21" s="114">
        <f t="shared" si="17"/>
        <v>3500</v>
      </c>
      <c r="AH21" s="223">
        <f t="shared" si="17"/>
        <v>0</v>
      </c>
      <c r="AI21" s="222">
        <f t="shared" si="17"/>
        <v>22500</v>
      </c>
      <c r="AJ21" s="223">
        <f t="shared" si="17"/>
        <v>0</v>
      </c>
      <c r="AK21" s="114">
        <f t="shared" si="17"/>
        <v>597</v>
      </c>
      <c r="AL21" s="217">
        <f>SUMPRODUCT(($D$218:$D$234=$AL$6)*($E$218:$E$234=AL$9)*$S$218:$S$234)</f>
        <v>0</v>
      </c>
      <c r="AM21" s="218">
        <f>SUMPRODUCT(($D$218:$D$234=$AL$6)*($E$218:$E$234=AM$9)*$S$218:$S$234)</f>
        <v>0</v>
      </c>
      <c r="AN21" s="218">
        <f>SUMPRODUCT(($D$218:$D$234=$AL$6)*($E$218:$E$234=AN$9)*$S$218:$S$234)</f>
        <v>0</v>
      </c>
      <c r="AO21" s="218">
        <f>SUMPRODUCT(($D$218:$D$234=$AL$6)*($E$218:$E$234=AO$9)*$S$218:$S$234)</f>
        <v>0</v>
      </c>
      <c r="AP21" s="219">
        <f>SUMPRODUCT(($D$218:$D$234=$AL$6)*($E$218:$E$234=AP$9)*$S$218:$S$234)</f>
        <v>0</v>
      </c>
      <c r="AQ21" s="217">
        <f>SUMPRODUCT(($D$218:$D$234=$AQ$6)*($E$218:$E$234=AQ$9)*$S$218:$S$234)</f>
        <v>0</v>
      </c>
      <c r="AR21" s="218">
        <f>SUMPRODUCT(($D$218:$D$234=$AQ$6)*($E$218:$E$234=AR$9)*$S$218:$S$234)</f>
        <v>0</v>
      </c>
      <c r="AS21" s="218">
        <f>SUMPRODUCT(($D$218:$D$234=$AQ$6)*($E$218:$E$234=AS$9)*$S$218:$S$234)</f>
        <v>0</v>
      </c>
      <c r="AT21" s="218">
        <f>SUMPRODUCT(($D$218:$D$234=$AQ$6)*($E$218:$E$234=AT$9)*$S$218:$S$234)</f>
        <v>0</v>
      </c>
      <c r="AU21" s="219">
        <f>SUMPRODUCT(($D$218:$D$234=$AQ$6)*($E$218:$E$234=AU$9)*$S$218:$S$234)</f>
        <v>0</v>
      </c>
      <c r="AV21" s="159">
        <f t="shared" si="7"/>
        <v>34597</v>
      </c>
    </row>
    <row r="22" spans="1:48" ht="15" customHeight="1" x14ac:dyDescent="0.25">
      <c r="C22" s="275"/>
      <c r="D22" s="99" t="s">
        <v>153</v>
      </c>
      <c r="E22" s="137" t="s">
        <v>143</v>
      </c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>
        <f t="shared" si="3"/>
        <v>0</v>
      </c>
      <c r="T22" s="283"/>
      <c r="AD22" s="90"/>
      <c r="AF22" s="52"/>
    </row>
    <row r="23" spans="1:48" ht="15" customHeight="1" x14ac:dyDescent="0.25">
      <c r="C23" s="275"/>
      <c r="D23" s="99" t="s">
        <v>153</v>
      </c>
      <c r="E23" s="99" t="s">
        <v>172</v>
      </c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>
        <f t="shared" si="3"/>
        <v>0</v>
      </c>
      <c r="T23" s="283"/>
      <c r="AF23" s="52"/>
    </row>
    <row r="24" spans="1:48" s="41" customFormat="1" ht="15" customHeight="1" x14ac:dyDescent="0.25">
      <c r="B24" s="45"/>
      <c r="C24" s="276"/>
      <c r="D24" s="99" t="s">
        <v>153</v>
      </c>
      <c r="E24" s="99" t="s">
        <v>173</v>
      </c>
      <c r="F24" s="82"/>
      <c r="G24" s="82"/>
      <c r="H24" s="82"/>
      <c r="I24" s="82"/>
      <c r="J24" s="82"/>
      <c r="K24" s="180"/>
      <c r="L24" s="82"/>
      <c r="M24" s="82"/>
      <c r="N24" s="82"/>
      <c r="O24" s="82"/>
      <c r="P24" s="82"/>
      <c r="Q24" s="82"/>
      <c r="R24" s="82"/>
      <c r="S24" s="82">
        <f t="shared" si="3"/>
        <v>0</v>
      </c>
      <c r="T24" s="283"/>
      <c r="AF24" s="52"/>
    </row>
    <row r="25" spans="1:48" ht="15.75" customHeight="1" thickBot="1" x14ac:dyDescent="0.3">
      <c r="C25" s="276"/>
      <c r="D25" s="100" t="s">
        <v>153</v>
      </c>
      <c r="E25" s="100" t="s">
        <v>168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>
        <f t="shared" si="3"/>
        <v>0</v>
      </c>
      <c r="T25" s="283"/>
      <c r="AF25" s="52"/>
    </row>
    <row r="26" spans="1:48" ht="15" customHeight="1" x14ac:dyDescent="0.25">
      <c r="D26" s="101" t="s">
        <v>120</v>
      </c>
      <c r="E26" s="101" t="s">
        <v>120</v>
      </c>
      <c r="F26" s="64">
        <f t="shared" ref="F26:S26" si="18">SUM(F9:F25)</f>
        <v>16000</v>
      </c>
      <c r="G26" s="64">
        <f t="shared" si="18"/>
        <v>0</v>
      </c>
      <c r="H26" s="64">
        <f t="shared" si="18"/>
        <v>0</v>
      </c>
      <c r="I26" s="64">
        <f t="shared" si="18"/>
        <v>0</v>
      </c>
      <c r="J26" s="64">
        <f t="shared" si="18"/>
        <v>0</v>
      </c>
      <c r="K26" s="64">
        <f t="shared" si="18"/>
        <v>0</v>
      </c>
      <c r="L26" s="64">
        <f t="shared" si="18"/>
        <v>0</v>
      </c>
      <c r="M26" s="64">
        <f t="shared" si="18"/>
        <v>0</v>
      </c>
      <c r="N26" s="64">
        <f t="shared" si="18"/>
        <v>0</v>
      </c>
      <c r="O26" s="64">
        <f t="shared" si="18"/>
        <v>0</v>
      </c>
      <c r="P26" s="64">
        <f t="shared" si="18"/>
        <v>0</v>
      </c>
      <c r="Q26" s="64">
        <f t="shared" si="18"/>
        <v>12097</v>
      </c>
      <c r="R26" s="64">
        <f t="shared" si="18"/>
        <v>0</v>
      </c>
      <c r="S26" s="54">
        <f t="shared" si="18"/>
        <v>28097</v>
      </c>
      <c r="AF26" s="52"/>
    </row>
    <row r="27" spans="1:48" ht="15.75" customHeight="1" thickBot="1" x14ac:dyDescent="0.3">
      <c r="D27" s="101"/>
      <c r="E27" s="101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50"/>
      <c r="AE27" s="52"/>
    </row>
    <row r="28" spans="1:48" ht="17.25" x14ac:dyDescent="0.25">
      <c r="A28" s="166" t="s">
        <v>188</v>
      </c>
      <c r="B28" s="167">
        <v>202302</v>
      </c>
      <c r="C28" s="275">
        <v>202302</v>
      </c>
      <c r="D28" s="94" t="s">
        <v>151</v>
      </c>
      <c r="E28" s="177" t="s">
        <v>252</v>
      </c>
      <c r="F28" s="60"/>
      <c r="G28" s="59"/>
      <c r="H28" s="59"/>
      <c r="I28" s="60"/>
      <c r="J28" s="59"/>
      <c r="K28" s="60"/>
      <c r="L28" s="60"/>
      <c r="M28" s="60"/>
      <c r="N28" s="60"/>
      <c r="O28" s="60"/>
      <c r="P28" s="60"/>
      <c r="Q28" s="60">
        <f>2000+2000+2000+2000</f>
        <v>8000</v>
      </c>
      <c r="R28" s="60"/>
      <c r="S28" s="44">
        <f t="shared" ref="S28:S44" si="19">SUM(F28:R28)</f>
        <v>8000</v>
      </c>
      <c r="T28" s="277">
        <f>SUM(S28:S34)</f>
        <v>28097</v>
      </c>
    </row>
    <row r="29" spans="1:48" ht="15" customHeight="1" thickBot="1" x14ac:dyDescent="0.3">
      <c r="A29" s="164" t="s">
        <v>247</v>
      </c>
      <c r="B29" s="162">
        <f>$J$2</f>
        <v>160000</v>
      </c>
      <c r="C29" s="275"/>
      <c r="D29" s="95" t="s">
        <v>151</v>
      </c>
      <c r="E29" s="176" t="s">
        <v>251</v>
      </c>
      <c r="F29" s="79"/>
      <c r="G29" s="78"/>
      <c r="H29" s="78"/>
      <c r="I29" s="79"/>
      <c r="J29" s="78"/>
      <c r="K29" s="79"/>
      <c r="L29" s="79"/>
      <c r="M29" s="79"/>
      <c r="N29" s="79"/>
      <c r="O29" s="79"/>
      <c r="P29" s="79"/>
      <c r="Q29" s="79"/>
      <c r="R29" s="79"/>
      <c r="S29" s="80">
        <f t="shared" si="19"/>
        <v>0</v>
      </c>
      <c r="T29" s="278"/>
    </row>
    <row r="30" spans="1:48" ht="15" customHeight="1" thickTop="1" x14ac:dyDescent="0.25">
      <c r="A30" s="165" t="s">
        <v>237</v>
      </c>
      <c r="B30" s="182">
        <f>SUMPRODUCT((($V$10:$V$21)&lt;=VALUE(B28))*($Z$10:$Z$21))</f>
        <v>56194</v>
      </c>
      <c r="C30" s="275"/>
      <c r="D30" s="95" t="s">
        <v>151</v>
      </c>
      <c r="E30" s="176" t="s">
        <v>254</v>
      </c>
      <c r="F30" s="79"/>
      <c r="G30" s="78"/>
      <c r="H30" s="78"/>
      <c r="I30" s="79"/>
      <c r="J30" s="78"/>
      <c r="K30" s="79"/>
      <c r="L30" s="79"/>
      <c r="M30" s="79"/>
      <c r="N30" s="79"/>
      <c r="O30" s="79"/>
      <c r="P30" s="79"/>
      <c r="Q30" s="79">
        <f>10500-7000</f>
        <v>3500</v>
      </c>
      <c r="R30" s="79"/>
      <c r="S30" s="80">
        <f t="shared" si="19"/>
        <v>3500</v>
      </c>
      <c r="T30" s="278"/>
    </row>
    <row r="31" spans="1:48" ht="15" customHeight="1" x14ac:dyDescent="0.25">
      <c r="A31" s="165" t="s">
        <v>264</v>
      </c>
      <c r="B31" s="181">
        <f>B30/SUMPRODUCT((留底!$V$10:$V$21&lt;=留底!B28)*'2022'!$Z$10:$Z$21)</f>
        <v>0.16785652410282759</v>
      </c>
      <c r="C31" s="275"/>
      <c r="D31" s="95" t="s">
        <v>151</v>
      </c>
      <c r="E31" s="176" t="s">
        <v>255</v>
      </c>
      <c r="F31" s="79"/>
      <c r="G31" s="78"/>
      <c r="H31" s="78"/>
      <c r="I31" s="79"/>
      <c r="J31" s="78"/>
      <c r="K31" s="79"/>
      <c r="L31" s="79"/>
      <c r="M31" s="79"/>
      <c r="N31" s="79"/>
      <c r="O31" s="79"/>
      <c r="P31" s="79"/>
      <c r="Q31" s="79">
        <v>597</v>
      </c>
      <c r="R31" s="79"/>
      <c r="S31" s="80">
        <f t="shared" si="19"/>
        <v>597</v>
      </c>
      <c r="T31" s="278"/>
    </row>
    <row r="32" spans="1:48" ht="15" customHeight="1" x14ac:dyDescent="0.25">
      <c r="A32" s="165" t="s">
        <v>236</v>
      </c>
      <c r="B32" s="186">
        <f>B30-$K$2*VALUE(RIGHT(B28,2))/9</f>
        <v>56194</v>
      </c>
      <c r="C32" s="275"/>
      <c r="D32" s="96" t="s">
        <v>151</v>
      </c>
      <c r="E32" s="176" t="s">
        <v>256</v>
      </c>
      <c r="F32" s="79">
        <f>11500+4500</f>
        <v>16000</v>
      </c>
      <c r="G32" s="78"/>
      <c r="H32" s="78"/>
      <c r="I32" s="78"/>
      <c r="J32" s="78"/>
      <c r="K32" s="79"/>
      <c r="L32" s="79"/>
      <c r="M32" s="79"/>
      <c r="N32" s="79"/>
      <c r="O32" s="79"/>
      <c r="P32" s="79"/>
      <c r="Q32" s="79"/>
      <c r="R32" s="79"/>
      <c r="S32" s="80">
        <f t="shared" si="19"/>
        <v>16000</v>
      </c>
      <c r="T32" s="278"/>
    </row>
    <row r="33" spans="1:31" ht="15" customHeight="1" x14ac:dyDescent="0.25">
      <c r="A33" s="164" t="s">
        <v>242</v>
      </c>
      <c r="B33" s="157">
        <f>B32/($J$2*12)</f>
        <v>2.9267708333333333E-2</v>
      </c>
      <c r="C33" s="275"/>
      <c r="D33" s="95" t="s">
        <v>151</v>
      </c>
      <c r="E33" s="176" t="s">
        <v>257</v>
      </c>
      <c r="F33" s="79"/>
      <c r="G33" s="78"/>
      <c r="H33" s="78"/>
      <c r="I33" s="79"/>
      <c r="J33" s="78"/>
      <c r="K33" s="79"/>
      <c r="L33" s="79"/>
      <c r="M33" s="79"/>
      <c r="N33" s="79"/>
      <c r="O33" s="79"/>
      <c r="P33" s="79"/>
      <c r="Q33" s="79"/>
      <c r="R33" s="79"/>
      <c r="S33" s="80">
        <f t="shared" si="19"/>
        <v>0</v>
      </c>
      <c r="T33" s="278"/>
    </row>
    <row r="34" spans="1:31" ht="15" customHeight="1" x14ac:dyDescent="0.25">
      <c r="A34" s="164" t="s">
        <v>241</v>
      </c>
      <c r="B34" s="126">
        <f>VALUE(RIGHT(B28,2))/12</f>
        <v>0.16666666666666666</v>
      </c>
      <c r="C34" s="275"/>
      <c r="D34" s="95" t="s">
        <v>151</v>
      </c>
      <c r="E34" s="176" t="s">
        <v>263</v>
      </c>
      <c r="F34" s="78"/>
      <c r="G34" s="78"/>
      <c r="H34" s="78"/>
      <c r="I34" s="79"/>
      <c r="J34" s="78"/>
      <c r="K34" s="79"/>
      <c r="L34" s="79"/>
      <c r="M34" s="79"/>
      <c r="N34" s="79"/>
      <c r="O34" s="79"/>
      <c r="P34" s="79"/>
      <c r="Q34" s="79"/>
      <c r="R34" s="79"/>
      <c r="S34" s="80">
        <f t="shared" si="19"/>
        <v>0</v>
      </c>
      <c r="T34" s="276"/>
    </row>
    <row r="35" spans="1:31" ht="15" customHeight="1" x14ac:dyDescent="0.25">
      <c r="A35" s="164" t="s">
        <v>243</v>
      </c>
      <c r="B35" s="161">
        <f>B29*VALUE(RIGHT(B28,2))-B32</f>
        <v>263806</v>
      </c>
      <c r="C35" s="275"/>
      <c r="D35" s="97" t="s">
        <v>152</v>
      </c>
      <c r="E35" s="97" t="s">
        <v>144</v>
      </c>
      <c r="F35" s="85"/>
      <c r="G35" s="46"/>
      <c r="H35" s="85"/>
      <c r="I35" s="146"/>
      <c r="J35" s="46"/>
      <c r="K35" s="46"/>
      <c r="L35" s="89"/>
      <c r="M35" s="89"/>
      <c r="N35" s="46"/>
      <c r="O35" s="46"/>
      <c r="P35" s="46"/>
      <c r="Q35" s="46"/>
      <c r="R35" s="46"/>
      <c r="S35" s="83">
        <f t="shared" si="19"/>
        <v>0</v>
      </c>
      <c r="T35" s="280">
        <f>SUM(S35:S39)</f>
        <v>0</v>
      </c>
    </row>
    <row r="36" spans="1:31" ht="15" customHeight="1" x14ac:dyDescent="0.25">
      <c r="A36" s="164" t="s">
        <v>265</v>
      </c>
      <c r="B36" s="184">
        <f>$J$2-(S45-F42)</f>
        <v>131903</v>
      </c>
      <c r="C36" s="275"/>
      <c r="D36" s="97" t="s">
        <v>152</v>
      </c>
      <c r="E36" s="97" t="s">
        <v>145</v>
      </c>
      <c r="F36" s="46"/>
      <c r="G36" s="46"/>
      <c r="H36" s="85"/>
      <c r="I36" s="85"/>
      <c r="J36" s="46"/>
      <c r="K36" s="46"/>
      <c r="L36" s="46"/>
      <c r="M36" s="89"/>
      <c r="N36" s="46"/>
      <c r="O36" s="46"/>
      <c r="P36" s="46"/>
      <c r="Q36" s="46"/>
      <c r="R36" s="46"/>
      <c r="S36" s="83">
        <f>SUM(G36:R36)</f>
        <v>0</v>
      </c>
      <c r="T36" s="281"/>
    </row>
    <row r="37" spans="1:31" ht="15" customHeight="1" x14ac:dyDescent="0.25">
      <c r="C37" s="275"/>
      <c r="D37" s="97" t="s">
        <v>152</v>
      </c>
      <c r="E37" s="97" t="s">
        <v>146</v>
      </c>
      <c r="F37" s="86"/>
      <c r="G37" s="46"/>
      <c r="H37" s="87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83">
        <f t="shared" si="19"/>
        <v>0</v>
      </c>
      <c r="T37" s="281"/>
    </row>
    <row r="38" spans="1:31" ht="15" customHeight="1" x14ac:dyDescent="0.25">
      <c r="C38" s="275"/>
      <c r="D38" s="97" t="s">
        <v>152</v>
      </c>
      <c r="E38" s="97" t="s">
        <v>147</v>
      </c>
      <c r="F38" s="85"/>
      <c r="G38" s="46"/>
      <c r="H38" s="87"/>
      <c r="I38" s="85"/>
      <c r="J38" s="46"/>
      <c r="K38" s="46"/>
      <c r="L38" s="46"/>
      <c r="M38" s="46"/>
      <c r="N38" s="46"/>
      <c r="O38" s="46"/>
      <c r="P38" s="46"/>
      <c r="Q38" s="46"/>
      <c r="R38" s="46"/>
      <c r="S38" s="83">
        <f t="shared" si="19"/>
        <v>0</v>
      </c>
      <c r="T38" s="281"/>
    </row>
    <row r="39" spans="1:31" ht="15" customHeight="1" x14ac:dyDescent="0.25">
      <c r="C39" s="275"/>
      <c r="D39" s="97" t="s">
        <v>152</v>
      </c>
      <c r="E39" s="97" t="s">
        <v>168</v>
      </c>
      <c r="F39" s="85"/>
      <c r="G39" s="46"/>
      <c r="H39" s="46"/>
      <c r="I39" s="46"/>
      <c r="J39" s="46"/>
      <c r="K39" s="46"/>
      <c r="L39" s="46"/>
      <c r="M39" s="89"/>
      <c r="N39" s="46"/>
      <c r="O39" s="46"/>
      <c r="P39" s="46"/>
      <c r="Q39" s="46"/>
      <c r="R39" s="46"/>
      <c r="S39" s="83">
        <f t="shared" si="19"/>
        <v>0</v>
      </c>
      <c r="T39" s="281"/>
    </row>
    <row r="40" spans="1:31" ht="15" customHeight="1" x14ac:dyDescent="0.25">
      <c r="C40" s="275"/>
      <c r="D40" s="98" t="s">
        <v>153</v>
      </c>
      <c r="E40" s="98" t="s">
        <v>170</v>
      </c>
      <c r="F40" s="81"/>
      <c r="G40" s="81"/>
      <c r="H40" s="81"/>
      <c r="I40" s="81"/>
      <c r="J40" s="82"/>
      <c r="K40" s="81"/>
      <c r="L40" s="81"/>
      <c r="M40" s="81"/>
      <c r="N40" s="81"/>
      <c r="O40" s="81"/>
      <c r="P40" s="81"/>
      <c r="Q40" s="81"/>
      <c r="R40" s="81"/>
      <c r="S40" s="81">
        <f>SUM(F40:R40)</f>
        <v>0</v>
      </c>
      <c r="T40" s="282">
        <f>SUM(S40:S44)</f>
        <v>0</v>
      </c>
      <c r="AE40" s="52"/>
    </row>
    <row r="41" spans="1:31" ht="15" customHeight="1" x14ac:dyDescent="0.25">
      <c r="C41" s="275"/>
      <c r="D41" s="99" t="s">
        <v>153</v>
      </c>
      <c r="E41" s="99" t="s">
        <v>171</v>
      </c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>
        <f t="shared" si="19"/>
        <v>0</v>
      </c>
      <c r="T41" s="283"/>
      <c r="AE41" s="52"/>
    </row>
    <row r="42" spans="1:31" ht="15" customHeight="1" x14ac:dyDescent="0.25">
      <c r="C42" s="275"/>
      <c r="D42" s="99" t="s">
        <v>153</v>
      </c>
      <c r="E42" s="99" t="s">
        <v>172</v>
      </c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>
        <f t="shared" si="19"/>
        <v>0</v>
      </c>
      <c r="T42" s="283"/>
      <c r="AE42" s="52"/>
    </row>
    <row r="43" spans="1:31" s="41" customFormat="1" ht="15" customHeight="1" x14ac:dyDescent="0.25">
      <c r="C43" s="276"/>
      <c r="D43" s="99" t="s">
        <v>153</v>
      </c>
      <c r="E43" s="99" t="s">
        <v>173</v>
      </c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>
        <f t="shared" si="19"/>
        <v>0</v>
      </c>
      <c r="T43" s="283"/>
      <c r="AE43" s="52"/>
    </row>
    <row r="44" spans="1:31" ht="15.75" customHeight="1" thickBot="1" x14ac:dyDescent="0.3">
      <c r="B44" s="74"/>
      <c r="C44" s="276"/>
      <c r="D44" s="100" t="s">
        <v>153</v>
      </c>
      <c r="E44" s="100" t="s">
        <v>168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>
        <f t="shared" si="19"/>
        <v>0</v>
      </c>
      <c r="T44" s="283"/>
      <c r="AE44" s="52"/>
    </row>
    <row r="45" spans="1:31" ht="15" customHeight="1" x14ac:dyDescent="0.25">
      <c r="D45" s="101" t="s">
        <v>120</v>
      </c>
      <c r="E45" s="101" t="s">
        <v>120</v>
      </c>
      <c r="F45" s="64">
        <f t="shared" ref="F45:S45" si="20">SUM(F28:F44)</f>
        <v>16000</v>
      </c>
      <c r="G45" s="64">
        <f t="shared" si="20"/>
        <v>0</v>
      </c>
      <c r="H45" s="64">
        <f t="shared" si="20"/>
        <v>0</v>
      </c>
      <c r="I45" s="64">
        <f t="shared" si="20"/>
        <v>0</v>
      </c>
      <c r="J45" s="64">
        <f t="shared" si="20"/>
        <v>0</v>
      </c>
      <c r="K45" s="64">
        <f t="shared" si="20"/>
        <v>0</v>
      </c>
      <c r="L45" s="64">
        <f t="shared" si="20"/>
        <v>0</v>
      </c>
      <c r="M45" s="64">
        <f t="shared" si="20"/>
        <v>0</v>
      </c>
      <c r="N45" s="64">
        <f t="shared" si="20"/>
        <v>0</v>
      </c>
      <c r="O45" s="64">
        <f t="shared" si="20"/>
        <v>0</v>
      </c>
      <c r="P45" s="64">
        <f t="shared" si="20"/>
        <v>0</v>
      </c>
      <c r="Q45" s="64">
        <f t="shared" si="20"/>
        <v>12097</v>
      </c>
      <c r="R45" s="64">
        <f t="shared" si="20"/>
        <v>0</v>
      </c>
      <c r="S45" s="54">
        <f t="shared" si="20"/>
        <v>28097</v>
      </c>
      <c r="AE45" s="52"/>
    </row>
    <row r="46" spans="1:31" ht="15.75" customHeight="1" thickBot="1" x14ac:dyDescent="0.3">
      <c r="AE46" s="52"/>
    </row>
    <row r="47" spans="1:31" ht="17.25" x14ac:dyDescent="0.25">
      <c r="A47" s="166" t="s">
        <v>188</v>
      </c>
      <c r="B47" s="167">
        <v>202303</v>
      </c>
      <c r="C47" s="275">
        <v>202303</v>
      </c>
      <c r="D47" s="94" t="s">
        <v>151</v>
      </c>
      <c r="E47" s="177" t="s">
        <v>252</v>
      </c>
      <c r="F47" s="60"/>
      <c r="G47" s="59"/>
      <c r="H47" s="59"/>
      <c r="I47" s="60"/>
      <c r="J47" s="59"/>
      <c r="K47" s="60"/>
      <c r="L47" s="60"/>
      <c r="M47" s="60"/>
      <c r="N47" s="60"/>
      <c r="O47" s="60"/>
      <c r="P47" s="60"/>
      <c r="Q47" s="60">
        <f>2000+2000+2000+2000</f>
        <v>8000</v>
      </c>
      <c r="R47" s="60"/>
      <c r="S47" s="44">
        <f t="shared" ref="S47:S63" si="21">SUM(F47:R47)</f>
        <v>8000</v>
      </c>
      <c r="T47" s="277">
        <f>SUM(S47:S53)</f>
        <v>28097</v>
      </c>
      <c r="AE47" s="52"/>
    </row>
    <row r="48" spans="1:31" ht="15" customHeight="1" thickBot="1" x14ac:dyDescent="0.3">
      <c r="A48" s="164" t="s">
        <v>247</v>
      </c>
      <c r="B48" s="162">
        <f>$J$2</f>
        <v>160000</v>
      </c>
      <c r="C48" s="275"/>
      <c r="D48" s="95" t="s">
        <v>151</v>
      </c>
      <c r="E48" s="176" t="s">
        <v>251</v>
      </c>
      <c r="F48" s="79"/>
      <c r="G48" s="78"/>
      <c r="H48" s="78"/>
      <c r="I48" s="79"/>
      <c r="J48" s="78"/>
      <c r="K48" s="79"/>
      <c r="L48" s="79"/>
      <c r="M48" s="79"/>
      <c r="N48" s="79"/>
      <c r="O48" s="79"/>
      <c r="P48" s="79"/>
      <c r="Q48" s="79"/>
      <c r="R48" s="79"/>
      <c r="S48" s="80">
        <f t="shared" si="21"/>
        <v>0</v>
      </c>
      <c r="T48" s="277"/>
      <c r="AE48" s="52"/>
    </row>
    <row r="49" spans="1:31" ht="15" customHeight="1" thickTop="1" x14ac:dyDescent="0.25">
      <c r="A49" s="165" t="s">
        <v>237</v>
      </c>
      <c r="B49" s="182">
        <f>SUMPRODUCT((($V$10:$V$21)&lt;=VALUE(B47))*($Z$10:$Z$21))</f>
        <v>84291</v>
      </c>
      <c r="C49" s="275"/>
      <c r="D49" s="95" t="s">
        <v>151</v>
      </c>
      <c r="E49" s="176" t="s">
        <v>254</v>
      </c>
      <c r="F49" s="79"/>
      <c r="G49" s="78"/>
      <c r="H49" s="78"/>
      <c r="I49" s="79"/>
      <c r="J49" s="78"/>
      <c r="K49" s="79"/>
      <c r="L49" s="79"/>
      <c r="M49" s="79"/>
      <c r="N49" s="79"/>
      <c r="O49" s="79"/>
      <c r="P49" s="79"/>
      <c r="Q49" s="79">
        <f>10500-7000</f>
        <v>3500</v>
      </c>
      <c r="R49" s="79"/>
      <c r="S49" s="80">
        <f t="shared" si="21"/>
        <v>3500</v>
      </c>
      <c r="T49" s="277"/>
      <c r="AE49" s="52"/>
    </row>
    <row r="50" spans="1:31" ht="15" customHeight="1" x14ac:dyDescent="0.25">
      <c r="A50" s="165" t="s">
        <v>264</v>
      </c>
      <c r="B50" s="181">
        <f>B49/SUMPRODUCT((留底!$V$10:$V$21&lt;=留底!B47)*'2022'!$Z$10:$Z$21)</f>
        <v>0.17621455733647196</v>
      </c>
      <c r="C50" s="275"/>
      <c r="D50" s="95" t="s">
        <v>151</v>
      </c>
      <c r="E50" s="176" t="s">
        <v>255</v>
      </c>
      <c r="F50" s="79"/>
      <c r="G50" s="78"/>
      <c r="H50" s="78"/>
      <c r="I50" s="79"/>
      <c r="J50" s="78"/>
      <c r="K50" s="79"/>
      <c r="L50" s="79"/>
      <c r="M50" s="79"/>
      <c r="N50" s="79"/>
      <c r="O50" s="79"/>
      <c r="P50" s="79"/>
      <c r="Q50" s="79">
        <v>597</v>
      </c>
      <c r="R50" s="79"/>
      <c r="S50" s="80">
        <f t="shared" si="21"/>
        <v>597</v>
      </c>
      <c r="T50" s="277"/>
      <c r="AE50" s="52"/>
    </row>
    <row r="51" spans="1:31" ht="15" customHeight="1" x14ac:dyDescent="0.25">
      <c r="A51" s="165" t="s">
        <v>236</v>
      </c>
      <c r="B51" s="186">
        <f>B49-$K$2*VALUE(RIGHT(B47,2))/9</f>
        <v>84291</v>
      </c>
      <c r="C51" s="275"/>
      <c r="D51" s="96" t="s">
        <v>151</v>
      </c>
      <c r="E51" s="176" t="s">
        <v>256</v>
      </c>
      <c r="F51" s="79">
        <f>11500+4500</f>
        <v>16000</v>
      </c>
      <c r="G51" s="78"/>
      <c r="H51" s="78"/>
      <c r="I51" s="78"/>
      <c r="J51" s="78"/>
      <c r="K51" s="79"/>
      <c r="L51" s="79"/>
      <c r="M51" s="79"/>
      <c r="N51" s="79"/>
      <c r="O51" s="79"/>
      <c r="P51" s="79"/>
      <c r="Q51" s="79"/>
      <c r="R51" s="79"/>
      <c r="S51" s="80">
        <f t="shared" si="21"/>
        <v>16000</v>
      </c>
      <c r="T51" s="277"/>
    </row>
    <row r="52" spans="1:31" ht="15" customHeight="1" x14ac:dyDescent="0.25">
      <c r="A52" s="164" t="s">
        <v>242</v>
      </c>
      <c r="B52" s="157">
        <f>B51/($J$2*12)</f>
        <v>4.3901562499999998E-2</v>
      </c>
      <c r="C52" s="275"/>
      <c r="D52" s="95" t="s">
        <v>151</v>
      </c>
      <c r="E52" s="176" t="s">
        <v>257</v>
      </c>
      <c r="F52" s="79"/>
      <c r="G52" s="78"/>
      <c r="H52" s="78"/>
      <c r="I52" s="79"/>
      <c r="J52" s="78"/>
      <c r="K52" s="79"/>
      <c r="L52" s="79"/>
      <c r="M52" s="79"/>
      <c r="N52" s="79"/>
      <c r="O52" s="79"/>
      <c r="P52" s="79"/>
      <c r="Q52" s="79"/>
      <c r="R52" s="79"/>
      <c r="S52" s="80">
        <f t="shared" si="21"/>
        <v>0</v>
      </c>
      <c r="T52" s="277"/>
    </row>
    <row r="53" spans="1:31" ht="15" customHeight="1" x14ac:dyDescent="0.25">
      <c r="A53" s="164" t="s">
        <v>241</v>
      </c>
      <c r="B53" s="126">
        <f>VALUE(RIGHT(B47,2))/12</f>
        <v>0.25</v>
      </c>
      <c r="C53" s="275"/>
      <c r="D53" s="95" t="s">
        <v>151</v>
      </c>
      <c r="E53" s="176" t="s">
        <v>263</v>
      </c>
      <c r="F53" s="78"/>
      <c r="G53" s="78"/>
      <c r="H53" s="78"/>
      <c r="I53" s="79"/>
      <c r="J53" s="78"/>
      <c r="K53" s="79"/>
      <c r="L53" s="79"/>
      <c r="M53" s="79"/>
      <c r="N53" s="79"/>
      <c r="O53" s="79"/>
      <c r="P53" s="79"/>
      <c r="Q53" s="79"/>
      <c r="R53" s="79"/>
      <c r="S53" s="80">
        <f t="shared" si="21"/>
        <v>0</v>
      </c>
      <c r="T53" s="277"/>
    </row>
    <row r="54" spans="1:31" ht="15" customHeight="1" x14ac:dyDescent="0.25">
      <c r="A54" s="164" t="s">
        <v>243</v>
      </c>
      <c r="B54" s="161">
        <f>B48*VALUE(RIGHT(B47,2))-B51</f>
        <v>395709</v>
      </c>
      <c r="C54" s="275"/>
      <c r="D54" s="97" t="s">
        <v>152</v>
      </c>
      <c r="E54" s="97" t="s">
        <v>144</v>
      </c>
      <c r="F54" s="85"/>
      <c r="G54" s="46"/>
      <c r="H54" s="85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83">
        <f t="shared" si="21"/>
        <v>0</v>
      </c>
      <c r="T54" s="280">
        <f>SUM(S54:S58)</f>
        <v>0</v>
      </c>
    </row>
    <row r="55" spans="1:31" ht="15" customHeight="1" x14ac:dyDescent="0.25">
      <c r="A55" s="164" t="s">
        <v>265</v>
      </c>
      <c r="B55" s="184">
        <f>$J$2-(S64-F61)</f>
        <v>131903</v>
      </c>
      <c r="C55" s="275"/>
      <c r="D55" s="97" t="s">
        <v>152</v>
      </c>
      <c r="E55" s="97" t="s">
        <v>145</v>
      </c>
      <c r="F55" s="85"/>
      <c r="G55" s="46"/>
      <c r="H55" s="85"/>
      <c r="I55" s="46"/>
      <c r="J55" s="89"/>
      <c r="K55" s="46"/>
      <c r="L55" s="46"/>
      <c r="M55" s="86"/>
      <c r="N55" s="46"/>
      <c r="O55" s="46"/>
      <c r="P55" s="46"/>
      <c r="Q55" s="46"/>
      <c r="R55" s="46"/>
      <c r="S55" s="83">
        <f t="shared" si="21"/>
        <v>0</v>
      </c>
      <c r="T55" s="281"/>
    </row>
    <row r="56" spans="1:31" ht="15" customHeight="1" x14ac:dyDescent="0.25">
      <c r="C56" s="275"/>
      <c r="D56" s="97" t="s">
        <v>152</v>
      </c>
      <c r="E56" s="97" t="s">
        <v>146</v>
      </c>
      <c r="F56" s="86"/>
      <c r="G56" s="46"/>
      <c r="H56" s="86"/>
      <c r="I56" s="46"/>
      <c r="J56" s="46"/>
      <c r="K56" s="46"/>
      <c r="L56" s="46"/>
      <c r="M56" s="89"/>
      <c r="N56" s="46"/>
      <c r="O56" s="89"/>
      <c r="P56" s="46"/>
      <c r="Q56" s="46"/>
      <c r="R56" s="46"/>
      <c r="S56" s="83">
        <f t="shared" si="21"/>
        <v>0</v>
      </c>
      <c r="T56" s="281"/>
    </row>
    <row r="57" spans="1:31" ht="15" customHeight="1" x14ac:dyDescent="0.25">
      <c r="C57" s="275"/>
      <c r="D57" s="97" t="s">
        <v>152</v>
      </c>
      <c r="E57" s="97" t="s">
        <v>147</v>
      </c>
      <c r="F57" s="86"/>
      <c r="G57" s="46"/>
      <c r="H57" s="87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83">
        <f t="shared" si="21"/>
        <v>0</v>
      </c>
      <c r="T57" s="281"/>
    </row>
    <row r="58" spans="1:31" ht="15" customHeight="1" x14ac:dyDescent="0.25">
      <c r="C58" s="275"/>
      <c r="D58" s="97" t="s">
        <v>152</v>
      </c>
      <c r="E58" s="97" t="s">
        <v>168</v>
      </c>
      <c r="F58" s="85"/>
      <c r="G58" s="46"/>
      <c r="H58" s="89"/>
      <c r="I58" s="46"/>
      <c r="J58" s="46"/>
      <c r="K58" s="46"/>
      <c r="L58" s="46"/>
      <c r="M58" s="89"/>
      <c r="N58" s="46"/>
      <c r="O58" s="46"/>
      <c r="P58" s="46"/>
      <c r="Q58" s="46"/>
      <c r="R58" s="46"/>
      <c r="S58" s="83">
        <f t="shared" si="21"/>
        <v>0</v>
      </c>
      <c r="T58" s="281"/>
    </row>
    <row r="59" spans="1:31" ht="15" customHeight="1" x14ac:dyDescent="0.25">
      <c r="C59" s="275"/>
      <c r="D59" s="98" t="s">
        <v>153</v>
      </c>
      <c r="E59" s="98" t="s">
        <v>170</v>
      </c>
      <c r="F59" s="81"/>
      <c r="G59" s="81"/>
      <c r="H59" s="81"/>
      <c r="I59" s="82"/>
      <c r="J59" s="81"/>
      <c r="K59" s="81"/>
      <c r="L59" s="81"/>
      <c r="M59" s="81"/>
      <c r="N59" s="81"/>
      <c r="O59" s="81"/>
      <c r="P59" s="81"/>
      <c r="Q59" s="81"/>
      <c r="R59" s="81"/>
      <c r="S59" s="81">
        <f>SUM(F59:R59)</f>
        <v>0</v>
      </c>
      <c r="T59" s="282">
        <f>SUM(S59:S63)</f>
        <v>0</v>
      </c>
    </row>
    <row r="60" spans="1:31" ht="15" customHeight="1" x14ac:dyDescent="0.25">
      <c r="C60" s="275"/>
      <c r="D60" s="99" t="s">
        <v>153</v>
      </c>
      <c r="E60" s="99" t="s">
        <v>171</v>
      </c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>
        <f t="shared" si="21"/>
        <v>0</v>
      </c>
      <c r="T60" s="283"/>
    </row>
    <row r="61" spans="1:31" ht="15" customHeight="1" x14ac:dyDescent="0.25">
      <c r="C61" s="275"/>
      <c r="D61" s="99" t="s">
        <v>153</v>
      </c>
      <c r="E61" s="99" t="s">
        <v>172</v>
      </c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>
        <f t="shared" si="21"/>
        <v>0</v>
      </c>
      <c r="T61" s="283"/>
    </row>
    <row r="62" spans="1:31" s="41" customFormat="1" ht="15" customHeight="1" x14ac:dyDescent="0.25">
      <c r="A62" s="45"/>
      <c r="B62" s="45"/>
      <c r="C62" s="275"/>
      <c r="D62" s="99" t="s">
        <v>153</v>
      </c>
      <c r="E62" s="99" t="s">
        <v>173</v>
      </c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>
        <f t="shared" si="21"/>
        <v>0</v>
      </c>
      <c r="T62" s="283"/>
    </row>
    <row r="63" spans="1:31" ht="15.75" customHeight="1" thickBot="1" x14ac:dyDescent="0.3">
      <c r="A63" s="41"/>
      <c r="B63" s="41"/>
      <c r="C63" s="275"/>
      <c r="D63" s="100" t="s">
        <v>153</v>
      </c>
      <c r="E63" s="100" t="s">
        <v>168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>
        <f t="shared" si="21"/>
        <v>0</v>
      </c>
      <c r="T63" s="283"/>
    </row>
    <row r="64" spans="1:31" ht="15" customHeight="1" x14ac:dyDescent="0.25">
      <c r="D64" s="101" t="s">
        <v>120</v>
      </c>
      <c r="E64" s="101" t="s">
        <v>120</v>
      </c>
      <c r="F64" s="64">
        <f t="shared" ref="F64:S64" si="22">SUM(F47:F63)</f>
        <v>16000</v>
      </c>
      <c r="G64" s="64">
        <f t="shared" si="22"/>
        <v>0</v>
      </c>
      <c r="H64" s="64">
        <f t="shared" si="22"/>
        <v>0</v>
      </c>
      <c r="I64" s="64">
        <f t="shared" si="22"/>
        <v>0</v>
      </c>
      <c r="J64" s="64">
        <f t="shared" si="22"/>
        <v>0</v>
      </c>
      <c r="K64" s="64">
        <f t="shared" si="22"/>
        <v>0</v>
      </c>
      <c r="L64" s="64">
        <f t="shared" si="22"/>
        <v>0</v>
      </c>
      <c r="M64" s="64">
        <f t="shared" si="22"/>
        <v>0</v>
      </c>
      <c r="N64" s="64">
        <f t="shared" si="22"/>
        <v>0</v>
      </c>
      <c r="O64" s="64">
        <f t="shared" si="22"/>
        <v>0</v>
      </c>
      <c r="P64" s="64">
        <f t="shared" si="22"/>
        <v>0</v>
      </c>
      <c r="Q64" s="64">
        <f t="shared" si="22"/>
        <v>12097</v>
      </c>
      <c r="R64" s="64">
        <f t="shared" si="22"/>
        <v>0</v>
      </c>
      <c r="S64" s="54">
        <f t="shared" si="22"/>
        <v>28097</v>
      </c>
    </row>
    <row r="65" spans="1:20" ht="15.75" customHeight="1" thickBot="1" x14ac:dyDescent="0.3">
      <c r="D65" s="101"/>
      <c r="E65" s="101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</row>
    <row r="66" spans="1:20" ht="17.25" x14ac:dyDescent="0.25">
      <c r="A66" s="166" t="s">
        <v>188</v>
      </c>
      <c r="B66" s="167">
        <v>202304</v>
      </c>
      <c r="C66" s="275">
        <v>202304</v>
      </c>
      <c r="D66" s="94" t="s">
        <v>151</v>
      </c>
      <c r="E66" s="177" t="s">
        <v>252</v>
      </c>
      <c r="F66" s="60"/>
      <c r="G66" s="59"/>
      <c r="H66" s="59"/>
      <c r="I66" s="60"/>
      <c r="J66" s="59"/>
      <c r="K66" s="60"/>
      <c r="L66" s="60"/>
      <c r="M66" s="60"/>
      <c r="N66" s="60"/>
      <c r="O66" s="60"/>
      <c r="P66" s="60"/>
      <c r="Q66" s="60">
        <f>2000+2000+2000+2000</f>
        <v>8000</v>
      </c>
      <c r="R66" s="60"/>
      <c r="S66" s="44">
        <f t="shared" ref="S66:S82" si="23">SUM(F66:R66)</f>
        <v>8000</v>
      </c>
      <c r="T66" s="277">
        <f>SUM(S66:S72)</f>
        <v>28097</v>
      </c>
    </row>
    <row r="67" spans="1:20" ht="15" customHeight="1" thickBot="1" x14ac:dyDescent="0.3">
      <c r="A67" s="164" t="s">
        <v>247</v>
      </c>
      <c r="B67" s="162">
        <f>$J$2</f>
        <v>160000</v>
      </c>
      <c r="C67" s="275"/>
      <c r="D67" s="95" t="s">
        <v>151</v>
      </c>
      <c r="E67" s="176" t="s">
        <v>251</v>
      </c>
      <c r="F67" s="79"/>
      <c r="G67" s="78"/>
      <c r="H67" s="78"/>
      <c r="I67" s="79"/>
      <c r="J67" s="78"/>
      <c r="K67" s="79"/>
      <c r="L67" s="79"/>
      <c r="M67" s="79"/>
      <c r="N67" s="79"/>
      <c r="O67" s="79"/>
      <c r="P67" s="79"/>
      <c r="Q67" s="79"/>
      <c r="R67" s="79"/>
      <c r="S67" s="80">
        <f t="shared" si="23"/>
        <v>0</v>
      </c>
      <c r="T67" s="278"/>
    </row>
    <row r="68" spans="1:20" ht="15" customHeight="1" thickTop="1" x14ac:dyDescent="0.25">
      <c r="A68" s="165" t="s">
        <v>237</v>
      </c>
      <c r="B68" s="182">
        <f>SUMPRODUCT((($V$10:$V$21)&lt;=VALUE(B66))*($Z$10:$Z$21))</f>
        <v>112388</v>
      </c>
      <c r="C68" s="275"/>
      <c r="D68" s="95" t="s">
        <v>151</v>
      </c>
      <c r="E68" s="176" t="s">
        <v>254</v>
      </c>
      <c r="F68" s="79"/>
      <c r="G68" s="78"/>
      <c r="H68" s="78"/>
      <c r="I68" s="79"/>
      <c r="J68" s="78"/>
      <c r="K68" s="79"/>
      <c r="L68" s="79"/>
      <c r="M68" s="79"/>
      <c r="N68" s="79"/>
      <c r="O68" s="79"/>
      <c r="P68" s="79"/>
      <c r="Q68" s="79">
        <f>10500-7000</f>
        <v>3500</v>
      </c>
      <c r="R68" s="79"/>
      <c r="S68" s="80">
        <f t="shared" si="23"/>
        <v>3500</v>
      </c>
      <c r="T68" s="278"/>
    </row>
    <row r="69" spans="1:20" ht="15" customHeight="1" x14ac:dyDescent="0.25">
      <c r="A69" s="165" t="s">
        <v>264</v>
      </c>
      <c r="B69" s="181">
        <f>B68/SUMPRODUCT((留底!$V$10:$V$21&lt;=留底!B66)*'2022'!$Z$10:$Z$21)</f>
        <v>0.18465643499448764</v>
      </c>
      <c r="C69" s="275"/>
      <c r="D69" s="95" t="s">
        <v>151</v>
      </c>
      <c r="E69" s="176" t="s">
        <v>255</v>
      </c>
      <c r="F69" s="79"/>
      <c r="G69" s="78"/>
      <c r="H69" s="78"/>
      <c r="I69" s="79"/>
      <c r="J69" s="78"/>
      <c r="K69" s="79"/>
      <c r="L69" s="79"/>
      <c r="M69" s="79"/>
      <c r="N69" s="79"/>
      <c r="O69" s="79"/>
      <c r="P69" s="79"/>
      <c r="Q69" s="79">
        <v>597</v>
      </c>
      <c r="R69" s="79"/>
      <c r="S69" s="80">
        <f t="shared" si="23"/>
        <v>597</v>
      </c>
      <c r="T69" s="278"/>
    </row>
    <row r="70" spans="1:20" ht="15" customHeight="1" x14ac:dyDescent="0.25">
      <c r="A70" s="165" t="s">
        <v>236</v>
      </c>
      <c r="B70" s="186">
        <f>B68-$K$2*VALUE(RIGHT(B66,2))/9</f>
        <v>112388</v>
      </c>
      <c r="C70" s="275"/>
      <c r="D70" s="96" t="s">
        <v>151</v>
      </c>
      <c r="E70" s="176" t="s">
        <v>256</v>
      </c>
      <c r="F70" s="79">
        <f>11500+4500</f>
        <v>16000</v>
      </c>
      <c r="G70" s="78"/>
      <c r="H70" s="78"/>
      <c r="I70" s="78"/>
      <c r="J70" s="78"/>
      <c r="K70" s="79"/>
      <c r="L70" s="79"/>
      <c r="M70" s="79"/>
      <c r="N70" s="79"/>
      <c r="O70" s="79"/>
      <c r="P70" s="79"/>
      <c r="Q70" s="79"/>
      <c r="R70" s="79"/>
      <c r="S70" s="80">
        <f t="shared" si="23"/>
        <v>16000</v>
      </c>
      <c r="T70" s="278"/>
    </row>
    <row r="71" spans="1:20" ht="15" customHeight="1" x14ac:dyDescent="0.25">
      <c r="A71" s="164" t="s">
        <v>242</v>
      </c>
      <c r="B71" s="157">
        <f>B70/($J$2*12)</f>
        <v>5.8535416666666666E-2</v>
      </c>
      <c r="C71" s="275"/>
      <c r="D71" s="95" t="s">
        <v>151</v>
      </c>
      <c r="E71" s="176" t="s">
        <v>257</v>
      </c>
      <c r="F71" s="79"/>
      <c r="G71" s="78"/>
      <c r="H71" s="78"/>
      <c r="I71" s="79"/>
      <c r="J71" s="78"/>
      <c r="K71" s="79"/>
      <c r="L71" s="79"/>
      <c r="M71" s="79"/>
      <c r="N71" s="79"/>
      <c r="O71" s="79"/>
      <c r="P71" s="79"/>
      <c r="Q71" s="79"/>
      <c r="R71" s="79"/>
      <c r="S71" s="80">
        <f t="shared" si="23"/>
        <v>0</v>
      </c>
      <c r="T71" s="278"/>
    </row>
    <row r="72" spans="1:20" ht="15" customHeight="1" x14ac:dyDescent="0.25">
      <c r="A72" s="164" t="s">
        <v>241</v>
      </c>
      <c r="B72" s="126">
        <f>VALUE(RIGHT(B66,2))/12</f>
        <v>0.33333333333333331</v>
      </c>
      <c r="C72" s="275"/>
      <c r="D72" s="95" t="s">
        <v>151</v>
      </c>
      <c r="E72" s="176" t="s">
        <v>263</v>
      </c>
      <c r="F72" s="78"/>
      <c r="G72" s="78"/>
      <c r="H72" s="78"/>
      <c r="I72" s="79"/>
      <c r="J72" s="78"/>
      <c r="K72" s="79"/>
      <c r="L72" s="79"/>
      <c r="M72" s="79"/>
      <c r="N72" s="79"/>
      <c r="O72" s="78"/>
      <c r="P72" s="79"/>
      <c r="Q72" s="79"/>
      <c r="R72" s="79"/>
      <c r="S72" s="80">
        <f t="shared" si="23"/>
        <v>0</v>
      </c>
      <c r="T72" s="279"/>
    </row>
    <row r="73" spans="1:20" ht="15" customHeight="1" x14ac:dyDescent="0.25">
      <c r="A73" s="164" t="s">
        <v>243</v>
      </c>
      <c r="B73" s="161">
        <f>B67*VALUE(RIGHT(B66,2))-B70</f>
        <v>527612</v>
      </c>
      <c r="C73" s="275"/>
      <c r="D73" s="97" t="s">
        <v>152</v>
      </c>
      <c r="E73" s="97" t="s">
        <v>144</v>
      </c>
      <c r="F73" s="85"/>
      <c r="G73" s="46"/>
      <c r="H73" s="85"/>
      <c r="I73" s="46"/>
      <c r="J73" s="46"/>
      <c r="K73" s="46"/>
      <c r="L73" s="46"/>
      <c r="M73" s="46"/>
      <c r="N73" s="46"/>
      <c r="O73" s="89"/>
      <c r="P73" s="46"/>
      <c r="Q73" s="46"/>
      <c r="R73" s="46"/>
      <c r="S73" s="83">
        <f t="shared" si="23"/>
        <v>0</v>
      </c>
      <c r="T73" s="280">
        <f>SUM(S73:S77)</f>
        <v>0</v>
      </c>
    </row>
    <row r="74" spans="1:20" ht="15" customHeight="1" x14ac:dyDescent="0.25">
      <c r="A74" s="164" t="s">
        <v>265</v>
      </c>
      <c r="B74" s="184">
        <f>$J$2-(S83-F80)</f>
        <v>131903</v>
      </c>
      <c r="C74" s="275"/>
      <c r="D74" s="97" t="s">
        <v>152</v>
      </c>
      <c r="E74" s="97" t="s">
        <v>145</v>
      </c>
      <c r="F74" s="85"/>
      <c r="G74" s="46"/>
      <c r="H74" s="85"/>
      <c r="I74" s="46"/>
      <c r="J74" s="46"/>
      <c r="K74" s="46"/>
      <c r="L74" s="46"/>
      <c r="M74" s="46"/>
      <c r="N74" s="46"/>
      <c r="O74" s="89"/>
      <c r="P74" s="46"/>
      <c r="Q74" s="46"/>
      <c r="R74" s="46"/>
      <c r="S74" s="83">
        <f t="shared" si="23"/>
        <v>0</v>
      </c>
      <c r="T74" s="281"/>
    </row>
    <row r="75" spans="1:20" ht="15" customHeight="1" x14ac:dyDescent="0.25">
      <c r="C75" s="275"/>
      <c r="D75" s="97" t="s">
        <v>152</v>
      </c>
      <c r="E75" s="97" t="s">
        <v>146</v>
      </c>
      <c r="F75" s="86"/>
      <c r="G75" s="46"/>
      <c r="H75" s="87"/>
      <c r="I75" s="46"/>
      <c r="J75" s="46"/>
      <c r="K75" s="46"/>
      <c r="L75" s="46"/>
      <c r="M75" s="89"/>
      <c r="N75" s="46"/>
      <c r="O75" s="185"/>
      <c r="P75" s="46"/>
      <c r="Q75" s="46"/>
      <c r="R75" s="46"/>
      <c r="S75" s="83">
        <f t="shared" si="23"/>
        <v>0</v>
      </c>
      <c r="T75" s="281"/>
    </row>
    <row r="76" spans="1:20" ht="15" customHeight="1" x14ac:dyDescent="0.25">
      <c r="C76" s="275"/>
      <c r="D76" s="97" t="s">
        <v>152</v>
      </c>
      <c r="E76" s="97" t="s">
        <v>147</v>
      </c>
      <c r="F76" s="85"/>
      <c r="G76" s="46"/>
      <c r="H76" s="87"/>
      <c r="I76" s="46"/>
      <c r="J76" s="46"/>
      <c r="K76" s="46"/>
      <c r="L76" s="46"/>
      <c r="M76" s="46"/>
      <c r="N76" s="46"/>
      <c r="O76" s="89"/>
      <c r="P76" s="46"/>
      <c r="Q76" s="46"/>
      <c r="R76" s="46"/>
      <c r="S76" s="83">
        <f t="shared" si="23"/>
        <v>0</v>
      </c>
      <c r="T76" s="281"/>
    </row>
    <row r="77" spans="1:20" ht="15" customHeight="1" x14ac:dyDescent="0.25">
      <c r="C77" s="275"/>
      <c r="D77" s="97" t="s">
        <v>152</v>
      </c>
      <c r="E77" s="97" t="s">
        <v>168</v>
      </c>
      <c r="F77" s="85"/>
      <c r="G77" s="46"/>
      <c r="H77" s="46"/>
      <c r="I77" s="46"/>
      <c r="J77" s="46"/>
      <c r="K77" s="46"/>
      <c r="L77" s="46"/>
      <c r="M77" s="46"/>
      <c r="N77" s="46"/>
      <c r="O77" s="183"/>
      <c r="P77" s="46"/>
      <c r="Q77" s="46"/>
      <c r="R77" s="46"/>
      <c r="S77" s="83">
        <f t="shared" si="23"/>
        <v>0</v>
      </c>
      <c r="T77" s="281"/>
    </row>
    <row r="78" spans="1:20" ht="15" customHeight="1" x14ac:dyDescent="0.25">
      <c r="C78" s="275"/>
      <c r="D78" s="98" t="s">
        <v>153</v>
      </c>
      <c r="E78" s="98" t="s">
        <v>170</v>
      </c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>
        <f t="shared" si="23"/>
        <v>0</v>
      </c>
      <c r="T78" s="282">
        <f>SUM(S78:S82)</f>
        <v>0</v>
      </c>
    </row>
    <row r="79" spans="1:20" ht="15" customHeight="1" x14ac:dyDescent="0.25">
      <c r="C79" s="275"/>
      <c r="D79" s="99" t="s">
        <v>153</v>
      </c>
      <c r="E79" s="99" t="s">
        <v>171</v>
      </c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>
        <f t="shared" si="23"/>
        <v>0</v>
      </c>
      <c r="T79" s="283"/>
    </row>
    <row r="80" spans="1:20" ht="15" customHeight="1" x14ac:dyDescent="0.25">
      <c r="C80" s="275"/>
      <c r="D80" s="99" t="s">
        <v>153</v>
      </c>
      <c r="E80" s="99" t="s">
        <v>172</v>
      </c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>
        <f t="shared" si="23"/>
        <v>0</v>
      </c>
      <c r="T80" s="283"/>
    </row>
    <row r="81" spans="1:20" s="41" customFormat="1" ht="15" customHeight="1" x14ac:dyDescent="0.25">
      <c r="A81" s="45"/>
      <c r="B81" s="45"/>
      <c r="C81" s="276"/>
      <c r="D81" s="99" t="s">
        <v>153</v>
      </c>
      <c r="E81" s="99" t="s">
        <v>173</v>
      </c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>
        <f t="shared" si="23"/>
        <v>0</v>
      </c>
      <c r="T81" s="283"/>
    </row>
    <row r="82" spans="1:20" ht="15.75" customHeight="1" thickBot="1" x14ac:dyDescent="0.3">
      <c r="A82" s="41"/>
      <c r="B82" s="41"/>
      <c r="C82" s="276"/>
      <c r="D82" s="100" t="s">
        <v>153</v>
      </c>
      <c r="E82" s="100" t="s">
        <v>168</v>
      </c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>
        <f t="shared" si="23"/>
        <v>0</v>
      </c>
      <c r="T82" s="283"/>
    </row>
    <row r="83" spans="1:20" ht="15" customHeight="1" x14ac:dyDescent="0.25">
      <c r="D83" s="101" t="s">
        <v>120</v>
      </c>
      <c r="E83" s="101" t="s">
        <v>120</v>
      </c>
      <c r="F83" s="64">
        <f t="shared" ref="F83:S83" si="24">SUM(F66:F82)</f>
        <v>16000</v>
      </c>
      <c r="G83" s="64">
        <f t="shared" si="24"/>
        <v>0</v>
      </c>
      <c r="H83" s="64">
        <f t="shared" si="24"/>
        <v>0</v>
      </c>
      <c r="I83" s="64">
        <f t="shared" si="24"/>
        <v>0</v>
      </c>
      <c r="J83" s="64">
        <f t="shared" si="24"/>
        <v>0</v>
      </c>
      <c r="K83" s="64">
        <f t="shared" si="24"/>
        <v>0</v>
      </c>
      <c r="L83" s="64">
        <f t="shared" si="24"/>
        <v>0</v>
      </c>
      <c r="M83" s="64">
        <f t="shared" si="24"/>
        <v>0</v>
      </c>
      <c r="N83" s="64">
        <f t="shared" si="24"/>
        <v>0</v>
      </c>
      <c r="O83" s="64">
        <f t="shared" si="24"/>
        <v>0</v>
      </c>
      <c r="P83" s="64">
        <f t="shared" si="24"/>
        <v>0</v>
      </c>
      <c r="Q83" s="64">
        <f t="shared" si="24"/>
        <v>12097</v>
      </c>
      <c r="R83" s="64">
        <f t="shared" si="24"/>
        <v>0</v>
      </c>
      <c r="S83" s="54">
        <f t="shared" si="24"/>
        <v>28097</v>
      </c>
    </row>
    <row r="84" spans="1:20" ht="15.75" customHeight="1" thickBot="1" x14ac:dyDescent="0.3"/>
    <row r="85" spans="1:20" ht="17.25" x14ac:dyDescent="0.25">
      <c r="A85" s="166" t="s">
        <v>188</v>
      </c>
      <c r="B85" s="167">
        <v>202305</v>
      </c>
      <c r="C85" s="275">
        <v>202305</v>
      </c>
      <c r="D85" s="94" t="s">
        <v>151</v>
      </c>
      <c r="E85" s="177" t="s">
        <v>252</v>
      </c>
      <c r="F85" s="60"/>
      <c r="G85" s="59"/>
      <c r="H85" s="59"/>
      <c r="I85" s="60"/>
      <c r="J85" s="59"/>
      <c r="K85" s="60"/>
      <c r="L85" s="60"/>
      <c r="M85" s="60"/>
      <c r="N85" s="60"/>
      <c r="O85" s="60"/>
      <c r="P85" s="60"/>
      <c r="Q85" s="60">
        <f>2000+2000+2000+2000</f>
        <v>8000</v>
      </c>
      <c r="R85" s="60"/>
      <c r="S85" s="44">
        <f t="shared" ref="S85:S101" si="25">SUM(F85:R85)</f>
        <v>8000</v>
      </c>
      <c r="T85" s="277">
        <f>SUM(S85:S91)</f>
        <v>28097</v>
      </c>
    </row>
    <row r="86" spans="1:20" ht="18" thickBot="1" x14ac:dyDescent="0.3">
      <c r="A86" s="164" t="s">
        <v>247</v>
      </c>
      <c r="B86" s="162">
        <f>$J$2</f>
        <v>160000</v>
      </c>
      <c r="C86" s="275"/>
      <c r="D86" s="95" t="s">
        <v>151</v>
      </c>
      <c r="E86" s="176" t="s">
        <v>251</v>
      </c>
      <c r="F86" s="79"/>
      <c r="G86" s="78"/>
      <c r="H86" s="78"/>
      <c r="I86" s="79"/>
      <c r="J86" s="78"/>
      <c r="K86" s="79"/>
      <c r="L86" s="79"/>
      <c r="M86" s="79"/>
      <c r="N86" s="79"/>
      <c r="O86" s="79"/>
      <c r="P86" s="79"/>
      <c r="Q86" s="79"/>
      <c r="R86" s="79"/>
      <c r="S86" s="80">
        <f t="shared" si="25"/>
        <v>0</v>
      </c>
      <c r="T86" s="278"/>
    </row>
    <row r="87" spans="1:20" ht="15" customHeight="1" thickTop="1" x14ac:dyDescent="0.25">
      <c r="A87" s="165" t="s">
        <v>237</v>
      </c>
      <c r="B87" s="182">
        <f>SUMPRODUCT((($V$10:$V$21)&lt;=VALUE(B85))*($Z$10:$Z$21))</f>
        <v>147238</v>
      </c>
      <c r="C87" s="275"/>
      <c r="D87" s="95" t="s">
        <v>151</v>
      </c>
      <c r="E87" s="176" t="s">
        <v>254</v>
      </c>
      <c r="F87" s="79"/>
      <c r="G87" s="78"/>
      <c r="H87" s="78"/>
      <c r="I87" s="79"/>
      <c r="J87" s="78"/>
      <c r="K87" s="79"/>
      <c r="L87" s="79"/>
      <c r="M87" s="79"/>
      <c r="N87" s="79"/>
      <c r="O87" s="79"/>
      <c r="P87" s="79"/>
      <c r="Q87" s="79">
        <f>10500-7000</f>
        <v>3500</v>
      </c>
      <c r="R87" s="79"/>
      <c r="S87" s="80">
        <f t="shared" si="25"/>
        <v>3500</v>
      </c>
      <c r="T87" s="278"/>
    </row>
    <row r="88" spans="1:20" ht="15" customHeight="1" x14ac:dyDescent="0.25">
      <c r="A88" s="165" t="s">
        <v>264</v>
      </c>
      <c r="B88" s="181">
        <f>B87/SUMPRODUCT((留底!$V$10:$V$21&lt;=留底!B85)*'2022'!$Z$10:$Z$21)</f>
        <v>0.19527534409723052</v>
      </c>
      <c r="C88" s="275"/>
      <c r="D88" s="95" t="s">
        <v>151</v>
      </c>
      <c r="E88" s="176" t="s">
        <v>255</v>
      </c>
      <c r="F88" s="79"/>
      <c r="G88" s="78"/>
      <c r="H88" s="78"/>
      <c r="I88" s="79"/>
      <c r="J88" s="78"/>
      <c r="K88" s="79"/>
      <c r="L88" s="79"/>
      <c r="M88" s="79"/>
      <c r="N88" s="79"/>
      <c r="O88" s="79"/>
      <c r="P88" s="79"/>
      <c r="Q88" s="79">
        <v>597</v>
      </c>
      <c r="R88" s="79"/>
      <c r="S88" s="80">
        <f t="shared" si="25"/>
        <v>597</v>
      </c>
      <c r="T88" s="278"/>
    </row>
    <row r="89" spans="1:20" ht="15" customHeight="1" x14ac:dyDescent="0.25">
      <c r="A89" s="165" t="s">
        <v>236</v>
      </c>
      <c r="B89" s="186">
        <f>B87-$K$2*VALUE(RIGHT(B85,2))/9</f>
        <v>147238</v>
      </c>
      <c r="C89" s="275"/>
      <c r="D89" s="96" t="s">
        <v>151</v>
      </c>
      <c r="E89" s="176" t="s">
        <v>256</v>
      </c>
      <c r="F89" s="79">
        <f>11500+4500</f>
        <v>16000</v>
      </c>
      <c r="G89" s="78"/>
      <c r="H89" s="78"/>
      <c r="I89" s="78"/>
      <c r="J89" s="78"/>
      <c r="K89" s="79"/>
      <c r="L89" s="79"/>
      <c r="M89" s="79"/>
      <c r="N89" s="79"/>
      <c r="O89" s="79"/>
      <c r="P89" s="79"/>
      <c r="Q89" s="79"/>
      <c r="R89" s="79"/>
      <c r="S89" s="80">
        <f t="shared" si="25"/>
        <v>16000</v>
      </c>
      <c r="T89" s="278"/>
    </row>
    <row r="90" spans="1:20" ht="15" customHeight="1" x14ac:dyDescent="0.25">
      <c r="A90" s="164" t="s">
        <v>242</v>
      </c>
      <c r="B90" s="157">
        <f>B89/($J$2*12)</f>
        <v>7.6686458333333332E-2</v>
      </c>
      <c r="C90" s="275"/>
      <c r="D90" s="95" t="s">
        <v>151</v>
      </c>
      <c r="E90" s="176" t="s">
        <v>257</v>
      </c>
      <c r="F90" s="78"/>
      <c r="G90" s="78"/>
      <c r="H90" s="78"/>
      <c r="I90" s="79"/>
      <c r="J90" s="78"/>
      <c r="K90" s="79"/>
      <c r="L90" s="79"/>
      <c r="M90" s="79"/>
      <c r="N90" s="79"/>
      <c r="O90" s="79"/>
      <c r="P90" s="79"/>
      <c r="Q90" s="79"/>
      <c r="R90" s="79"/>
      <c r="S90" s="80">
        <f t="shared" si="25"/>
        <v>0</v>
      </c>
      <c r="T90" s="278"/>
    </row>
    <row r="91" spans="1:20" ht="15" customHeight="1" x14ac:dyDescent="0.25">
      <c r="A91" s="164" t="s">
        <v>241</v>
      </c>
      <c r="B91" s="126">
        <f>VALUE(RIGHT(B85,2))/12</f>
        <v>0.41666666666666669</v>
      </c>
      <c r="C91" s="275"/>
      <c r="D91" s="95" t="s">
        <v>151</v>
      </c>
      <c r="E91" s="176" t="s">
        <v>263</v>
      </c>
      <c r="F91" s="78"/>
      <c r="G91" s="78"/>
      <c r="H91" s="78"/>
      <c r="I91" s="79"/>
      <c r="J91" s="78"/>
      <c r="K91" s="79"/>
      <c r="L91" s="79"/>
      <c r="M91" s="79"/>
      <c r="N91" s="79"/>
      <c r="O91" s="79"/>
      <c r="P91" s="79"/>
      <c r="Q91" s="79"/>
      <c r="R91" s="79"/>
      <c r="S91" s="80">
        <f t="shared" si="25"/>
        <v>0</v>
      </c>
      <c r="T91" s="279"/>
    </row>
    <row r="92" spans="1:20" ht="15" customHeight="1" x14ac:dyDescent="0.25">
      <c r="A92" s="164" t="s">
        <v>243</v>
      </c>
      <c r="B92" s="161">
        <f>B86*VALUE(RIGHT(B85,2))-B89</f>
        <v>652762</v>
      </c>
      <c r="C92" s="275"/>
      <c r="D92" s="97" t="s">
        <v>152</v>
      </c>
      <c r="E92" s="97" t="s">
        <v>144</v>
      </c>
      <c r="F92" s="85"/>
      <c r="G92" s="46"/>
      <c r="H92" s="85"/>
      <c r="I92" s="46"/>
      <c r="J92" s="46"/>
      <c r="K92" s="46"/>
      <c r="L92" s="46"/>
      <c r="M92" s="46"/>
      <c r="N92" s="46"/>
      <c r="O92" s="109"/>
      <c r="P92" s="46"/>
      <c r="Q92" s="46"/>
      <c r="R92" s="46"/>
      <c r="S92" s="83">
        <f t="shared" si="25"/>
        <v>0</v>
      </c>
      <c r="T92" s="280">
        <f>SUM(S92:S96)</f>
        <v>0</v>
      </c>
    </row>
    <row r="93" spans="1:20" ht="15" customHeight="1" x14ac:dyDescent="0.25">
      <c r="A93" s="164" t="s">
        <v>265</v>
      </c>
      <c r="B93" s="184">
        <f>$J$2-(S102-F99)</f>
        <v>125150</v>
      </c>
      <c r="C93" s="275"/>
      <c r="D93" s="97" t="s">
        <v>152</v>
      </c>
      <c r="E93" s="97" t="s">
        <v>145</v>
      </c>
      <c r="F93" s="85"/>
      <c r="G93" s="46"/>
      <c r="H93" s="85"/>
      <c r="I93" s="46"/>
      <c r="J93" s="46"/>
      <c r="K93" s="46"/>
      <c r="L93" s="46"/>
      <c r="M93" s="86"/>
      <c r="N93" s="46"/>
      <c r="O93" s="89"/>
      <c r="P93" s="46"/>
      <c r="Q93" s="46"/>
      <c r="R93" s="46"/>
      <c r="S93" s="83">
        <f t="shared" si="25"/>
        <v>0</v>
      </c>
      <c r="T93" s="281"/>
    </row>
    <row r="94" spans="1:20" ht="15" customHeight="1" x14ac:dyDescent="0.25">
      <c r="C94" s="275"/>
      <c r="D94" s="97" t="s">
        <v>152</v>
      </c>
      <c r="E94" s="97" t="s">
        <v>146</v>
      </c>
      <c r="F94" s="86"/>
      <c r="G94" s="46"/>
      <c r="H94" s="87"/>
      <c r="I94" s="46"/>
      <c r="J94" s="46"/>
      <c r="K94" s="46"/>
      <c r="L94" s="46"/>
      <c r="M94" s="46"/>
      <c r="N94" s="46"/>
      <c r="O94" s="89"/>
      <c r="P94" s="46"/>
      <c r="Q94" s="46"/>
      <c r="R94" s="46"/>
      <c r="S94" s="83">
        <f t="shared" si="25"/>
        <v>0</v>
      </c>
      <c r="T94" s="281"/>
    </row>
    <row r="95" spans="1:20" ht="15" customHeight="1" x14ac:dyDescent="0.25">
      <c r="C95" s="275"/>
      <c r="D95" s="97" t="s">
        <v>152</v>
      </c>
      <c r="E95" s="97" t="s">
        <v>147</v>
      </c>
      <c r="F95" s="85"/>
      <c r="G95" s="46"/>
      <c r="H95" s="87"/>
      <c r="I95" s="46"/>
      <c r="J95" s="46"/>
      <c r="K95" s="46"/>
      <c r="L95" s="46"/>
      <c r="M95" s="46"/>
      <c r="N95" s="46"/>
      <c r="O95" s="89"/>
      <c r="P95" s="46"/>
      <c r="Q95" s="46"/>
      <c r="R95" s="46"/>
      <c r="S95" s="83">
        <f t="shared" si="25"/>
        <v>0</v>
      </c>
      <c r="T95" s="281"/>
    </row>
    <row r="96" spans="1:20" ht="15" customHeight="1" x14ac:dyDescent="0.25">
      <c r="B96" s="52"/>
      <c r="C96" s="275"/>
      <c r="D96" s="97" t="s">
        <v>152</v>
      </c>
      <c r="E96" s="97" t="s">
        <v>168</v>
      </c>
      <c r="F96" s="85"/>
      <c r="G96" s="46"/>
      <c r="H96" s="46"/>
      <c r="I96" s="46"/>
      <c r="J96" s="46"/>
      <c r="K96" s="46"/>
      <c r="L96" s="46"/>
      <c r="M96" s="46"/>
      <c r="N96" s="46"/>
      <c r="O96" s="89"/>
      <c r="P96" s="46"/>
      <c r="Q96" s="86"/>
      <c r="R96" s="46"/>
      <c r="S96" s="83">
        <f t="shared" si="25"/>
        <v>0</v>
      </c>
      <c r="T96" s="281"/>
    </row>
    <row r="97" spans="1:20" ht="15" customHeight="1" x14ac:dyDescent="0.25">
      <c r="C97" s="275"/>
      <c r="D97" s="98" t="s">
        <v>153</v>
      </c>
      <c r="E97" s="98" t="s">
        <v>170</v>
      </c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>
        <f t="shared" si="25"/>
        <v>0</v>
      </c>
      <c r="T97" s="282">
        <f>SUM(S97:S101)</f>
        <v>6753</v>
      </c>
    </row>
    <row r="98" spans="1:20" ht="15" customHeight="1" x14ac:dyDescent="0.25">
      <c r="C98" s="275"/>
      <c r="D98" s="99" t="s">
        <v>153</v>
      </c>
      <c r="E98" s="99" t="s">
        <v>171</v>
      </c>
      <c r="F98" s="81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>
        <f t="shared" si="25"/>
        <v>0</v>
      </c>
      <c r="T98" s="283"/>
    </row>
    <row r="99" spans="1:20" ht="15" customHeight="1" x14ac:dyDescent="0.25">
      <c r="C99" s="275"/>
      <c r="D99" s="99" t="s">
        <v>153</v>
      </c>
      <c r="E99" s="99" t="s">
        <v>172</v>
      </c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>
        <f t="shared" si="25"/>
        <v>0</v>
      </c>
      <c r="T99" s="283"/>
    </row>
    <row r="100" spans="1:20" s="41" customFormat="1" ht="15" customHeight="1" x14ac:dyDescent="0.25">
      <c r="A100" s="45"/>
      <c r="B100" s="45"/>
      <c r="C100" s="276"/>
      <c r="D100" s="99" t="s">
        <v>153</v>
      </c>
      <c r="E100" s="99" t="s">
        <v>173</v>
      </c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>
        <v>6753</v>
      </c>
      <c r="R100" s="82"/>
      <c r="S100" s="82">
        <f t="shared" si="25"/>
        <v>6753</v>
      </c>
      <c r="T100" s="283"/>
    </row>
    <row r="101" spans="1:20" ht="15.75" customHeight="1" thickBot="1" x14ac:dyDescent="0.3">
      <c r="A101" s="41"/>
      <c r="B101" s="41"/>
      <c r="C101" s="276"/>
      <c r="D101" s="100" t="s">
        <v>153</v>
      </c>
      <c r="E101" s="100" t="s">
        <v>168</v>
      </c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>
        <f t="shared" si="25"/>
        <v>0</v>
      </c>
      <c r="T101" s="283"/>
    </row>
    <row r="102" spans="1:20" ht="14.25" customHeight="1" x14ac:dyDescent="0.25">
      <c r="D102" s="101" t="s">
        <v>120</v>
      </c>
      <c r="E102" s="101" t="s">
        <v>120</v>
      </c>
      <c r="F102" s="64">
        <f t="shared" ref="F102:O102" si="26">SUM(F85:F101)</f>
        <v>16000</v>
      </c>
      <c r="G102" s="64">
        <f t="shared" si="26"/>
        <v>0</v>
      </c>
      <c r="H102" s="64">
        <f t="shared" si="26"/>
        <v>0</v>
      </c>
      <c r="I102" s="64">
        <f t="shared" si="26"/>
        <v>0</v>
      </c>
      <c r="J102" s="64">
        <f t="shared" si="26"/>
        <v>0</v>
      </c>
      <c r="K102" s="64">
        <f t="shared" si="26"/>
        <v>0</v>
      </c>
      <c r="L102" s="64">
        <f t="shared" si="26"/>
        <v>0</v>
      </c>
      <c r="M102" s="64">
        <f t="shared" si="26"/>
        <v>0</v>
      </c>
      <c r="N102" s="64">
        <f t="shared" si="26"/>
        <v>0</v>
      </c>
      <c r="O102" s="64">
        <f t="shared" si="26"/>
        <v>0</v>
      </c>
      <c r="P102" s="64">
        <f>SUM(P85:P101)</f>
        <v>0</v>
      </c>
      <c r="Q102" s="64">
        <f>SUM(Q85:Q101)</f>
        <v>18850</v>
      </c>
      <c r="R102" s="64">
        <f>SUM(R85:R101)</f>
        <v>0</v>
      </c>
      <c r="S102" s="54">
        <f>SUM(S85:S101)</f>
        <v>34850</v>
      </c>
    </row>
    <row r="103" spans="1:20" ht="15.75" customHeight="1" thickBot="1" x14ac:dyDescent="0.3"/>
    <row r="104" spans="1:20" ht="17.25" x14ac:dyDescent="0.25">
      <c r="A104" s="166" t="s">
        <v>188</v>
      </c>
      <c r="B104" s="167">
        <v>202306</v>
      </c>
      <c r="C104" s="275">
        <v>202306</v>
      </c>
      <c r="D104" s="94" t="s">
        <v>151</v>
      </c>
      <c r="E104" s="177" t="s">
        <v>252</v>
      </c>
      <c r="F104" s="60"/>
      <c r="G104" s="59"/>
      <c r="H104" s="59"/>
      <c r="I104" s="60"/>
      <c r="J104" s="59"/>
      <c r="K104" s="60"/>
      <c r="L104" s="60"/>
      <c r="M104" s="148"/>
      <c r="N104" s="60"/>
      <c r="O104" s="60"/>
      <c r="P104" s="60"/>
      <c r="Q104" s="60">
        <f>2000+2000+2000+2000</f>
        <v>8000</v>
      </c>
      <c r="R104" s="60"/>
      <c r="S104" s="44">
        <f t="shared" ref="S104:S120" si="27">SUM(F104:R104)</f>
        <v>8000</v>
      </c>
      <c r="T104" s="277">
        <f>SUM(S104:S110)</f>
        <v>28097</v>
      </c>
    </row>
    <row r="105" spans="1:20" ht="15" customHeight="1" thickBot="1" x14ac:dyDescent="0.3">
      <c r="A105" s="164" t="s">
        <v>247</v>
      </c>
      <c r="B105" s="162">
        <f>$J$2</f>
        <v>160000</v>
      </c>
      <c r="C105" s="275"/>
      <c r="D105" s="95" t="s">
        <v>151</v>
      </c>
      <c r="E105" s="176" t="s">
        <v>251</v>
      </c>
      <c r="F105" s="79"/>
      <c r="G105" s="78"/>
      <c r="H105" s="78"/>
      <c r="I105" s="79"/>
      <c r="J105" s="78"/>
      <c r="K105" s="79"/>
      <c r="L105" s="79"/>
      <c r="M105" s="149"/>
      <c r="N105" s="79"/>
      <c r="O105" s="79"/>
      <c r="P105" s="79"/>
      <c r="Q105" s="79"/>
      <c r="R105" s="79"/>
      <c r="S105" s="80">
        <f t="shared" si="27"/>
        <v>0</v>
      </c>
      <c r="T105" s="278"/>
    </row>
    <row r="106" spans="1:20" ht="15" customHeight="1" thickTop="1" x14ac:dyDescent="0.25">
      <c r="A106" s="165" t="s">
        <v>237</v>
      </c>
      <c r="B106" s="182">
        <f>SUMPRODUCT((($V$10:$V$21)&lt;=VALUE(B104))*($Z$10:$Z$21))</f>
        <v>175335</v>
      </c>
      <c r="C106" s="275"/>
      <c r="D106" s="95" t="s">
        <v>151</v>
      </c>
      <c r="E106" s="176" t="s">
        <v>254</v>
      </c>
      <c r="F106" s="79"/>
      <c r="G106" s="78"/>
      <c r="H106" s="78"/>
      <c r="I106" s="79"/>
      <c r="J106" s="78"/>
      <c r="K106" s="79"/>
      <c r="L106" s="79"/>
      <c r="M106" s="149"/>
      <c r="N106" s="79"/>
      <c r="O106" s="79"/>
      <c r="P106" s="79"/>
      <c r="Q106" s="79">
        <f>10500-7000</f>
        <v>3500</v>
      </c>
      <c r="R106" s="79"/>
      <c r="S106" s="80">
        <f t="shared" si="27"/>
        <v>3500</v>
      </c>
      <c r="T106" s="278"/>
    </row>
    <row r="107" spans="1:20" ht="15" customHeight="1" x14ac:dyDescent="0.25">
      <c r="A107" s="165" t="s">
        <v>264</v>
      </c>
      <c r="B107" s="181">
        <f>B106/SUMPRODUCT((留底!$V$10:$V$21&lt;=留底!B104)*'2022'!$Z$10:$Z$21)</f>
        <v>0.1845785070547972</v>
      </c>
      <c r="C107" s="275"/>
      <c r="D107" s="95" t="s">
        <v>151</v>
      </c>
      <c r="E107" s="176" t="s">
        <v>255</v>
      </c>
      <c r="F107" s="79"/>
      <c r="G107" s="78"/>
      <c r="H107" s="78"/>
      <c r="I107" s="79"/>
      <c r="J107" s="78"/>
      <c r="K107" s="79"/>
      <c r="L107" s="79"/>
      <c r="M107" s="149"/>
      <c r="N107" s="79"/>
      <c r="O107" s="79"/>
      <c r="P107" s="79"/>
      <c r="Q107" s="79">
        <v>597</v>
      </c>
      <c r="R107" s="79"/>
      <c r="S107" s="80">
        <f t="shared" si="27"/>
        <v>597</v>
      </c>
      <c r="T107" s="278"/>
    </row>
    <row r="108" spans="1:20" ht="15" customHeight="1" x14ac:dyDescent="0.25">
      <c r="A108" s="165" t="s">
        <v>236</v>
      </c>
      <c r="B108" s="186">
        <f>B106-$K$2*VALUE(RIGHT(B104,2))/9</f>
        <v>175335</v>
      </c>
      <c r="C108" s="275"/>
      <c r="D108" s="96" t="s">
        <v>151</v>
      </c>
      <c r="E108" s="176" t="s">
        <v>256</v>
      </c>
      <c r="F108" s="79">
        <f>11500+4500</f>
        <v>16000</v>
      </c>
      <c r="G108" s="78"/>
      <c r="H108" s="78"/>
      <c r="I108" s="78"/>
      <c r="J108" s="78"/>
      <c r="K108" s="79"/>
      <c r="L108" s="79"/>
      <c r="M108" s="149"/>
      <c r="N108" s="79"/>
      <c r="O108" s="79"/>
      <c r="P108" s="79"/>
      <c r="Q108" s="79"/>
      <c r="R108" s="79"/>
      <c r="S108" s="80">
        <f t="shared" si="27"/>
        <v>16000</v>
      </c>
      <c r="T108" s="278"/>
    </row>
    <row r="109" spans="1:20" ht="15" customHeight="1" x14ac:dyDescent="0.25">
      <c r="A109" s="164" t="s">
        <v>242</v>
      </c>
      <c r="B109" s="157">
        <f>B108/($J$2*12)</f>
        <v>9.13203125E-2</v>
      </c>
      <c r="C109" s="275"/>
      <c r="D109" s="95" t="s">
        <v>151</v>
      </c>
      <c r="E109" s="176" t="s">
        <v>257</v>
      </c>
      <c r="F109" s="79"/>
      <c r="G109" s="78"/>
      <c r="H109" s="78"/>
      <c r="I109" s="79"/>
      <c r="J109" s="78"/>
      <c r="K109" s="79"/>
      <c r="L109" s="79"/>
      <c r="M109" s="149"/>
      <c r="N109" s="79"/>
      <c r="O109" s="79"/>
      <c r="P109" s="79"/>
      <c r="Q109" s="79"/>
      <c r="R109" s="79"/>
      <c r="S109" s="80">
        <f t="shared" si="27"/>
        <v>0</v>
      </c>
      <c r="T109" s="278"/>
    </row>
    <row r="110" spans="1:20" ht="15" customHeight="1" x14ac:dyDescent="0.25">
      <c r="A110" s="164" t="s">
        <v>241</v>
      </c>
      <c r="B110" s="126">
        <f>VALUE(RIGHT(B104,2))/12</f>
        <v>0.5</v>
      </c>
      <c r="C110" s="275"/>
      <c r="D110" s="95" t="s">
        <v>151</v>
      </c>
      <c r="E110" s="176" t="s">
        <v>263</v>
      </c>
      <c r="F110" s="78"/>
      <c r="G110" s="78"/>
      <c r="H110" s="78"/>
      <c r="I110" s="79"/>
      <c r="J110" s="78"/>
      <c r="K110" s="79"/>
      <c r="L110" s="79"/>
      <c r="M110" s="149"/>
      <c r="N110" s="79"/>
      <c r="O110" s="79"/>
      <c r="P110" s="79"/>
      <c r="Q110" s="79"/>
      <c r="R110" s="79"/>
      <c r="S110" s="80">
        <f>SUM(F110:R110)</f>
        <v>0</v>
      </c>
      <c r="T110" s="279"/>
    </row>
    <row r="111" spans="1:20" ht="15" customHeight="1" x14ac:dyDescent="0.25">
      <c r="A111" s="164" t="s">
        <v>243</v>
      </c>
      <c r="B111" s="161">
        <f>B105*VALUE(RIGHT(B104,2))-B108</f>
        <v>784665</v>
      </c>
      <c r="C111" s="275"/>
      <c r="D111" s="97" t="s">
        <v>152</v>
      </c>
      <c r="E111" s="97" t="s">
        <v>144</v>
      </c>
      <c r="F111" s="85"/>
      <c r="G111" s="46"/>
      <c r="H111" s="85"/>
      <c r="I111" s="46"/>
      <c r="J111" s="46"/>
      <c r="K111" s="46"/>
      <c r="L111" s="46"/>
      <c r="M111" s="152"/>
      <c r="N111" s="46"/>
      <c r="O111" s="86"/>
      <c r="P111" s="46"/>
      <c r="Q111" s="46"/>
      <c r="R111" s="46"/>
      <c r="S111" s="83">
        <f t="shared" si="27"/>
        <v>0</v>
      </c>
      <c r="T111" s="280">
        <f>SUM(S111:S115)</f>
        <v>0</v>
      </c>
    </row>
    <row r="112" spans="1:20" ht="15" customHeight="1" x14ac:dyDescent="0.25">
      <c r="A112" s="164" t="s">
        <v>265</v>
      </c>
      <c r="B112" s="184">
        <f>$J$2-(S121-F118)</f>
        <v>131903</v>
      </c>
      <c r="C112" s="275"/>
      <c r="D112" s="97" t="s">
        <v>152</v>
      </c>
      <c r="E112" s="97" t="s">
        <v>145</v>
      </c>
      <c r="F112" s="85"/>
      <c r="G112" s="46"/>
      <c r="H112" s="85"/>
      <c r="I112" s="46"/>
      <c r="J112" s="46"/>
      <c r="K112" s="46"/>
      <c r="L112" s="46"/>
      <c r="M112" s="152"/>
      <c r="N112" s="46"/>
      <c r="O112" s="89"/>
      <c r="P112" s="46"/>
      <c r="Q112" s="46"/>
      <c r="R112" s="46"/>
      <c r="S112" s="83">
        <f t="shared" si="27"/>
        <v>0</v>
      </c>
      <c r="T112" s="281"/>
    </row>
    <row r="113" spans="1:23" ht="15" customHeight="1" x14ac:dyDescent="0.25">
      <c r="C113" s="275"/>
      <c r="D113" s="97" t="s">
        <v>152</v>
      </c>
      <c r="E113" s="97" t="s">
        <v>146</v>
      </c>
      <c r="F113" s="86"/>
      <c r="G113" s="46"/>
      <c r="H113" s="87"/>
      <c r="I113" s="89"/>
      <c r="J113" s="46"/>
      <c r="K113" s="46"/>
      <c r="L113" s="46"/>
      <c r="M113" s="152"/>
      <c r="N113" s="46"/>
      <c r="O113" s="46"/>
      <c r="P113" s="46"/>
      <c r="Q113" s="46"/>
      <c r="R113" s="46"/>
      <c r="S113" s="83">
        <f t="shared" si="27"/>
        <v>0</v>
      </c>
      <c r="T113" s="281"/>
    </row>
    <row r="114" spans="1:23" ht="15" customHeight="1" x14ac:dyDescent="0.25">
      <c r="C114" s="275"/>
      <c r="D114" s="97" t="s">
        <v>152</v>
      </c>
      <c r="E114" s="97" t="s">
        <v>147</v>
      </c>
      <c r="F114" s="85"/>
      <c r="G114" s="46"/>
      <c r="H114" s="87"/>
      <c r="I114" s="46"/>
      <c r="J114" s="46"/>
      <c r="K114" s="46"/>
      <c r="L114" s="46"/>
      <c r="M114" s="152"/>
      <c r="N114" s="46"/>
      <c r="O114" s="46"/>
      <c r="P114" s="46"/>
      <c r="Q114" s="46"/>
      <c r="R114" s="46"/>
      <c r="S114" s="83">
        <f t="shared" si="27"/>
        <v>0</v>
      </c>
      <c r="T114" s="281"/>
    </row>
    <row r="115" spans="1:23" ht="15" customHeight="1" x14ac:dyDescent="0.25">
      <c r="C115" s="275"/>
      <c r="D115" s="97" t="s">
        <v>152</v>
      </c>
      <c r="E115" s="97" t="s">
        <v>168</v>
      </c>
      <c r="F115" s="85"/>
      <c r="G115" s="46"/>
      <c r="H115" s="85"/>
      <c r="I115" s="46"/>
      <c r="J115" s="46"/>
      <c r="K115" s="46"/>
      <c r="L115" s="46"/>
      <c r="M115" s="152"/>
      <c r="N115" s="46"/>
      <c r="O115" s="46"/>
      <c r="P115" s="46"/>
      <c r="Q115" s="46"/>
      <c r="R115" s="46"/>
      <c r="S115" s="83">
        <f t="shared" si="27"/>
        <v>0</v>
      </c>
      <c r="T115" s="281"/>
    </row>
    <row r="116" spans="1:23" ht="15" customHeight="1" x14ac:dyDescent="0.25">
      <c r="C116" s="275"/>
      <c r="D116" s="98" t="s">
        <v>153</v>
      </c>
      <c r="E116" s="98" t="s">
        <v>170</v>
      </c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>
        <f t="shared" si="27"/>
        <v>0</v>
      </c>
      <c r="T116" s="282">
        <f>SUM(S116:S120)</f>
        <v>0</v>
      </c>
    </row>
    <row r="117" spans="1:23" ht="15" customHeight="1" x14ac:dyDescent="0.25">
      <c r="C117" s="275"/>
      <c r="D117" s="99" t="s">
        <v>153</v>
      </c>
      <c r="E117" s="99" t="s">
        <v>171</v>
      </c>
      <c r="F117" s="82"/>
      <c r="G117" s="82"/>
      <c r="H117" s="82"/>
      <c r="I117" s="82"/>
      <c r="J117" s="82"/>
      <c r="K117" s="82"/>
      <c r="L117" s="82"/>
      <c r="M117" s="140"/>
      <c r="N117" s="82"/>
      <c r="O117" s="82"/>
      <c r="P117" s="82"/>
      <c r="Q117" s="82"/>
      <c r="R117" s="82"/>
      <c r="S117" s="82">
        <f t="shared" si="27"/>
        <v>0</v>
      </c>
      <c r="T117" s="283"/>
    </row>
    <row r="118" spans="1:23" ht="15" customHeight="1" x14ac:dyDescent="0.25">
      <c r="C118" s="275"/>
      <c r="D118" s="99" t="s">
        <v>153</v>
      </c>
      <c r="E118" s="99" t="s">
        <v>172</v>
      </c>
      <c r="F118" s="82"/>
      <c r="G118" s="82"/>
      <c r="H118" s="81"/>
      <c r="I118" s="82"/>
      <c r="J118" s="82"/>
      <c r="K118" s="82"/>
      <c r="L118" s="82"/>
      <c r="M118" s="140"/>
      <c r="N118" s="82"/>
      <c r="O118" s="82"/>
      <c r="P118" s="82"/>
      <c r="Q118" s="82"/>
      <c r="R118" s="82"/>
      <c r="S118" s="82">
        <f t="shared" si="27"/>
        <v>0</v>
      </c>
      <c r="T118" s="283"/>
    </row>
    <row r="119" spans="1:23" s="41" customFormat="1" ht="15" customHeight="1" x14ac:dyDescent="0.25">
      <c r="A119" s="45"/>
      <c r="B119" s="45"/>
      <c r="C119" s="276"/>
      <c r="D119" s="99" t="s">
        <v>153</v>
      </c>
      <c r="E119" s="99" t="s">
        <v>173</v>
      </c>
      <c r="F119" s="82"/>
      <c r="G119" s="82"/>
      <c r="H119" s="82"/>
      <c r="I119" s="82"/>
      <c r="J119" s="82"/>
      <c r="K119" s="82"/>
      <c r="L119" s="82"/>
      <c r="M119" s="140"/>
      <c r="N119" s="82"/>
      <c r="O119" s="82"/>
      <c r="P119" s="82"/>
      <c r="Q119" s="82"/>
      <c r="R119" s="82"/>
      <c r="S119" s="82">
        <f t="shared" si="27"/>
        <v>0</v>
      </c>
      <c r="T119" s="283"/>
    </row>
    <row r="120" spans="1:23" ht="15.75" customHeight="1" thickBot="1" x14ac:dyDescent="0.3">
      <c r="A120" s="41"/>
      <c r="B120" s="41"/>
      <c r="C120" s="276"/>
      <c r="D120" s="100" t="s">
        <v>153</v>
      </c>
      <c r="E120" s="100" t="s">
        <v>168</v>
      </c>
      <c r="F120" s="48"/>
      <c r="G120" s="48"/>
      <c r="H120" s="48"/>
      <c r="I120" s="48"/>
      <c r="J120" s="48"/>
      <c r="K120" s="48"/>
      <c r="L120" s="48"/>
      <c r="M120" s="141"/>
      <c r="N120" s="48"/>
      <c r="O120" s="48"/>
      <c r="P120" s="48"/>
      <c r="Q120" s="48"/>
      <c r="R120" s="48"/>
      <c r="S120" s="48">
        <f t="shared" si="27"/>
        <v>0</v>
      </c>
      <c r="T120" s="283"/>
    </row>
    <row r="121" spans="1:23" ht="15" customHeight="1" x14ac:dyDescent="0.25">
      <c r="D121" s="101" t="s">
        <v>120</v>
      </c>
      <c r="E121" s="101" t="s">
        <v>120</v>
      </c>
      <c r="F121" s="64">
        <f>SUM(F104:F120)</f>
        <v>16000</v>
      </c>
      <c r="G121" s="64">
        <f>SUM(G104:G120)</f>
        <v>0</v>
      </c>
      <c r="H121" s="64">
        <f>SUM(H104:H120)</f>
        <v>0</v>
      </c>
      <c r="I121" s="64">
        <f t="shared" ref="I121:P121" si="28">SUM(I104:I120)</f>
        <v>0</v>
      </c>
      <c r="J121" s="64">
        <f t="shared" si="28"/>
        <v>0</v>
      </c>
      <c r="K121" s="64">
        <f t="shared" si="28"/>
        <v>0</v>
      </c>
      <c r="L121" s="64">
        <f t="shared" si="28"/>
        <v>0</v>
      </c>
      <c r="M121" s="150">
        <f t="shared" si="28"/>
        <v>0</v>
      </c>
      <c r="N121" s="64">
        <f t="shared" si="28"/>
        <v>0</v>
      </c>
      <c r="O121" s="64">
        <f t="shared" si="28"/>
        <v>0</v>
      </c>
      <c r="P121" s="64">
        <f t="shared" si="28"/>
        <v>0</v>
      </c>
      <c r="Q121" s="64">
        <f>SUM(Q104:Q120)</f>
        <v>12097</v>
      </c>
      <c r="R121" s="64">
        <f>SUM(R104:R120)</f>
        <v>0</v>
      </c>
      <c r="S121" s="54">
        <f>SUM(S104:S120)</f>
        <v>28097</v>
      </c>
      <c r="T121" s="52"/>
      <c r="U121" s="52"/>
    </row>
    <row r="122" spans="1:23" ht="15.75" customHeight="1" thickBot="1" x14ac:dyDescent="0.3">
      <c r="M122" s="151"/>
    </row>
    <row r="123" spans="1:23" ht="17.25" x14ac:dyDescent="0.25">
      <c r="A123" s="166" t="s">
        <v>188</v>
      </c>
      <c r="B123" s="167">
        <f>C123</f>
        <v>202307</v>
      </c>
      <c r="C123" s="275">
        <v>202307</v>
      </c>
      <c r="D123" s="94" t="s">
        <v>151</v>
      </c>
      <c r="E123" s="177" t="s">
        <v>252</v>
      </c>
      <c r="F123" s="60"/>
      <c r="G123" s="59"/>
      <c r="H123" s="59"/>
      <c r="I123" s="60"/>
      <c r="J123" s="59"/>
      <c r="K123" s="60"/>
      <c r="L123" s="60"/>
      <c r="M123" s="148"/>
      <c r="N123" s="60"/>
      <c r="O123" s="60"/>
      <c r="P123" s="60"/>
      <c r="Q123" s="60">
        <f>2000+2000+2000+2000</f>
        <v>8000</v>
      </c>
      <c r="R123" s="60"/>
      <c r="S123" s="44">
        <f t="shared" ref="S123:S139" si="29">SUM(F123:R123)</f>
        <v>8000</v>
      </c>
      <c r="T123" s="277">
        <f>SUM(S123:S129)</f>
        <v>12097</v>
      </c>
      <c r="V123" s="52">
        <f>S123-S104</f>
        <v>0</v>
      </c>
    </row>
    <row r="124" spans="1:23" ht="15" customHeight="1" thickBot="1" x14ac:dyDescent="0.3">
      <c r="A124" s="164" t="s">
        <v>247</v>
      </c>
      <c r="B124" s="162">
        <f>$J$2</f>
        <v>160000</v>
      </c>
      <c r="C124" s="275"/>
      <c r="D124" s="95" t="s">
        <v>151</v>
      </c>
      <c r="E124" s="176" t="s">
        <v>251</v>
      </c>
      <c r="F124" s="79"/>
      <c r="G124" s="78"/>
      <c r="H124" s="78"/>
      <c r="I124" s="79"/>
      <c r="J124" s="78"/>
      <c r="K124" s="79"/>
      <c r="L124" s="79"/>
      <c r="M124" s="149"/>
      <c r="N124" s="79"/>
      <c r="O124" s="79"/>
      <c r="P124" s="79"/>
      <c r="Q124" s="79"/>
      <c r="R124" s="79"/>
      <c r="S124" s="80">
        <f t="shared" si="29"/>
        <v>0</v>
      </c>
      <c r="T124" s="278"/>
      <c r="V124" s="52">
        <f t="shared" ref="V124:V129" si="30">S124-S105</f>
        <v>0</v>
      </c>
    </row>
    <row r="125" spans="1:23" ht="15" customHeight="1" thickTop="1" x14ac:dyDescent="0.25">
      <c r="A125" s="165" t="s">
        <v>237</v>
      </c>
      <c r="B125" s="182">
        <f>SUMPRODUCT((($V$10:$V$21)&lt;=VALUE(B123))*($Z$10:$Z$21))</f>
        <v>187432</v>
      </c>
      <c r="C125" s="275"/>
      <c r="D125" s="95" t="s">
        <v>151</v>
      </c>
      <c r="E125" s="176" t="s">
        <v>254</v>
      </c>
      <c r="F125" s="79"/>
      <c r="G125" s="78"/>
      <c r="H125" s="78"/>
      <c r="I125" s="79"/>
      <c r="J125" s="78"/>
      <c r="K125" s="79"/>
      <c r="L125" s="79"/>
      <c r="M125" s="149"/>
      <c r="N125" s="79"/>
      <c r="O125" s="79"/>
      <c r="P125" s="79"/>
      <c r="Q125" s="79">
        <f>10500-7000</f>
        <v>3500</v>
      </c>
      <c r="R125" s="79"/>
      <c r="S125" s="80">
        <f t="shared" si="29"/>
        <v>3500</v>
      </c>
      <c r="T125" s="278"/>
      <c r="V125" s="52">
        <f t="shared" si="30"/>
        <v>0</v>
      </c>
      <c r="W125" s="55" t="s">
        <v>280</v>
      </c>
    </row>
    <row r="126" spans="1:23" ht="15" customHeight="1" x14ac:dyDescent="0.25">
      <c r="A126" s="165" t="s">
        <v>264</v>
      </c>
      <c r="B126" s="181">
        <f>B125/SUMPRODUCT((留底!$V$10:$V$21&lt;=留底!B123)*'2022'!$Z$10:$Z$21)</f>
        <v>0.16921422709655753</v>
      </c>
      <c r="C126" s="275"/>
      <c r="D126" s="95" t="s">
        <v>151</v>
      </c>
      <c r="E126" s="176" t="s">
        <v>255</v>
      </c>
      <c r="F126" s="79"/>
      <c r="G126" s="78"/>
      <c r="H126" s="78"/>
      <c r="I126" s="79"/>
      <c r="J126" s="78"/>
      <c r="K126" s="79"/>
      <c r="L126" s="79"/>
      <c r="M126" s="149"/>
      <c r="N126" s="79"/>
      <c r="O126" s="79"/>
      <c r="P126" s="79"/>
      <c r="Q126" s="79">
        <v>597</v>
      </c>
      <c r="R126" s="79"/>
      <c r="S126" s="80">
        <f t="shared" si="29"/>
        <v>597</v>
      </c>
      <c r="T126" s="278"/>
      <c r="V126" s="52">
        <f t="shared" si="30"/>
        <v>0</v>
      </c>
    </row>
    <row r="127" spans="1:23" ht="15" customHeight="1" x14ac:dyDescent="0.25">
      <c r="A127" s="165" t="s">
        <v>236</v>
      </c>
      <c r="B127" s="186">
        <f>B125-$K$2*VALUE(RIGHT(B123,2))/9</f>
        <v>187432</v>
      </c>
      <c r="C127" s="275"/>
      <c r="D127" s="96" t="s">
        <v>151</v>
      </c>
      <c r="E127" s="176" t="s">
        <v>256</v>
      </c>
      <c r="F127" s="79"/>
      <c r="G127" s="78"/>
      <c r="H127" s="78"/>
      <c r="I127" s="78"/>
      <c r="J127" s="78"/>
      <c r="K127" s="79"/>
      <c r="L127" s="79"/>
      <c r="M127" s="149"/>
      <c r="N127" s="79"/>
      <c r="O127" s="79"/>
      <c r="P127" s="79"/>
      <c r="Q127" s="79"/>
      <c r="R127" s="79"/>
      <c r="S127" s="80">
        <f t="shared" si="29"/>
        <v>0</v>
      </c>
      <c r="T127" s="278"/>
      <c r="V127" s="52">
        <f t="shared" si="30"/>
        <v>-16000</v>
      </c>
    </row>
    <row r="128" spans="1:23" ht="15" customHeight="1" x14ac:dyDescent="0.25">
      <c r="A128" s="164" t="s">
        <v>242</v>
      </c>
      <c r="B128" s="157">
        <f>B127/($J$2*12)</f>
        <v>9.7620833333333337E-2</v>
      </c>
      <c r="C128" s="275"/>
      <c r="D128" s="95" t="s">
        <v>151</v>
      </c>
      <c r="E128" s="176" t="s">
        <v>257</v>
      </c>
      <c r="F128" s="79"/>
      <c r="G128" s="78"/>
      <c r="H128" s="78"/>
      <c r="I128" s="79"/>
      <c r="J128" s="78"/>
      <c r="K128" s="79"/>
      <c r="L128" s="79"/>
      <c r="M128" s="149"/>
      <c r="N128" s="79"/>
      <c r="O128" s="79"/>
      <c r="P128" s="79"/>
      <c r="Q128" s="79"/>
      <c r="R128" s="79"/>
      <c r="S128" s="80">
        <f t="shared" si="29"/>
        <v>0</v>
      </c>
      <c r="T128" s="278"/>
      <c r="V128" s="52">
        <f t="shared" si="30"/>
        <v>0</v>
      </c>
    </row>
    <row r="129" spans="1:23" ht="15" customHeight="1" x14ac:dyDescent="0.25">
      <c r="A129" s="164" t="s">
        <v>282</v>
      </c>
      <c r="B129" s="126">
        <f>VALUE(RIGHT(B123,2))/12</f>
        <v>0.58333333333333337</v>
      </c>
      <c r="C129" s="275"/>
      <c r="D129" s="95" t="s">
        <v>151</v>
      </c>
      <c r="E129" s="176" t="s">
        <v>263</v>
      </c>
      <c r="F129" s="78"/>
      <c r="G129" s="78"/>
      <c r="H129" s="78"/>
      <c r="I129" s="79"/>
      <c r="J129" s="78"/>
      <c r="K129" s="79"/>
      <c r="L129" s="79"/>
      <c r="M129" s="149"/>
      <c r="N129" s="79"/>
      <c r="O129" s="79"/>
      <c r="P129" s="79"/>
      <c r="Q129" s="79"/>
      <c r="R129" s="79"/>
      <c r="S129" s="80">
        <f t="shared" si="29"/>
        <v>0</v>
      </c>
      <c r="T129" s="279"/>
      <c r="V129" s="52">
        <f t="shared" si="30"/>
        <v>0</v>
      </c>
    </row>
    <row r="130" spans="1:23" ht="15" customHeight="1" x14ac:dyDescent="0.25">
      <c r="A130" s="164" t="s">
        <v>243</v>
      </c>
      <c r="B130" s="161">
        <f>B124*VALUE(RIGHT(B123,2))-B127</f>
        <v>932568</v>
      </c>
      <c r="C130" s="275"/>
      <c r="D130" s="97" t="s">
        <v>152</v>
      </c>
      <c r="E130" s="97" t="s">
        <v>144</v>
      </c>
      <c r="F130" s="85"/>
      <c r="G130" s="46"/>
      <c r="H130" s="85"/>
      <c r="I130" s="89"/>
      <c r="J130" s="46"/>
      <c r="K130" s="46"/>
      <c r="L130" s="46"/>
      <c r="M130" s="152"/>
      <c r="N130" s="46"/>
      <c r="O130" s="86"/>
      <c r="P130" s="46"/>
      <c r="Q130" s="46"/>
      <c r="R130" s="46"/>
      <c r="S130" s="83">
        <f t="shared" si="29"/>
        <v>0</v>
      </c>
      <c r="T130" s="280">
        <f>SUM(S130:S134)</f>
        <v>0</v>
      </c>
    </row>
    <row r="131" spans="1:23" ht="15" customHeight="1" x14ac:dyDescent="0.25">
      <c r="A131" s="164" t="s">
        <v>265</v>
      </c>
      <c r="B131" s="184">
        <f>$J$2-(S140-F137)</f>
        <v>147903</v>
      </c>
      <c r="C131" s="275"/>
      <c r="D131" s="97" t="s">
        <v>152</v>
      </c>
      <c r="E131" s="97" t="s">
        <v>145</v>
      </c>
      <c r="F131" s="85"/>
      <c r="G131" s="46"/>
      <c r="H131" s="85"/>
      <c r="I131" s="46"/>
      <c r="J131" s="46"/>
      <c r="K131" s="46"/>
      <c r="L131" s="46"/>
      <c r="M131" s="152"/>
      <c r="N131" s="46"/>
      <c r="O131" s="85"/>
      <c r="P131" s="46"/>
      <c r="Q131" s="46"/>
      <c r="R131" s="46"/>
      <c r="S131" s="83">
        <f t="shared" si="29"/>
        <v>0</v>
      </c>
      <c r="T131" s="281"/>
    </row>
    <row r="132" spans="1:23" ht="15" customHeight="1" x14ac:dyDescent="0.25">
      <c r="C132" s="275"/>
      <c r="D132" s="97" t="s">
        <v>152</v>
      </c>
      <c r="E132" s="97" t="s">
        <v>146</v>
      </c>
      <c r="F132" s="86"/>
      <c r="G132" s="46"/>
      <c r="H132" s="87"/>
      <c r="I132" s="46"/>
      <c r="J132" s="46"/>
      <c r="K132" s="46"/>
      <c r="L132" s="46"/>
      <c r="M132" s="152"/>
      <c r="N132" s="46"/>
      <c r="O132" s="85"/>
      <c r="P132" s="46"/>
      <c r="Q132" s="46"/>
      <c r="R132" s="46"/>
      <c r="S132" s="83">
        <f t="shared" si="29"/>
        <v>0</v>
      </c>
      <c r="T132" s="281"/>
    </row>
    <row r="133" spans="1:23" ht="15" customHeight="1" x14ac:dyDescent="0.25">
      <c r="C133" s="275"/>
      <c r="D133" s="97" t="s">
        <v>152</v>
      </c>
      <c r="E133" s="97" t="s">
        <v>147</v>
      </c>
      <c r="F133" s="85"/>
      <c r="G133" s="46"/>
      <c r="H133" s="87"/>
      <c r="I133" s="46"/>
      <c r="J133" s="46"/>
      <c r="K133" s="46"/>
      <c r="L133" s="46"/>
      <c r="M133" s="152"/>
      <c r="N133" s="46"/>
      <c r="O133" s="85"/>
      <c r="P133" s="46"/>
      <c r="Q133" s="46"/>
      <c r="R133" s="46"/>
      <c r="S133" s="83">
        <f t="shared" si="29"/>
        <v>0</v>
      </c>
      <c r="T133" s="281"/>
    </row>
    <row r="134" spans="1:23" ht="15" customHeight="1" x14ac:dyDescent="0.25">
      <c r="C134" s="275"/>
      <c r="D134" s="97" t="s">
        <v>152</v>
      </c>
      <c r="E134" s="97" t="s">
        <v>168</v>
      </c>
      <c r="F134" s="85"/>
      <c r="G134" s="46"/>
      <c r="H134" s="46"/>
      <c r="I134" s="46"/>
      <c r="J134" s="46"/>
      <c r="K134" s="46"/>
      <c r="L134" s="46"/>
      <c r="M134" s="152"/>
      <c r="N134" s="46"/>
      <c r="O134" s="86"/>
      <c r="P134" s="46"/>
      <c r="Q134" s="46"/>
      <c r="R134" s="46"/>
      <c r="S134" s="83">
        <f t="shared" si="29"/>
        <v>0</v>
      </c>
      <c r="T134" s="281"/>
    </row>
    <row r="135" spans="1:23" ht="15" customHeight="1" x14ac:dyDescent="0.25">
      <c r="C135" s="275"/>
      <c r="D135" s="98" t="s">
        <v>153</v>
      </c>
      <c r="E135" s="178" t="s">
        <v>258</v>
      </c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>
        <f t="shared" si="29"/>
        <v>0</v>
      </c>
      <c r="T135" s="282">
        <f>SUM(S135:S139)</f>
        <v>0</v>
      </c>
      <c r="V135" s="52">
        <f>S135-S116</f>
        <v>0</v>
      </c>
    </row>
    <row r="136" spans="1:23" ht="15" customHeight="1" x14ac:dyDescent="0.25">
      <c r="C136" s="275"/>
      <c r="D136" s="99" t="s">
        <v>153</v>
      </c>
      <c r="E136" s="99" t="s">
        <v>171</v>
      </c>
      <c r="F136" s="82"/>
      <c r="G136" s="82"/>
      <c r="H136" s="82"/>
      <c r="I136" s="82"/>
      <c r="J136" s="82"/>
      <c r="K136" s="82"/>
      <c r="L136" s="82"/>
      <c r="M136" s="140"/>
      <c r="N136" s="82"/>
      <c r="O136" s="82"/>
      <c r="P136" s="82"/>
      <c r="Q136" s="82"/>
      <c r="R136" s="82"/>
      <c r="S136" s="82">
        <f t="shared" si="29"/>
        <v>0</v>
      </c>
      <c r="T136" s="283"/>
      <c r="V136" s="52">
        <f>S136-S117</f>
        <v>0</v>
      </c>
    </row>
    <row r="137" spans="1:23" ht="15" customHeight="1" x14ac:dyDescent="0.25">
      <c r="C137" s="275"/>
      <c r="D137" s="99" t="s">
        <v>153</v>
      </c>
      <c r="E137" s="99" t="s">
        <v>172</v>
      </c>
      <c r="F137" s="82"/>
      <c r="G137" s="82"/>
      <c r="H137" s="82"/>
      <c r="I137" s="82"/>
      <c r="J137" s="82"/>
      <c r="K137" s="82"/>
      <c r="L137" s="82"/>
      <c r="M137" s="140"/>
      <c r="N137" s="82"/>
      <c r="O137" s="82"/>
      <c r="P137" s="82"/>
      <c r="Q137" s="82"/>
      <c r="R137" s="82"/>
      <c r="S137" s="82">
        <f t="shared" si="29"/>
        <v>0</v>
      </c>
      <c r="T137" s="283"/>
      <c r="U137" s="52"/>
      <c r="V137" s="52">
        <f>S137-S118</f>
        <v>0</v>
      </c>
      <c r="W137" s="55" t="s">
        <v>281</v>
      </c>
    </row>
    <row r="138" spans="1:23" s="41" customFormat="1" ht="15" customHeight="1" x14ac:dyDescent="0.25">
      <c r="A138" s="45"/>
      <c r="B138" s="45"/>
      <c r="C138" s="276"/>
      <c r="D138" s="99" t="s">
        <v>153</v>
      </c>
      <c r="E138" s="99" t="s">
        <v>173</v>
      </c>
      <c r="F138" s="82"/>
      <c r="G138" s="82"/>
      <c r="H138" s="82"/>
      <c r="I138" s="82"/>
      <c r="J138" s="82"/>
      <c r="K138" s="82"/>
      <c r="L138" s="82"/>
      <c r="M138" s="140"/>
      <c r="N138" s="82"/>
      <c r="O138" s="82"/>
      <c r="P138" s="82"/>
      <c r="Q138" s="82"/>
      <c r="R138" s="82"/>
      <c r="S138" s="82">
        <f t="shared" si="29"/>
        <v>0</v>
      </c>
      <c r="T138" s="283"/>
      <c r="V138" s="52">
        <f>S138-S119</f>
        <v>0</v>
      </c>
    </row>
    <row r="139" spans="1:23" ht="15.75" customHeight="1" thickBot="1" x14ac:dyDescent="0.3">
      <c r="A139" s="41"/>
      <c r="B139" s="41"/>
      <c r="C139" s="276"/>
      <c r="D139" s="100" t="s">
        <v>153</v>
      </c>
      <c r="E139" s="100" t="s">
        <v>168</v>
      </c>
      <c r="F139" s="48"/>
      <c r="G139" s="48"/>
      <c r="H139" s="48"/>
      <c r="I139" s="48"/>
      <c r="J139" s="48"/>
      <c r="K139" s="48"/>
      <c r="L139" s="48"/>
      <c r="M139" s="141"/>
      <c r="N139" s="48"/>
      <c r="O139" s="48"/>
      <c r="P139" s="48"/>
      <c r="Q139" s="48"/>
      <c r="R139" s="48"/>
      <c r="S139" s="48">
        <f t="shared" si="29"/>
        <v>0</v>
      </c>
      <c r="T139" s="283"/>
      <c r="V139" s="52">
        <f>S139-S120</f>
        <v>0</v>
      </c>
    </row>
    <row r="140" spans="1:23" ht="15" customHeight="1" x14ac:dyDescent="0.25">
      <c r="D140" s="101" t="s">
        <v>120</v>
      </c>
      <c r="E140" s="101" t="s">
        <v>120</v>
      </c>
      <c r="F140" s="64">
        <f>SUM(F123:F139)</f>
        <v>0</v>
      </c>
      <c r="G140" s="64">
        <f>SUM(G123:G139)</f>
        <v>0</v>
      </c>
      <c r="H140" s="64">
        <f>SUM(H123:H139)</f>
        <v>0</v>
      </c>
      <c r="I140" s="64">
        <f t="shared" ref="I140:P140" si="31">SUM(I123:I139)</f>
        <v>0</v>
      </c>
      <c r="J140" s="64">
        <f t="shared" si="31"/>
        <v>0</v>
      </c>
      <c r="K140" s="64">
        <f t="shared" si="31"/>
        <v>0</v>
      </c>
      <c r="L140" s="64">
        <f t="shared" si="31"/>
        <v>0</v>
      </c>
      <c r="M140" s="150">
        <f t="shared" si="31"/>
        <v>0</v>
      </c>
      <c r="N140" s="64">
        <f t="shared" si="31"/>
        <v>0</v>
      </c>
      <c r="O140" s="64">
        <f t="shared" si="31"/>
        <v>0</v>
      </c>
      <c r="P140" s="64">
        <f t="shared" si="31"/>
        <v>0</v>
      </c>
      <c r="Q140" s="64">
        <f>SUM(Q123:Q139)</f>
        <v>12097</v>
      </c>
      <c r="R140" s="64">
        <f>SUM(R123:R139)</f>
        <v>0</v>
      </c>
      <c r="S140" s="54">
        <f>SUM(S123:S139)</f>
        <v>12097</v>
      </c>
    </row>
    <row r="141" spans="1:23" ht="15.75" customHeight="1" thickBot="1" x14ac:dyDescent="0.3">
      <c r="M141" s="151"/>
    </row>
    <row r="142" spans="1:23" ht="17.25" x14ac:dyDescent="0.25">
      <c r="A142" s="166" t="s">
        <v>188</v>
      </c>
      <c r="B142" s="167">
        <f>C142</f>
        <v>202308</v>
      </c>
      <c r="C142" s="275">
        <v>202308</v>
      </c>
      <c r="D142" s="94" t="s">
        <v>151</v>
      </c>
      <c r="E142" s="177" t="s">
        <v>252</v>
      </c>
      <c r="F142" s="60"/>
      <c r="G142" s="59"/>
      <c r="H142" s="59"/>
      <c r="I142" s="60"/>
      <c r="J142" s="59"/>
      <c r="K142" s="60"/>
      <c r="L142" s="60"/>
      <c r="M142" s="148"/>
      <c r="N142" s="60"/>
      <c r="O142" s="60"/>
      <c r="P142" s="60"/>
      <c r="Q142" s="60">
        <f>2000+2000+2000+2000</f>
        <v>8000</v>
      </c>
      <c r="R142" s="60"/>
      <c r="S142" s="44">
        <f t="shared" ref="S142:S158" si="32">SUM(F142:R142)</f>
        <v>8000</v>
      </c>
      <c r="T142" s="277">
        <f>SUM(S142:S148)</f>
        <v>12097</v>
      </c>
    </row>
    <row r="143" spans="1:23" ht="15" customHeight="1" thickBot="1" x14ac:dyDescent="0.3">
      <c r="A143" s="164" t="s">
        <v>247</v>
      </c>
      <c r="B143" s="162">
        <f>$J$2</f>
        <v>160000</v>
      </c>
      <c r="C143" s="275"/>
      <c r="D143" s="95" t="s">
        <v>151</v>
      </c>
      <c r="E143" s="176" t="s">
        <v>251</v>
      </c>
      <c r="F143" s="79"/>
      <c r="G143" s="78"/>
      <c r="H143" s="78"/>
      <c r="I143" s="79"/>
      <c r="J143" s="78"/>
      <c r="K143" s="79"/>
      <c r="L143" s="79"/>
      <c r="M143" s="149"/>
      <c r="N143" s="79"/>
      <c r="O143" s="79"/>
      <c r="P143" s="79"/>
      <c r="Q143" s="79"/>
      <c r="R143" s="79"/>
      <c r="S143" s="80">
        <f t="shared" si="32"/>
        <v>0</v>
      </c>
      <c r="T143" s="278"/>
    </row>
    <row r="144" spans="1:23" ht="15" customHeight="1" thickTop="1" x14ac:dyDescent="0.25">
      <c r="A144" s="165" t="s">
        <v>237</v>
      </c>
      <c r="B144" s="182">
        <f>SUMPRODUCT((($V$10:$V$21)&lt;=VALUE(B142))*($Z$10:$Z$21))</f>
        <v>199529</v>
      </c>
      <c r="C144" s="275"/>
      <c r="D144" s="95" t="s">
        <v>151</v>
      </c>
      <c r="E144" s="176" t="s">
        <v>254</v>
      </c>
      <c r="F144" s="79"/>
      <c r="G144" s="78"/>
      <c r="H144" s="78"/>
      <c r="I144" s="79"/>
      <c r="J144" s="78"/>
      <c r="K144" s="79"/>
      <c r="L144" s="79"/>
      <c r="M144" s="149"/>
      <c r="N144" s="79"/>
      <c r="O144" s="79"/>
      <c r="P144" s="79"/>
      <c r="Q144" s="79">
        <f>10500-7000</f>
        <v>3500</v>
      </c>
      <c r="R144" s="79"/>
      <c r="S144" s="80">
        <f t="shared" si="32"/>
        <v>3500</v>
      </c>
      <c r="T144" s="278"/>
    </row>
    <row r="145" spans="1:20" ht="15" customHeight="1" x14ac:dyDescent="0.25">
      <c r="A145" s="165" t="s">
        <v>264</v>
      </c>
      <c r="B145" s="181">
        <f>B144/SUMPRODUCT((留底!$V$10:$V$21&lt;=留底!B142)*'2022'!$Z$10:$Z$21)</f>
        <v>0.15841279948172007</v>
      </c>
      <c r="C145" s="275"/>
      <c r="D145" s="95" t="s">
        <v>151</v>
      </c>
      <c r="E145" s="176" t="s">
        <v>255</v>
      </c>
      <c r="F145" s="79"/>
      <c r="G145" s="78"/>
      <c r="H145" s="78"/>
      <c r="I145" s="79"/>
      <c r="J145" s="78"/>
      <c r="K145" s="79"/>
      <c r="L145" s="79"/>
      <c r="M145" s="149"/>
      <c r="N145" s="79"/>
      <c r="O145" s="79"/>
      <c r="P145" s="79"/>
      <c r="Q145" s="79">
        <v>597</v>
      </c>
      <c r="R145" s="79"/>
      <c r="S145" s="80">
        <f t="shared" si="32"/>
        <v>597</v>
      </c>
      <c r="T145" s="278"/>
    </row>
    <row r="146" spans="1:20" ht="15" customHeight="1" x14ac:dyDescent="0.25">
      <c r="A146" s="165" t="s">
        <v>236</v>
      </c>
      <c r="B146" s="186">
        <f>B144-$K$2*VALUE(RIGHT(B142,2))/9</f>
        <v>199529</v>
      </c>
      <c r="C146" s="275"/>
      <c r="D146" s="96" t="s">
        <v>151</v>
      </c>
      <c r="E146" s="176" t="s">
        <v>256</v>
      </c>
      <c r="F146" s="79"/>
      <c r="G146" s="78"/>
      <c r="H146" s="78"/>
      <c r="I146" s="78"/>
      <c r="J146" s="78"/>
      <c r="K146" s="79"/>
      <c r="L146" s="79"/>
      <c r="M146" s="149"/>
      <c r="N146" s="79"/>
      <c r="O146" s="79"/>
      <c r="P146" s="79"/>
      <c r="Q146" s="79"/>
      <c r="R146" s="79"/>
      <c r="S146" s="80">
        <f t="shared" si="32"/>
        <v>0</v>
      </c>
      <c r="T146" s="278"/>
    </row>
    <row r="147" spans="1:20" ht="15" customHeight="1" x14ac:dyDescent="0.25">
      <c r="A147" s="164" t="s">
        <v>242</v>
      </c>
      <c r="B147" s="157">
        <f>B146/($J$2*12)</f>
        <v>0.10392135416666666</v>
      </c>
      <c r="C147" s="275"/>
      <c r="D147" s="95" t="s">
        <v>151</v>
      </c>
      <c r="E147" s="176" t="s">
        <v>257</v>
      </c>
      <c r="F147" s="79"/>
      <c r="G147" s="78"/>
      <c r="H147" s="78"/>
      <c r="I147" s="79"/>
      <c r="J147" s="78"/>
      <c r="K147" s="79"/>
      <c r="L147" s="79"/>
      <c r="M147" s="149"/>
      <c r="N147" s="79"/>
      <c r="O147" s="79"/>
      <c r="P147" s="79"/>
      <c r="Q147" s="79"/>
      <c r="R147" s="79"/>
      <c r="S147" s="80">
        <f t="shared" si="32"/>
        <v>0</v>
      </c>
      <c r="T147" s="278"/>
    </row>
    <row r="148" spans="1:20" ht="15" customHeight="1" x14ac:dyDescent="0.25">
      <c r="A148" s="164" t="s">
        <v>282</v>
      </c>
      <c r="B148" s="126">
        <f>VALUE(RIGHT(B142,2))/12</f>
        <v>0.66666666666666663</v>
      </c>
      <c r="C148" s="275"/>
      <c r="D148" s="95" t="s">
        <v>151</v>
      </c>
      <c r="E148" s="176" t="s">
        <v>263</v>
      </c>
      <c r="F148" s="78"/>
      <c r="G148" s="78"/>
      <c r="H148" s="78"/>
      <c r="I148" s="79"/>
      <c r="J148" s="78"/>
      <c r="K148" s="79"/>
      <c r="L148" s="79"/>
      <c r="M148" s="149"/>
      <c r="N148" s="79"/>
      <c r="O148" s="79"/>
      <c r="P148" s="79"/>
      <c r="Q148" s="79"/>
      <c r="R148" s="79"/>
      <c r="S148" s="80">
        <f t="shared" si="32"/>
        <v>0</v>
      </c>
      <c r="T148" s="279"/>
    </row>
    <row r="149" spans="1:20" ht="15" customHeight="1" x14ac:dyDescent="0.25">
      <c r="A149" s="164" t="s">
        <v>243</v>
      </c>
      <c r="B149" s="161">
        <f>B143*VALUE(RIGHT(B142,2))-B146</f>
        <v>1080471</v>
      </c>
      <c r="C149" s="275"/>
      <c r="D149" s="97" t="s">
        <v>152</v>
      </c>
      <c r="E149" s="97" t="s">
        <v>144</v>
      </c>
      <c r="F149" s="85"/>
      <c r="G149" s="46"/>
      <c r="H149" s="85"/>
      <c r="I149" s="46"/>
      <c r="J149" s="46"/>
      <c r="K149" s="46"/>
      <c r="L149" s="46"/>
      <c r="M149" s="152"/>
      <c r="N149" s="46"/>
      <c r="O149" s="86"/>
      <c r="P149" s="46"/>
      <c r="Q149" s="46"/>
      <c r="R149" s="46"/>
      <c r="S149" s="83">
        <f t="shared" si="32"/>
        <v>0</v>
      </c>
      <c r="T149" s="280">
        <f>SUM(S149:S153)</f>
        <v>0</v>
      </c>
    </row>
    <row r="150" spans="1:20" ht="15" customHeight="1" x14ac:dyDescent="0.25">
      <c r="A150" s="164" t="s">
        <v>265</v>
      </c>
      <c r="B150" s="184">
        <f>$J$2-(S159-F156)</f>
        <v>147903</v>
      </c>
      <c r="C150" s="275"/>
      <c r="D150" s="97" t="s">
        <v>152</v>
      </c>
      <c r="E150" s="97" t="s">
        <v>145</v>
      </c>
      <c r="F150" s="85"/>
      <c r="G150" s="46"/>
      <c r="H150" s="85"/>
      <c r="I150" s="46"/>
      <c r="J150" s="46"/>
      <c r="K150" s="46"/>
      <c r="L150" s="46"/>
      <c r="M150" s="152"/>
      <c r="N150" s="46"/>
      <c r="O150" s="86"/>
      <c r="P150" s="46"/>
      <c r="Q150" s="46"/>
      <c r="R150" s="46"/>
      <c r="S150" s="83">
        <f t="shared" si="32"/>
        <v>0</v>
      </c>
      <c r="T150" s="281"/>
    </row>
    <row r="151" spans="1:20" ht="15" customHeight="1" x14ac:dyDescent="0.25">
      <c r="C151" s="275"/>
      <c r="D151" s="97" t="s">
        <v>152</v>
      </c>
      <c r="E151" s="97" t="s">
        <v>146</v>
      </c>
      <c r="F151" s="86"/>
      <c r="G151" s="46"/>
      <c r="H151" s="87"/>
      <c r="I151" s="46"/>
      <c r="J151" s="46"/>
      <c r="K151" s="46"/>
      <c r="L151" s="46"/>
      <c r="M151" s="152"/>
      <c r="N151" s="46"/>
      <c r="O151" s="86"/>
      <c r="P151" s="46"/>
      <c r="Q151" s="46"/>
      <c r="R151" s="46"/>
      <c r="S151" s="83">
        <f t="shared" si="32"/>
        <v>0</v>
      </c>
      <c r="T151" s="281"/>
    </row>
    <row r="152" spans="1:20" ht="15" customHeight="1" x14ac:dyDescent="0.25">
      <c r="C152" s="275"/>
      <c r="D152" s="97" t="s">
        <v>152</v>
      </c>
      <c r="E152" s="97" t="s">
        <v>147</v>
      </c>
      <c r="F152" s="85"/>
      <c r="G152" s="46"/>
      <c r="H152" s="87"/>
      <c r="I152" s="46"/>
      <c r="J152" s="46"/>
      <c r="K152" s="46"/>
      <c r="L152" s="46"/>
      <c r="M152" s="152"/>
      <c r="N152" s="46"/>
      <c r="O152" s="86"/>
      <c r="P152" s="46"/>
      <c r="Q152" s="86"/>
      <c r="R152" s="46"/>
      <c r="S152" s="83">
        <f t="shared" si="32"/>
        <v>0</v>
      </c>
      <c r="T152" s="281"/>
    </row>
    <row r="153" spans="1:20" ht="15" customHeight="1" x14ac:dyDescent="0.25">
      <c r="C153" s="275"/>
      <c r="D153" s="97" t="s">
        <v>152</v>
      </c>
      <c r="E153" s="97" t="s">
        <v>168</v>
      </c>
      <c r="F153" s="85"/>
      <c r="G153" s="46"/>
      <c r="H153" s="46"/>
      <c r="I153" s="46"/>
      <c r="J153" s="46"/>
      <c r="K153" s="46"/>
      <c r="L153" s="46"/>
      <c r="M153" s="152"/>
      <c r="N153" s="46"/>
      <c r="O153" s="86"/>
      <c r="P153" s="46"/>
      <c r="Q153" s="46"/>
      <c r="R153" s="46"/>
      <c r="S153" s="83">
        <f t="shared" si="32"/>
        <v>0</v>
      </c>
      <c r="T153" s="281"/>
    </row>
    <row r="154" spans="1:20" ht="15" customHeight="1" x14ac:dyDescent="0.25">
      <c r="C154" s="275"/>
      <c r="D154" s="98" t="s">
        <v>153</v>
      </c>
      <c r="E154" s="98" t="s">
        <v>170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>
        <f t="shared" si="32"/>
        <v>0</v>
      </c>
      <c r="T154" s="282">
        <f>SUM(S154:S158)</f>
        <v>0</v>
      </c>
    </row>
    <row r="155" spans="1:20" ht="15" customHeight="1" x14ac:dyDescent="0.25">
      <c r="C155" s="275"/>
      <c r="D155" s="99" t="s">
        <v>153</v>
      </c>
      <c r="E155" s="99" t="s">
        <v>171</v>
      </c>
      <c r="F155" s="82"/>
      <c r="G155" s="82"/>
      <c r="H155" s="82"/>
      <c r="I155" s="82"/>
      <c r="J155" s="82"/>
      <c r="K155" s="82"/>
      <c r="L155" s="82"/>
      <c r="M155" s="140"/>
      <c r="N155" s="82"/>
      <c r="O155" s="82"/>
      <c r="P155" s="82"/>
      <c r="Q155" s="82"/>
      <c r="R155" s="82"/>
      <c r="S155" s="82">
        <f t="shared" si="32"/>
        <v>0</v>
      </c>
      <c r="T155" s="283"/>
    </row>
    <row r="156" spans="1:20" ht="15" customHeight="1" x14ac:dyDescent="0.25">
      <c r="C156" s="275"/>
      <c r="D156" s="99" t="s">
        <v>153</v>
      </c>
      <c r="E156" s="99" t="s">
        <v>172</v>
      </c>
      <c r="F156" s="82"/>
      <c r="G156" s="82"/>
      <c r="H156" s="82"/>
      <c r="I156" s="82"/>
      <c r="J156" s="82"/>
      <c r="K156" s="82"/>
      <c r="L156" s="82"/>
      <c r="M156" s="140"/>
      <c r="N156" s="82"/>
      <c r="O156" s="82"/>
      <c r="P156" s="82"/>
      <c r="Q156" s="82"/>
      <c r="R156" s="82"/>
      <c r="S156" s="82">
        <f t="shared" si="32"/>
        <v>0</v>
      </c>
      <c r="T156" s="283"/>
    </row>
    <row r="157" spans="1:20" s="41" customFormat="1" ht="15" customHeight="1" x14ac:dyDescent="0.25">
      <c r="A157" s="45"/>
      <c r="B157" s="52"/>
      <c r="C157" s="276"/>
      <c r="D157" s="99" t="s">
        <v>153</v>
      </c>
      <c r="E157" s="99" t="s">
        <v>173</v>
      </c>
      <c r="F157" s="82"/>
      <c r="G157" s="82"/>
      <c r="H157" s="82"/>
      <c r="I157" s="82"/>
      <c r="J157" s="82"/>
      <c r="K157" s="82"/>
      <c r="L157" s="82"/>
      <c r="M157" s="140"/>
      <c r="N157" s="82"/>
      <c r="O157" s="82"/>
      <c r="P157" s="82"/>
      <c r="Q157" s="82"/>
      <c r="R157" s="82"/>
      <c r="S157" s="82">
        <f t="shared" si="32"/>
        <v>0</v>
      </c>
      <c r="T157" s="283"/>
    </row>
    <row r="158" spans="1:20" ht="15.75" customHeight="1" thickBot="1" x14ac:dyDescent="0.3">
      <c r="A158" s="41"/>
      <c r="B158" s="163"/>
      <c r="C158" s="276"/>
      <c r="D158" s="100" t="s">
        <v>153</v>
      </c>
      <c r="E158" s="100" t="s">
        <v>168</v>
      </c>
      <c r="F158" s="48"/>
      <c r="G158" s="48"/>
      <c r="H158" s="48"/>
      <c r="I158" s="48"/>
      <c r="J158" s="48"/>
      <c r="K158" s="48"/>
      <c r="L158" s="48"/>
      <c r="M158" s="141"/>
      <c r="N158" s="48"/>
      <c r="O158" s="48"/>
      <c r="P158" s="48"/>
      <c r="Q158" s="48"/>
      <c r="R158" s="48"/>
      <c r="S158" s="48">
        <f t="shared" si="32"/>
        <v>0</v>
      </c>
      <c r="T158" s="283"/>
    </row>
    <row r="159" spans="1:20" ht="15" customHeight="1" x14ac:dyDescent="0.25">
      <c r="D159" s="101" t="s">
        <v>120</v>
      </c>
      <c r="E159" s="101" t="s">
        <v>120</v>
      </c>
      <c r="F159" s="64">
        <f>SUM(F142:F158)</f>
        <v>0</v>
      </c>
      <c r="G159" s="64">
        <f>SUM(G142:G158)</f>
        <v>0</v>
      </c>
      <c r="H159" s="64">
        <f>SUM(H142:H158)</f>
        <v>0</v>
      </c>
      <c r="I159" s="64">
        <f t="shared" ref="I159:P159" si="33">SUM(I142:I158)</f>
        <v>0</v>
      </c>
      <c r="J159" s="64">
        <f t="shared" si="33"/>
        <v>0</v>
      </c>
      <c r="K159" s="64">
        <f t="shared" si="33"/>
        <v>0</v>
      </c>
      <c r="L159" s="64">
        <f t="shared" si="33"/>
        <v>0</v>
      </c>
      <c r="M159" s="150">
        <f t="shared" si="33"/>
        <v>0</v>
      </c>
      <c r="N159" s="64">
        <f t="shared" si="33"/>
        <v>0</v>
      </c>
      <c r="O159" s="64">
        <f t="shared" si="33"/>
        <v>0</v>
      </c>
      <c r="P159" s="64">
        <f t="shared" si="33"/>
        <v>0</v>
      </c>
      <c r="Q159" s="64">
        <f>SUM(Q142:Q158)</f>
        <v>12097</v>
      </c>
      <c r="R159" s="64">
        <f>SUM(R142:R158)</f>
        <v>0</v>
      </c>
      <c r="S159" s="54">
        <f>SUM(S142:S158)</f>
        <v>12097</v>
      </c>
    </row>
    <row r="160" spans="1:20" ht="15.75" customHeight="1" thickBot="1" x14ac:dyDescent="0.3">
      <c r="M160" s="151"/>
    </row>
    <row r="161" spans="1:20" ht="17.25" x14ac:dyDescent="0.25">
      <c r="A161" s="166" t="s">
        <v>188</v>
      </c>
      <c r="B161" s="167">
        <f>C161</f>
        <v>202309</v>
      </c>
      <c r="C161" s="275">
        <v>202309</v>
      </c>
      <c r="D161" s="94" t="s">
        <v>151</v>
      </c>
      <c r="E161" s="177" t="s">
        <v>252</v>
      </c>
      <c r="F161" s="60"/>
      <c r="G161" s="59"/>
      <c r="H161" s="59"/>
      <c r="I161" s="60"/>
      <c r="J161" s="59"/>
      <c r="K161" s="60"/>
      <c r="L161" s="60"/>
      <c r="M161" s="148"/>
      <c r="N161" s="60"/>
      <c r="O161" s="60"/>
      <c r="P161" s="60"/>
      <c r="Q161" s="60">
        <f>2000+2000+2000+2000</f>
        <v>8000</v>
      </c>
      <c r="R161" s="60"/>
      <c r="S161" s="44">
        <f t="shared" ref="S161:S177" si="34">SUM(F161:R161)</f>
        <v>8000</v>
      </c>
      <c r="T161" s="277">
        <f>SUM(S161:S167)</f>
        <v>34597</v>
      </c>
    </row>
    <row r="162" spans="1:20" ht="15" customHeight="1" thickBot="1" x14ac:dyDescent="0.3">
      <c r="A162" s="164" t="s">
        <v>247</v>
      </c>
      <c r="B162" s="162">
        <f>$J$2</f>
        <v>160000</v>
      </c>
      <c r="C162" s="275"/>
      <c r="D162" s="95" t="s">
        <v>151</v>
      </c>
      <c r="E162" s="176" t="s">
        <v>251</v>
      </c>
      <c r="F162" s="79"/>
      <c r="G162" s="78"/>
      <c r="H162" s="78"/>
      <c r="I162" s="79"/>
      <c r="J162" s="78"/>
      <c r="K162" s="79"/>
      <c r="L162" s="79"/>
      <c r="M162" s="149"/>
      <c r="N162" s="79"/>
      <c r="O162" s="79"/>
      <c r="P162" s="79"/>
      <c r="Q162" s="79"/>
      <c r="R162" s="79"/>
      <c r="S162" s="80">
        <f t="shared" si="34"/>
        <v>0</v>
      </c>
      <c r="T162" s="278"/>
    </row>
    <row r="163" spans="1:20" ht="15" customHeight="1" thickTop="1" x14ac:dyDescent="0.25">
      <c r="A163" s="165" t="s">
        <v>237</v>
      </c>
      <c r="B163" s="182">
        <f>SUMPRODUCT((($V$10:$V$21)&lt;=VALUE(B161))*($Z$10:$Z$21))</f>
        <v>234126</v>
      </c>
      <c r="C163" s="275"/>
      <c r="D163" s="95" t="s">
        <v>151</v>
      </c>
      <c r="E163" s="176" t="s">
        <v>254</v>
      </c>
      <c r="F163" s="79"/>
      <c r="G163" s="78"/>
      <c r="H163" s="78"/>
      <c r="I163" s="79"/>
      <c r="J163" s="78"/>
      <c r="K163" s="79"/>
      <c r="L163" s="79"/>
      <c r="M163" s="149"/>
      <c r="N163" s="79"/>
      <c r="O163" s="79"/>
      <c r="P163" s="79"/>
      <c r="Q163" s="79">
        <f>10500-7000</f>
        <v>3500</v>
      </c>
      <c r="R163" s="79"/>
      <c r="S163" s="80">
        <f t="shared" si="34"/>
        <v>3500</v>
      </c>
      <c r="T163" s="278"/>
    </row>
    <row r="164" spans="1:20" ht="15" customHeight="1" x14ac:dyDescent="0.25">
      <c r="A164" s="165" t="s">
        <v>264</v>
      </c>
      <c r="B164" s="181">
        <f>B163/SUMPRODUCT((留底!$V$10:$V$21&lt;=留底!B161)*'2022'!$Z$10:$Z$21)</f>
        <v>0.16035104829585148</v>
      </c>
      <c r="C164" s="275"/>
      <c r="D164" s="95" t="s">
        <v>151</v>
      </c>
      <c r="E164" s="176" t="s">
        <v>255</v>
      </c>
      <c r="F164" s="79"/>
      <c r="G164" s="78"/>
      <c r="H164" s="78"/>
      <c r="I164" s="79"/>
      <c r="J164" s="78"/>
      <c r="K164" s="79"/>
      <c r="L164" s="79"/>
      <c r="M164" s="149"/>
      <c r="N164" s="79"/>
      <c r="O164" s="79"/>
      <c r="P164" s="79"/>
      <c r="Q164" s="79">
        <v>597</v>
      </c>
      <c r="R164" s="79"/>
      <c r="S164" s="80">
        <f t="shared" si="34"/>
        <v>597</v>
      </c>
      <c r="T164" s="278"/>
    </row>
    <row r="165" spans="1:20" ht="15" customHeight="1" x14ac:dyDescent="0.25">
      <c r="A165" s="165" t="s">
        <v>236</v>
      </c>
      <c r="B165" s="186">
        <f>B163-$K$2*VALUE(RIGHT(B161,2))/9</f>
        <v>234126</v>
      </c>
      <c r="C165" s="275"/>
      <c r="D165" s="96" t="s">
        <v>151</v>
      </c>
      <c r="E165" s="176" t="s">
        <v>256</v>
      </c>
      <c r="F165" s="79">
        <f>11500+4500+6500</f>
        <v>22500</v>
      </c>
      <c r="G165" s="78"/>
      <c r="H165" s="78"/>
      <c r="I165" s="78"/>
      <c r="J165" s="78"/>
      <c r="K165" s="79"/>
      <c r="L165" s="79"/>
      <c r="M165" s="149"/>
      <c r="N165" s="79"/>
      <c r="O165" s="79"/>
      <c r="P165" s="79"/>
      <c r="Q165" s="79"/>
      <c r="R165" s="79"/>
      <c r="S165" s="80">
        <f t="shared" si="34"/>
        <v>22500</v>
      </c>
      <c r="T165" s="278"/>
    </row>
    <row r="166" spans="1:20" ht="15" customHeight="1" x14ac:dyDescent="0.25">
      <c r="A166" s="164" t="s">
        <v>242</v>
      </c>
      <c r="B166" s="157">
        <f>B165/($J$2*12)</f>
        <v>0.121940625</v>
      </c>
      <c r="C166" s="275"/>
      <c r="D166" s="95" t="s">
        <v>151</v>
      </c>
      <c r="E166" s="176" t="s">
        <v>257</v>
      </c>
      <c r="F166" s="79"/>
      <c r="G166" s="78"/>
      <c r="H166" s="78"/>
      <c r="I166" s="79"/>
      <c r="J166" s="78"/>
      <c r="K166" s="79"/>
      <c r="L166" s="79"/>
      <c r="M166" s="149"/>
      <c r="N166" s="79"/>
      <c r="O166" s="79"/>
      <c r="P166" s="79"/>
      <c r="Q166" s="79"/>
      <c r="R166" s="79"/>
      <c r="S166" s="80">
        <f t="shared" si="34"/>
        <v>0</v>
      </c>
      <c r="T166" s="278"/>
    </row>
    <row r="167" spans="1:20" ht="15" customHeight="1" x14ac:dyDescent="0.25">
      <c r="A167" s="164" t="s">
        <v>282</v>
      </c>
      <c r="B167" s="126">
        <f>VALUE(RIGHT(B161,2))/12</f>
        <v>0.75</v>
      </c>
      <c r="C167" s="275"/>
      <c r="D167" s="95" t="s">
        <v>151</v>
      </c>
      <c r="E167" s="176" t="s">
        <v>263</v>
      </c>
      <c r="F167" s="78"/>
      <c r="G167" s="78"/>
      <c r="H167" s="78"/>
      <c r="I167" s="79"/>
      <c r="J167" s="78"/>
      <c r="K167" s="79"/>
      <c r="L167" s="79"/>
      <c r="M167" s="149"/>
      <c r="N167" s="79"/>
      <c r="O167" s="79"/>
      <c r="P167" s="79"/>
      <c r="Q167" s="79"/>
      <c r="R167" s="79"/>
      <c r="S167" s="80">
        <f t="shared" si="34"/>
        <v>0</v>
      </c>
      <c r="T167" s="279"/>
    </row>
    <row r="168" spans="1:20" ht="15" customHeight="1" x14ac:dyDescent="0.25">
      <c r="A168" s="164" t="s">
        <v>243</v>
      </c>
      <c r="B168" s="161">
        <f>B162*VALUE(RIGHT(B161,2))-B165</f>
        <v>1205874</v>
      </c>
      <c r="C168" s="275"/>
      <c r="D168" s="97" t="s">
        <v>152</v>
      </c>
      <c r="E168" s="97" t="s">
        <v>144</v>
      </c>
      <c r="F168" s="85"/>
      <c r="G168" s="46"/>
      <c r="H168" s="85"/>
      <c r="I168" s="46"/>
      <c r="J168" s="46"/>
      <c r="K168" s="46"/>
      <c r="L168" s="46"/>
      <c r="M168" s="152"/>
      <c r="N168" s="46"/>
      <c r="O168" s="89"/>
      <c r="P168" s="46"/>
      <c r="Q168" s="46"/>
      <c r="R168" s="46"/>
      <c r="S168" s="83">
        <f t="shared" si="34"/>
        <v>0</v>
      </c>
      <c r="T168" s="280">
        <f>SUM(S168:S172)</f>
        <v>0</v>
      </c>
    </row>
    <row r="169" spans="1:20" ht="15" customHeight="1" x14ac:dyDescent="0.25">
      <c r="A169" s="164" t="s">
        <v>265</v>
      </c>
      <c r="B169" s="184">
        <f>$J$2-(S178-F175)</f>
        <v>125403</v>
      </c>
      <c r="C169" s="275"/>
      <c r="D169" s="97" t="s">
        <v>152</v>
      </c>
      <c r="E169" s="97" t="s">
        <v>145</v>
      </c>
      <c r="F169" s="85"/>
      <c r="G169" s="46"/>
      <c r="H169" s="85"/>
      <c r="I169" s="46"/>
      <c r="J169" s="46"/>
      <c r="K169" s="46"/>
      <c r="L169" s="46"/>
      <c r="M169" s="152"/>
      <c r="N169" s="46"/>
      <c r="O169" s="46"/>
      <c r="P169" s="46"/>
      <c r="Q169" s="46"/>
      <c r="R169" s="46"/>
      <c r="S169" s="83">
        <f t="shared" si="34"/>
        <v>0</v>
      </c>
      <c r="T169" s="281"/>
    </row>
    <row r="170" spans="1:20" ht="15" customHeight="1" x14ac:dyDescent="0.25">
      <c r="C170" s="275"/>
      <c r="D170" s="97" t="s">
        <v>152</v>
      </c>
      <c r="E170" s="97" t="s">
        <v>146</v>
      </c>
      <c r="F170" s="85"/>
      <c r="G170" s="46"/>
      <c r="H170" s="87"/>
      <c r="I170" s="46"/>
      <c r="J170" s="46"/>
      <c r="K170" s="46"/>
      <c r="L170" s="46"/>
      <c r="M170" s="152"/>
      <c r="N170" s="46"/>
      <c r="O170" s="46"/>
      <c r="P170" s="46"/>
      <c r="Q170" s="46"/>
      <c r="R170" s="46"/>
      <c r="S170" s="83">
        <f t="shared" si="34"/>
        <v>0</v>
      </c>
      <c r="T170" s="281"/>
    </row>
    <row r="171" spans="1:20" ht="15" customHeight="1" x14ac:dyDescent="0.25">
      <c r="C171" s="275"/>
      <c r="D171" s="97" t="s">
        <v>152</v>
      </c>
      <c r="E171" s="97" t="s">
        <v>147</v>
      </c>
      <c r="F171" s="85"/>
      <c r="G171" s="46"/>
      <c r="H171" s="87"/>
      <c r="I171" s="46"/>
      <c r="J171" s="46"/>
      <c r="K171" s="46"/>
      <c r="L171" s="46"/>
      <c r="M171" s="152"/>
      <c r="N171" s="46"/>
      <c r="O171" s="46"/>
      <c r="P171" s="46"/>
      <c r="Q171" s="46"/>
      <c r="R171" s="46"/>
      <c r="S171" s="83">
        <f t="shared" si="34"/>
        <v>0</v>
      </c>
      <c r="T171" s="281"/>
    </row>
    <row r="172" spans="1:20" ht="15" customHeight="1" x14ac:dyDescent="0.25">
      <c r="C172" s="275"/>
      <c r="D172" s="97" t="s">
        <v>152</v>
      </c>
      <c r="E172" s="97" t="s">
        <v>168</v>
      </c>
      <c r="F172" s="85"/>
      <c r="G172" s="46"/>
      <c r="H172" s="46"/>
      <c r="I172" s="46"/>
      <c r="J172" s="46"/>
      <c r="K172" s="46"/>
      <c r="L172" s="46"/>
      <c r="M172" s="152"/>
      <c r="N172" s="46"/>
      <c r="O172" s="86"/>
      <c r="P172" s="46"/>
      <c r="Q172" s="46"/>
      <c r="R172" s="46"/>
      <c r="S172" s="83">
        <f t="shared" si="34"/>
        <v>0</v>
      </c>
      <c r="T172" s="281"/>
    </row>
    <row r="173" spans="1:20" ht="15" customHeight="1" x14ac:dyDescent="0.25">
      <c r="C173" s="275"/>
      <c r="D173" s="98" t="s">
        <v>153</v>
      </c>
      <c r="E173" s="98" t="s">
        <v>170</v>
      </c>
      <c r="F173" s="81"/>
      <c r="G173" s="81"/>
      <c r="H173" s="81"/>
      <c r="I173" s="81"/>
      <c r="J173" s="81"/>
      <c r="K173" s="81"/>
      <c r="L173" s="81"/>
      <c r="M173" s="91"/>
      <c r="N173" s="81"/>
      <c r="O173" s="81"/>
      <c r="P173" s="81"/>
      <c r="Q173" s="81"/>
      <c r="R173" s="81"/>
      <c r="S173" s="81">
        <f t="shared" si="34"/>
        <v>0</v>
      </c>
      <c r="T173" s="282">
        <f>SUM(S173:S177)</f>
        <v>0</v>
      </c>
    </row>
    <row r="174" spans="1:20" ht="15" customHeight="1" x14ac:dyDescent="0.25">
      <c r="B174" s="52"/>
      <c r="C174" s="275"/>
      <c r="D174" s="99" t="s">
        <v>153</v>
      </c>
      <c r="E174" s="99" t="s">
        <v>171</v>
      </c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>
        <f t="shared" si="34"/>
        <v>0</v>
      </c>
      <c r="T174" s="283"/>
    </row>
    <row r="175" spans="1:20" ht="15" customHeight="1" x14ac:dyDescent="0.25">
      <c r="B175" s="52"/>
      <c r="C175" s="275"/>
      <c r="D175" s="99" t="s">
        <v>153</v>
      </c>
      <c r="E175" s="99" t="s">
        <v>172</v>
      </c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>
        <f t="shared" si="34"/>
        <v>0</v>
      </c>
      <c r="T175" s="283"/>
    </row>
    <row r="176" spans="1:20" s="41" customFormat="1" ht="15" customHeight="1" x14ac:dyDescent="0.25">
      <c r="A176" s="45"/>
      <c r="B176" s="45"/>
      <c r="C176" s="276"/>
      <c r="D176" s="99" t="s">
        <v>153</v>
      </c>
      <c r="E176" s="99" t="s">
        <v>173</v>
      </c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>
        <f t="shared" si="34"/>
        <v>0</v>
      </c>
      <c r="T176" s="283"/>
    </row>
    <row r="177" spans="1:20" ht="15.75" customHeight="1" thickBot="1" x14ac:dyDescent="0.3">
      <c r="A177" s="41"/>
      <c r="B177" s="41"/>
      <c r="C177" s="276"/>
      <c r="D177" s="100" t="s">
        <v>153</v>
      </c>
      <c r="E177" s="100" t="s">
        <v>168</v>
      </c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>
        <f t="shared" si="34"/>
        <v>0</v>
      </c>
      <c r="T177" s="283"/>
    </row>
    <row r="178" spans="1:20" ht="15" customHeight="1" x14ac:dyDescent="0.25">
      <c r="D178" s="101" t="s">
        <v>120</v>
      </c>
      <c r="E178" s="101" t="s">
        <v>120</v>
      </c>
      <c r="F178" s="64">
        <f>SUM(F161:F177)</f>
        <v>22500</v>
      </c>
      <c r="G178" s="64">
        <f>SUM(G161:G177)</f>
        <v>0</v>
      </c>
      <c r="H178" s="64">
        <f>SUM(H161:H177)</f>
        <v>0</v>
      </c>
      <c r="I178" s="64">
        <f t="shared" ref="I178:P178" si="35">SUM(I161:I177)</f>
        <v>0</v>
      </c>
      <c r="J178" s="64">
        <f t="shared" si="35"/>
        <v>0</v>
      </c>
      <c r="K178" s="64">
        <f t="shared" si="35"/>
        <v>0</v>
      </c>
      <c r="L178" s="64">
        <f t="shared" si="35"/>
        <v>0</v>
      </c>
      <c r="M178" s="64">
        <f t="shared" si="35"/>
        <v>0</v>
      </c>
      <c r="N178" s="64">
        <f t="shared" si="35"/>
        <v>0</v>
      </c>
      <c r="O178" s="64">
        <f t="shared" si="35"/>
        <v>0</v>
      </c>
      <c r="P178" s="64">
        <f t="shared" si="35"/>
        <v>0</v>
      </c>
      <c r="Q178" s="64">
        <f>SUM(Q161:Q177)</f>
        <v>12097</v>
      </c>
      <c r="R178" s="64">
        <f>SUM(R161:R177)</f>
        <v>0</v>
      </c>
      <c r="S178" s="54">
        <f>SUM(S161:S177)</f>
        <v>34597</v>
      </c>
    </row>
    <row r="179" spans="1:20" ht="15.75" customHeight="1" thickBot="1" x14ac:dyDescent="0.3"/>
    <row r="180" spans="1:20" ht="17.25" x14ac:dyDescent="0.25">
      <c r="A180" s="166" t="s">
        <v>188</v>
      </c>
      <c r="B180" s="167">
        <f>C180</f>
        <v>202310</v>
      </c>
      <c r="C180" s="275">
        <v>202310</v>
      </c>
      <c r="D180" s="94" t="s">
        <v>151</v>
      </c>
      <c r="E180" s="177" t="s">
        <v>252</v>
      </c>
      <c r="F180" s="60"/>
      <c r="G180" s="59"/>
      <c r="H180" s="59"/>
      <c r="I180" s="60"/>
      <c r="J180" s="59"/>
      <c r="K180" s="60"/>
      <c r="L180" s="60"/>
      <c r="M180" s="60"/>
      <c r="N180" s="60"/>
      <c r="O180" s="60"/>
      <c r="P180" s="60"/>
      <c r="Q180" s="60">
        <f>2000+2000+2000+2000</f>
        <v>8000</v>
      </c>
      <c r="R180" s="60"/>
      <c r="S180" s="44">
        <f t="shared" ref="S180:S196" si="36">SUM(F180:R180)</f>
        <v>8000</v>
      </c>
      <c r="T180" s="277">
        <f>SUM(S180:S186)</f>
        <v>34597</v>
      </c>
    </row>
    <row r="181" spans="1:20" ht="15" customHeight="1" thickBot="1" x14ac:dyDescent="0.3">
      <c r="A181" s="164" t="s">
        <v>247</v>
      </c>
      <c r="B181" s="162">
        <f>$J$2</f>
        <v>160000</v>
      </c>
      <c r="C181" s="275"/>
      <c r="D181" s="95" t="s">
        <v>151</v>
      </c>
      <c r="E181" s="176" t="s">
        <v>251</v>
      </c>
      <c r="F181" s="79"/>
      <c r="G181" s="78"/>
      <c r="H181" s="78"/>
      <c r="I181" s="79"/>
      <c r="J181" s="78"/>
      <c r="K181" s="79"/>
      <c r="L181" s="79"/>
      <c r="M181" s="79"/>
      <c r="N181" s="79"/>
      <c r="O181" s="79"/>
      <c r="P181" s="79"/>
      <c r="Q181" s="79"/>
      <c r="R181" s="79"/>
      <c r="S181" s="80">
        <f t="shared" si="36"/>
        <v>0</v>
      </c>
      <c r="T181" s="278"/>
    </row>
    <row r="182" spans="1:20" ht="15" customHeight="1" thickTop="1" x14ac:dyDescent="0.25">
      <c r="A182" s="165" t="s">
        <v>237</v>
      </c>
      <c r="B182" s="182">
        <f>SUMPRODUCT((($V$10:$V$21)&lt;=VALUE(B180))*($Z$10:$Z$21))</f>
        <v>268723</v>
      </c>
      <c r="C182" s="275"/>
      <c r="D182" s="95" t="s">
        <v>151</v>
      </c>
      <c r="E182" s="176" t="s">
        <v>254</v>
      </c>
      <c r="F182" s="79"/>
      <c r="G182" s="78"/>
      <c r="H182" s="78"/>
      <c r="I182" s="79"/>
      <c r="J182" s="78"/>
      <c r="K182" s="79"/>
      <c r="L182" s="79"/>
      <c r="M182" s="79"/>
      <c r="N182" s="79"/>
      <c r="O182" s="79"/>
      <c r="P182" s="79"/>
      <c r="Q182" s="79">
        <f>10500-7000</f>
        <v>3500</v>
      </c>
      <c r="R182" s="79"/>
      <c r="S182" s="80">
        <f t="shared" si="36"/>
        <v>3500</v>
      </c>
      <c r="T182" s="278"/>
    </row>
    <row r="183" spans="1:20" ht="15" customHeight="1" x14ac:dyDescent="0.25">
      <c r="A183" s="165" t="s">
        <v>264</v>
      </c>
      <c r="B183" s="181">
        <f>B182/SUMPRODUCT((留底!$V$10:$V$21&lt;=留底!B180)*'2022'!$Z$10:$Z$21)</f>
        <v>0.16779320555000177</v>
      </c>
      <c r="C183" s="275"/>
      <c r="D183" s="95" t="s">
        <v>151</v>
      </c>
      <c r="E183" s="176" t="s">
        <v>255</v>
      </c>
      <c r="F183" s="79"/>
      <c r="G183" s="78"/>
      <c r="H183" s="78"/>
      <c r="I183" s="79"/>
      <c r="J183" s="78"/>
      <c r="K183" s="79"/>
      <c r="L183" s="79"/>
      <c r="M183" s="79"/>
      <c r="N183" s="79"/>
      <c r="O183" s="79"/>
      <c r="P183" s="79"/>
      <c r="Q183" s="79">
        <v>597</v>
      </c>
      <c r="R183" s="79"/>
      <c r="S183" s="80">
        <f t="shared" si="36"/>
        <v>597</v>
      </c>
      <c r="T183" s="278"/>
    </row>
    <row r="184" spans="1:20" ht="15" customHeight="1" x14ac:dyDescent="0.25">
      <c r="A184" s="165" t="s">
        <v>236</v>
      </c>
      <c r="B184" s="186">
        <f>B182-$K$2</f>
        <v>268723</v>
      </c>
      <c r="C184" s="275"/>
      <c r="D184" s="96" t="s">
        <v>151</v>
      </c>
      <c r="E184" s="176" t="s">
        <v>256</v>
      </c>
      <c r="F184" s="79">
        <f>11500+4500+6500</f>
        <v>22500</v>
      </c>
      <c r="G184" s="78"/>
      <c r="H184" s="79"/>
      <c r="I184" s="78"/>
      <c r="J184" s="78"/>
      <c r="K184" s="79"/>
      <c r="L184" s="79"/>
      <c r="M184" s="79"/>
      <c r="N184" s="79"/>
      <c r="O184" s="79"/>
      <c r="P184" s="79"/>
      <c r="Q184" s="79"/>
      <c r="R184" s="79"/>
      <c r="S184" s="80">
        <f t="shared" si="36"/>
        <v>22500</v>
      </c>
      <c r="T184" s="278"/>
    </row>
    <row r="185" spans="1:20" ht="15" customHeight="1" x14ac:dyDescent="0.25">
      <c r="A185" s="164" t="s">
        <v>242</v>
      </c>
      <c r="B185" s="157">
        <f>B184/($J$2*12)</f>
        <v>0.13995989583333332</v>
      </c>
      <c r="C185" s="275"/>
      <c r="D185" s="95" t="s">
        <v>151</v>
      </c>
      <c r="E185" s="176" t="s">
        <v>257</v>
      </c>
      <c r="F185" s="79"/>
      <c r="G185" s="78"/>
      <c r="H185" s="78"/>
      <c r="I185" s="79"/>
      <c r="J185" s="78"/>
      <c r="K185" s="79"/>
      <c r="L185" s="79"/>
      <c r="M185" s="79"/>
      <c r="N185" s="79"/>
      <c r="O185" s="79"/>
      <c r="P185" s="79"/>
      <c r="Q185" s="79"/>
      <c r="R185" s="79"/>
      <c r="S185" s="80">
        <f t="shared" si="36"/>
        <v>0</v>
      </c>
      <c r="T185" s="278"/>
    </row>
    <row r="186" spans="1:20" ht="15" customHeight="1" x14ac:dyDescent="0.25">
      <c r="A186" s="164" t="s">
        <v>282</v>
      </c>
      <c r="B186" s="126">
        <f>VALUE(RIGHT(B180,2))/12</f>
        <v>0.83333333333333337</v>
      </c>
      <c r="C186" s="275"/>
      <c r="D186" s="95" t="s">
        <v>151</v>
      </c>
      <c r="E186" s="176" t="s">
        <v>263</v>
      </c>
      <c r="F186" s="78"/>
      <c r="G186" s="78"/>
      <c r="H186" s="78"/>
      <c r="I186" s="79"/>
      <c r="J186" s="78"/>
      <c r="K186" s="79"/>
      <c r="L186" s="79"/>
      <c r="M186" s="79"/>
      <c r="N186" s="79"/>
      <c r="O186" s="79"/>
      <c r="P186" s="79"/>
      <c r="Q186" s="79"/>
      <c r="R186" s="79"/>
      <c r="S186" s="80">
        <f t="shared" si="36"/>
        <v>0</v>
      </c>
      <c r="T186" s="279"/>
    </row>
    <row r="187" spans="1:20" ht="15" customHeight="1" x14ac:dyDescent="0.25">
      <c r="A187" s="164" t="s">
        <v>243</v>
      </c>
      <c r="B187" s="161">
        <f>B181*VALUE(RIGHT(B180,2))-B184</f>
        <v>1331277</v>
      </c>
      <c r="C187" s="275"/>
      <c r="D187" s="97" t="s">
        <v>152</v>
      </c>
      <c r="E187" s="97" t="s">
        <v>144</v>
      </c>
      <c r="F187" s="85"/>
      <c r="G187" s="46"/>
      <c r="H187" s="85"/>
      <c r="I187" s="46"/>
      <c r="J187" s="46"/>
      <c r="K187" s="46"/>
      <c r="L187" s="46"/>
      <c r="M187" s="152"/>
      <c r="N187" s="46"/>
      <c r="O187" s="46"/>
      <c r="P187" s="46"/>
      <c r="Q187" s="46"/>
      <c r="R187" s="46"/>
      <c r="S187" s="83">
        <f t="shared" si="36"/>
        <v>0</v>
      </c>
      <c r="T187" s="280">
        <f>SUM(S187:S191)</f>
        <v>0</v>
      </c>
    </row>
    <row r="188" spans="1:20" ht="15" customHeight="1" x14ac:dyDescent="0.25">
      <c r="A188" s="164" t="s">
        <v>265</v>
      </c>
      <c r="B188" s="184">
        <f>$J$2-(S197-F194)</f>
        <v>125403</v>
      </c>
      <c r="C188" s="275"/>
      <c r="D188" s="97" t="s">
        <v>152</v>
      </c>
      <c r="E188" s="97" t="s">
        <v>145</v>
      </c>
      <c r="F188" s="85"/>
      <c r="G188" s="46"/>
      <c r="H188" s="85"/>
      <c r="I188" s="46"/>
      <c r="J188" s="46"/>
      <c r="K188" s="46"/>
      <c r="L188" s="46"/>
      <c r="M188" s="152"/>
      <c r="N188" s="46"/>
      <c r="O188" s="85"/>
      <c r="P188" s="46"/>
      <c r="Q188" s="46"/>
      <c r="R188" s="46"/>
      <c r="S188" s="83">
        <f t="shared" si="36"/>
        <v>0</v>
      </c>
      <c r="T188" s="281"/>
    </row>
    <row r="189" spans="1:20" ht="15" customHeight="1" x14ac:dyDescent="0.25">
      <c r="C189" s="275"/>
      <c r="D189" s="97" t="s">
        <v>152</v>
      </c>
      <c r="E189" s="97" t="s">
        <v>146</v>
      </c>
      <c r="F189" s="86"/>
      <c r="G189" s="46"/>
      <c r="H189" s="87"/>
      <c r="I189" s="46"/>
      <c r="J189" s="46"/>
      <c r="K189" s="46"/>
      <c r="L189" s="46"/>
      <c r="M189" s="152"/>
      <c r="N189" s="46"/>
      <c r="O189" s="87"/>
      <c r="P189" s="46"/>
      <c r="Q189" s="46"/>
      <c r="R189" s="46"/>
      <c r="S189" s="83">
        <f t="shared" si="36"/>
        <v>0</v>
      </c>
      <c r="T189" s="281"/>
    </row>
    <row r="190" spans="1:20" ht="15" customHeight="1" x14ac:dyDescent="0.25">
      <c r="C190" s="275"/>
      <c r="D190" s="97" t="s">
        <v>152</v>
      </c>
      <c r="E190" s="97" t="s">
        <v>147</v>
      </c>
      <c r="F190" s="86"/>
      <c r="G190" s="46"/>
      <c r="H190" s="87"/>
      <c r="I190" s="46"/>
      <c r="J190" s="46"/>
      <c r="K190" s="46"/>
      <c r="L190" s="46"/>
      <c r="M190" s="152"/>
      <c r="N190" s="46"/>
      <c r="O190" s="87"/>
      <c r="P190" s="46"/>
      <c r="Q190" s="46"/>
      <c r="R190" s="46"/>
      <c r="S190" s="83">
        <f t="shared" si="36"/>
        <v>0</v>
      </c>
      <c r="T190" s="281"/>
    </row>
    <row r="191" spans="1:20" ht="15" customHeight="1" x14ac:dyDescent="0.25">
      <c r="C191" s="275"/>
      <c r="D191" s="97" t="s">
        <v>152</v>
      </c>
      <c r="E191" s="97" t="s">
        <v>168</v>
      </c>
      <c r="F191" s="85"/>
      <c r="G191" s="46"/>
      <c r="H191" s="46"/>
      <c r="I191" s="46"/>
      <c r="J191" s="46"/>
      <c r="K191" s="46"/>
      <c r="L191" s="46"/>
      <c r="M191" s="152"/>
      <c r="N191" s="46"/>
      <c r="O191" s="86"/>
      <c r="P191" s="46"/>
      <c r="Q191" s="46"/>
      <c r="R191" s="46"/>
      <c r="S191" s="83">
        <f t="shared" si="36"/>
        <v>0</v>
      </c>
      <c r="T191" s="281"/>
    </row>
    <row r="192" spans="1:20" ht="15" customHeight="1" x14ac:dyDescent="0.25">
      <c r="C192" s="275"/>
      <c r="D192" s="98" t="s">
        <v>153</v>
      </c>
      <c r="E192" s="98" t="s">
        <v>170</v>
      </c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>
        <f t="shared" si="36"/>
        <v>0</v>
      </c>
      <c r="T192" s="282">
        <f>SUM(S192:S196)</f>
        <v>0</v>
      </c>
    </row>
    <row r="193" spans="1:20" ht="15" customHeight="1" x14ac:dyDescent="0.25">
      <c r="C193" s="275"/>
      <c r="D193" s="99" t="s">
        <v>153</v>
      </c>
      <c r="E193" s="99" t="s">
        <v>171</v>
      </c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>
        <f t="shared" si="36"/>
        <v>0</v>
      </c>
      <c r="T193" s="283"/>
    </row>
    <row r="194" spans="1:20" ht="15" customHeight="1" x14ac:dyDescent="0.25">
      <c r="C194" s="275"/>
      <c r="D194" s="99" t="s">
        <v>153</v>
      </c>
      <c r="E194" s="99" t="s">
        <v>172</v>
      </c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>
        <f t="shared" si="36"/>
        <v>0</v>
      </c>
      <c r="T194" s="283"/>
    </row>
    <row r="195" spans="1:20" s="41" customFormat="1" ht="15" customHeight="1" x14ac:dyDescent="0.25">
      <c r="A195" s="45"/>
      <c r="B195" s="45"/>
      <c r="C195" s="276"/>
      <c r="D195" s="99" t="s">
        <v>153</v>
      </c>
      <c r="E195" s="99" t="s">
        <v>173</v>
      </c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>
        <f t="shared" si="36"/>
        <v>0</v>
      </c>
      <c r="T195" s="283"/>
    </row>
    <row r="196" spans="1:20" ht="15.75" customHeight="1" thickBot="1" x14ac:dyDescent="0.3">
      <c r="A196" s="41"/>
      <c r="B196" s="41"/>
      <c r="C196" s="276"/>
      <c r="D196" s="100" t="s">
        <v>153</v>
      </c>
      <c r="E196" s="100" t="s">
        <v>168</v>
      </c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>
        <f t="shared" si="36"/>
        <v>0</v>
      </c>
      <c r="T196" s="283"/>
    </row>
    <row r="197" spans="1:20" ht="15" customHeight="1" x14ac:dyDescent="0.25">
      <c r="D197" s="101" t="s">
        <v>120</v>
      </c>
      <c r="E197" s="101" t="s">
        <v>120</v>
      </c>
      <c r="F197" s="64">
        <f>SUM(F180:F196)</f>
        <v>22500</v>
      </c>
      <c r="G197" s="64">
        <f>SUM(G180:G196)</f>
        <v>0</v>
      </c>
      <c r="H197" s="64">
        <f>SUM(H180:H196)</f>
        <v>0</v>
      </c>
      <c r="I197" s="64">
        <f t="shared" ref="I197:P197" si="37">SUM(I180:I196)</f>
        <v>0</v>
      </c>
      <c r="J197" s="64">
        <f t="shared" si="37"/>
        <v>0</v>
      </c>
      <c r="K197" s="64">
        <f t="shared" si="37"/>
        <v>0</v>
      </c>
      <c r="L197" s="64">
        <f t="shared" si="37"/>
        <v>0</v>
      </c>
      <c r="M197" s="64">
        <f t="shared" si="37"/>
        <v>0</v>
      </c>
      <c r="N197" s="64">
        <f t="shared" si="37"/>
        <v>0</v>
      </c>
      <c r="O197" s="64">
        <f t="shared" si="37"/>
        <v>0</v>
      </c>
      <c r="P197" s="64">
        <f t="shared" si="37"/>
        <v>0</v>
      </c>
      <c r="Q197" s="64">
        <f>SUM(Q180:Q196)</f>
        <v>12097</v>
      </c>
      <c r="R197" s="64">
        <f>SUM(R180:R196)</f>
        <v>0</v>
      </c>
      <c r="S197" s="54">
        <f>SUM(S180:S196)</f>
        <v>34597</v>
      </c>
    </row>
    <row r="198" spans="1:20" ht="15.75" customHeight="1" thickBot="1" x14ac:dyDescent="0.3"/>
    <row r="199" spans="1:20" ht="17.25" x14ac:dyDescent="0.25">
      <c r="A199" s="166" t="s">
        <v>188</v>
      </c>
      <c r="B199" s="167">
        <f>C199</f>
        <v>202311</v>
      </c>
      <c r="C199" s="275">
        <v>202311</v>
      </c>
      <c r="D199" s="94" t="s">
        <v>151</v>
      </c>
      <c r="E199" s="177" t="s">
        <v>252</v>
      </c>
      <c r="F199" s="60"/>
      <c r="G199" s="59"/>
      <c r="H199" s="59"/>
      <c r="I199" s="60"/>
      <c r="J199" s="59"/>
      <c r="K199" s="60"/>
      <c r="L199" s="60"/>
      <c r="M199" s="60"/>
      <c r="N199" s="60"/>
      <c r="O199" s="60"/>
      <c r="P199" s="60"/>
      <c r="Q199" s="60">
        <f>2000+2000+2000+2000</f>
        <v>8000</v>
      </c>
      <c r="R199" s="60"/>
      <c r="S199" s="44">
        <f t="shared" ref="S199:S215" si="38">SUM(F199:R199)</f>
        <v>8000</v>
      </c>
      <c r="T199" s="277">
        <f>SUM(S199:S205)</f>
        <v>34597</v>
      </c>
    </row>
    <row r="200" spans="1:20" ht="15" customHeight="1" thickBot="1" x14ac:dyDescent="0.3">
      <c r="A200" s="164" t="s">
        <v>247</v>
      </c>
      <c r="B200" s="162">
        <f>$J$2</f>
        <v>160000</v>
      </c>
      <c r="C200" s="275"/>
      <c r="D200" s="95" t="s">
        <v>151</v>
      </c>
      <c r="E200" s="176" t="s">
        <v>251</v>
      </c>
      <c r="F200" s="79"/>
      <c r="G200" s="78"/>
      <c r="H200" s="78"/>
      <c r="I200" s="79"/>
      <c r="J200" s="78"/>
      <c r="K200" s="79"/>
      <c r="L200" s="79"/>
      <c r="M200" s="79"/>
      <c r="N200" s="79"/>
      <c r="O200" s="79"/>
      <c r="P200" s="79"/>
      <c r="Q200" s="79"/>
      <c r="R200" s="79"/>
      <c r="S200" s="80">
        <f t="shared" si="38"/>
        <v>0</v>
      </c>
      <c r="T200" s="278"/>
    </row>
    <row r="201" spans="1:20" ht="15" customHeight="1" thickTop="1" x14ac:dyDescent="0.25">
      <c r="A201" s="165" t="s">
        <v>237</v>
      </c>
      <c r="B201" s="182">
        <f>SUMPRODUCT((($V$10:$V$21)&lt;=VALUE(B199))*($Z$10:$Z$21))</f>
        <v>303320</v>
      </c>
      <c r="C201" s="275"/>
      <c r="D201" s="95" t="s">
        <v>151</v>
      </c>
      <c r="E201" s="176" t="s">
        <v>254</v>
      </c>
      <c r="F201" s="79"/>
      <c r="G201" s="78"/>
      <c r="H201" s="78"/>
      <c r="I201" s="79"/>
      <c r="J201" s="78"/>
      <c r="K201" s="79"/>
      <c r="L201" s="79"/>
      <c r="M201" s="79"/>
      <c r="N201" s="79"/>
      <c r="O201" s="79"/>
      <c r="P201" s="79"/>
      <c r="Q201" s="79">
        <f>10500-7000</f>
        <v>3500</v>
      </c>
      <c r="R201" s="79"/>
      <c r="S201" s="80">
        <f t="shared" si="38"/>
        <v>3500</v>
      </c>
      <c r="T201" s="278"/>
    </row>
    <row r="202" spans="1:20" ht="15" customHeight="1" x14ac:dyDescent="0.25">
      <c r="A202" s="165" t="s">
        <v>264</v>
      </c>
      <c r="B202" s="181">
        <f>B201/SUMPRODUCT((留底!$V$10:$V$21&lt;=留底!B199)*'2022'!$Z$10:$Z$21)</f>
        <v>0.17469633179171443</v>
      </c>
      <c r="C202" s="275"/>
      <c r="D202" s="95" t="s">
        <v>151</v>
      </c>
      <c r="E202" s="176" t="s">
        <v>255</v>
      </c>
      <c r="F202" s="79"/>
      <c r="G202" s="78"/>
      <c r="H202" s="78"/>
      <c r="I202" s="79"/>
      <c r="J202" s="78"/>
      <c r="K202" s="79"/>
      <c r="L202" s="79"/>
      <c r="M202" s="79"/>
      <c r="N202" s="79"/>
      <c r="O202" s="79"/>
      <c r="P202" s="79"/>
      <c r="Q202" s="79">
        <v>597</v>
      </c>
      <c r="R202" s="79"/>
      <c r="S202" s="80">
        <f t="shared" si="38"/>
        <v>597</v>
      </c>
      <c r="T202" s="278"/>
    </row>
    <row r="203" spans="1:20" ht="15" customHeight="1" x14ac:dyDescent="0.25">
      <c r="A203" s="165" t="s">
        <v>236</v>
      </c>
      <c r="B203" s="186">
        <f>B201-$K$2</f>
        <v>303320</v>
      </c>
      <c r="C203" s="275"/>
      <c r="D203" s="96" t="s">
        <v>151</v>
      </c>
      <c r="E203" s="176" t="s">
        <v>256</v>
      </c>
      <c r="F203" s="79">
        <f>11500+4500+6500</f>
        <v>22500</v>
      </c>
      <c r="G203" s="78"/>
      <c r="H203" s="78"/>
      <c r="I203" s="78"/>
      <c r="J203" s="78"/>
      <c r="K203" s="79"/>
      <c r="L203" s="79"/>
      <c r="M203" s="79"/>
      <c r="N203" s="79"/>
      <c r="O203" s="79"/>
      <c r="P203" s="79"/>
      <c r="Q203" s="79"/>
      <c r="R203" s="79"/>
      <c r="S203" s="80">
        <f t="shared" si="38"/>
        <v>22500</v>
      </c>
      <c r="T203" s="278"/>
    </row>
    <row r="204" spans="1:20" ht="15" customHeight="1" x14ac:dyDescent="0.25">
      <c r="A204" s="164" t="s">
        <v>242</v>
      </c>
      <c r="B204" s="157">
        <f>B203/($J$2*12)</f>
        <v>0.15797916666666667</v>
      </c>
      <c r="C204" s="275"/>
      <c r="D204" s="95" t="s">
        <v>151</v>
      </c>
      <c r="E204" s="176" t="s">
        <v>257</v>
      </c>
      <c r="F204" s="79"/>
      <c r="G204" s="78"/>
      <c r="H204" s="78"/>
      <c r="I204" s="79"/>
      <c r="J204" s="78"/>
      <c r="K204" s="79"/>
      <c r="L204" s="79"/>
      <c r="M204" s="79"/>
      <c r="N204" s="79"/>
      <c r="O204" s="79"/>
      <c r="P204" s="79"/>
      <c r="Q204" s="79"/>
      <c r="R204" s="79"/>
      <c r="S204" s="80">
        <f t="shared" si="38"/>
        <v>0</v>
      </c>
      <c r="T204" s="278"/>
    </row>
    <row r="205" spans="1:20" ht="15" customHeight="1" x14ac:dyDescent="0.25">
      <c r="A205" s="164" t="s">
        <v>282</v>
      </c>
      <c r="B205" s="126">
        <f>VALUE(RIGHT(B199,2))/12</f>
        <v>0.91666666666666663</v>
      </c>
      <c r="C205" s="275"/>
      <c r="D205" s="95" t="s">
        <v>151</v>
      </c>
      <c r="E205" s="176" t="s">
        <v>263</v>
      </c>
      <c r="F205" s="78"/>
      <c r="G205" s="78"/>
      <c r="H205" s="78"/>
      <c r="I205" s="79"/>
      <c r="J205" s="78"/>
      <c r="K205" s="79"/>
      <c r="L205" s="79"/>
      <c r="M205" s="79"/>
      <c r="N205" s="79"/>
      <c r="O205" s="79"/>
      <c r="P205" s="79"/>
      <c r="Q205" s="79"/>
      <c r="R205" s="79"/>
      <c r="S205" s="80">
        <f t="shared" si="38"/>
        <v>0</v>
      </c>
      <c r="T205" s="279"/>
    </row>
    <row r="206" spans="1:20" ht="15" customHeight="1" x14ac:dyDescent="0.25">
      <c r="A206" s="164" t="s">
        <v>243</v>
      </c>
      <c r="B206" s="161">
        <f>B200*VALUE(RIGHT(B199,2))-B203</f>
        <v>1456680</v>
      </c>
      <c r="C206" s="275"/>
      <c r="D206" s="97" t="s">
        <v>152</v>
      </c>
      <c r="E206" s="97" t="s">
        <v>144</v>
      </c>
      <c r="F206" s="85"/>
      <c r="G206" s="46"/>
      <c r="H206" s="85"/>
      <c r="I206" s="46"/>
      <c r="J206" s="46"/>
      <c r="K206" s="46"/>
      <c r="L206" s="46"/>
      <c r="M206" s="152"/>
      <c r="N206" s="46"/>
      <c r="O206" s="46"/>
      <c r="P206" s="46"/>
      <c r="Q206" s="46"/>
      <c r="R206" s="46"/>
      <c r="S206" s="83">
        <f t="shared" si="38"/>
        <v>0</v>
      </c>
      <c r="T206" s="280">
        <f>SUM(S206:S210)</f>
        <v>0</v>
      </c>
    </row>
    <row r="207" spans="1:20" ht="15" customHeight="1" x14ac:dyDescent="0.25">
      <c r="A207" s="164" t="s">
        <v>265</v>
      </c>
      <c r="B207" s="184">
        <f>$J$2-(S216-F213)</f>
        <v>125403</v>
      </c>
      <c r="C207" s="275"/>
      <c r="D207" s="97" t="s">
        <v>152</v>
      </c>
      <c r="E207" s="97" t="s">
        <v>145</v>
      </c>
      <c r="F207" s="85"/>
      <c r="G207" s="46"/>
      <c r="H207" s="85"/>
      <c r="I207" s="46"/>
      <c r="J207" s="46"/>
      <c r="K207" s="46"/>
      <c r="L207" s="46"/>
      <c r="M207" s="152"/>
      <c r="N207" s="46"/>
      <c r="O207" s="46"/>
      <c r="P207" s="46"/>
      <c r="Q207" s="46"/>
      <c r="R207" s="46"/>
      <c r="S207" s="83">
        <f t="shared" si="38"/>
        <v>0</v>
      </c>
      <c r="T207" s="281"/>
    </row>
    <row r="208" spans="1:20" ht="15" customHeight="1" x14ac:dyDescent="0.25">
      <c r="C208" s="275"/>
      <c r="D208" s="97" t="s">
        <v>152</v>
      </c>
      <c r="E208" s="97" t="s">
        <v>146</v>
      </c>
      <c r="F208" s="86"/>
      <c r="G208" s="46"/>
      <c r="H208" s="87"/>
      <c r="I208" s="46"/>
      <c r="J208" s="46"/>
      <c r="K208" s="46"/>
      <c r="L208" s="46"/>
      <c r="M208" s="152"/>
      <c r="N208" s="46"/>
      <c r="O208" s="46"/>
      <c r="P208" s="46"/>
      <c r="Q208" s="46"/>
      <c r="R208" s="46"/>
      <c r="S208" s="83">
        <f t="shared" si="38"/>
        <v>0</v>
      </c>
      <c r="T208" s="281"/>
    </row>
    <row r="209" spans="1:20" ht="15" customHeight="1" x14ac:dyDescent="0.25">
      <c r="C209" s="275"/>
      <c r="D209" s="97" t="s">
        <v>152</v>
      </c>
      <c r="E209" s="97" t="s">
        <v>147</v>
      </c>
      <c r="F209" s="85"/>
      <c r="G209" s="46"/>
      <c r="H209" s="87"/>
      <c r="I209" s="46"/>
      <c r="J209" s="46"/>
      <c r="K209" s="46"/>
      <c r="L209" s="46"/>
      <c r="M209" s="152"/>
      <c r="N209" s="46"/>
      <c r="O209" s="46"/>
      <c r="P209" s="46"/>
      <c r="Q209" s="46"/>
      <c r="R209" s="46"/>
      <c r="S209" s="83">
        <f t="shared" si="38"/>
        <v>0</v>
      </c>
      <c r="T209" s="281"/>
    </row>
    <row r="210" spans="1:20" ht="15" customHeight="1" x14ac:dyDescent="0.25">
      <c r="C210" s="275"/>
      <c r="D210" s="97" t="s">
        <v>152</v>
      </c>
      <c r="E210" s="97" t="s">
        <v>168</v>
      </c>
      <c r="F210" s="85"/>
      <c r="G210" s="46"/>
      <c r="H210" s="46"/>
      <c r="I210" s="46"/>
      <c r="J210" s="46"/>
      <c r="K210" s="46"/>
      <c r="L210" s="46"/>
      <c r="M210" s="152"/>
      <c r="N210" s="46"/>
      <c r="O210" s="86"/>
      <c r="P210" s="46"/>
      <c r="Q210" s="46"/>
      <c r="R210" s="46"/>
      <c r="S210" s="83">
        <f t="shared" si="38"/>
        <v>0</v>
      </c>
      <c r="T210" s="281"/>
    </row>
    <row r="211" spans="1:20" ht="15" customHeight="1" x14ac:dyDescent="0.25">
      <c r="C211" s="275"/>
      <c r="D211" s="98" t="s">
        <v>153</v>
      </c>
      <c r="E211" s="98" t="s">
        <v>170</v>
      </c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>
        <f t="shared" si="38"/>
        <v>0</v>
      </c>
      <c r="T211" s="282">
        <f>SUM(S211:S215)</f>
        <v>0</v>
      </c>
    </row>
    <row r="212" spans="1:20" ht="15" customHeight="1" x14ac:dyDescent="0.25">
      <c r="C212" s="275"/>
      <c r="D212" s="99" t="s">
        <v>153</v>
      </c>
      <c r="E212" s="99" t="s">
        <v>171</v>
      </c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>
        <f t="shared" si="38"/>
        <v>0</v>
      </c>
      <c r="T212" s="283"/>
    </row>
    <row r="213" spans="1:20" ht="15" customHeight="1" x14ac:dyDescent="0.25">
      <c r="C213" s="275"/>
      <c r="D213" s="99" t="s">
        <v>153</v>
      </c>
      <c r="E213" s="99" t="s">
        <v>172</v>
      </c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>
        <f t="shared" si="38"/>
        <v>0</v>
      </c>
      <c r="T213" s="283"/>
    </row>
    <row r="214" spans="1:20" s="41" customFormat="1" ht="15" customHeight="1" x14ac:dyDescent="0.25">
      <c r="A214" s="45"/>
      <c r="B214" s="45"/>
      <c r="C214" s="276"/>
      <c r="D214" s="99" t="s">
        <v>153</v>
      </c>
      <c r="E214" s="99" t="s">
        <v>173</v>
      </c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>
        <f t="shared" si="38"/>
        <v>0</v>
      </c>
      <c r="T214" s="283"/>
    </row>
    <row r="215" spans="1:20" ht="15.75" customHeight="1" thickBot="1" x14ac:dyDescent="0.3">
      <c r="A215" s="41"/>
      <c r="B215" s="41"/>
      <c r="C215" s="276"/>
      <c r="D215" s="100" t="s">
        <v>153</v>
      </c>
      <c r="E215" s="100" t="s">
        <v>168</v>
      </c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>
        <f t="shared" si="38"/>
        <v>0</v>
      </c>
      <c r="T215" s="283"/>
    </row>
    <row r="216" spans="1:20" ht="15" customHeight="1" x14ac:dyDescent="0.25">
      <c r="D216" s="101" t="s">
        <v>120</v>
      </c>
      <c r="E216" s="101" t="s">
        <v>120</v>
      </c>
      <c r="F216" s="64">
        <f>SUM(F199:F215)</f>
        <v>22500</v>
      </c>
      <c r="G216" s="64">
        <f>SUM(G199:G215)</f>
        <v>0</v>
      </c>
      <c r="H216" s="64">
        <f>SUM(H199:H215)</f>
        <v>0</v>
      </c>
      <c r="I216" s="64">
        <f t="shared" ref="I216:P216" si="39">SUM(I199:I215)</f>
        <v>0</v>
      </c>
      <c r="J216" s="64">
        <f t="shared" si="39"/>
        <v>0</v>
      </c>
      <c r="K216" s="64">
        <f t="shared" si="39"/>
        <v>0</v>
      </c>
      <c r="L216" s="64">
        <f t="shared" si="39"/>
        <v>0</v>
      </c>
      <c r="M216" s="64">
        <f t="shared" si="39"/>
        <v>0</v>
      </c>
      <c r="N216" s="64">
        <f t="shared" si="39"/>
        <v>0</v>
      </c>
      <c r="O216" s="64">
        <f t="shared" si="39"/>
        <v>0</v>
      </c>
      <c r="P216" s="64">
        <f t="shared" si="39"/>
        <v>0</v>
      </c>
      <c r="Q216" s="64">
        <f>SUM(Q199:Q215)</f>
        <v>12097</v>
      </c>
      <c r="R216" s="64">
        <f>SUM(R199:R215)</f>
        <v>0</v>
      </c>
      <c r="S216" s="54">
        <f>SUM(S199:S215)</f>
        <v>34597</v>
      </c>
    </row>
    <row r="217" spans="1:20" ht="15.75" customHeight="1" thickBot="1" x14ac:dyDescent="0.3"/>
    <row r="218" spans="1:20" ht="17.25" x14ac:dyDescent="0.25">
      <c r="A218" s="166" t="s">
        <v>188</v>
      </c>
      <c r="B218" s="167">
        <f>C218</f>
        <v>202312</v>
      </c>
      <c r="C218" s="275">
        <v>202312</v>
      </c>
      <c r="D218" s="94" t="s">
        <v>151</v>
      </c>
      <c r="E218" s="177" t="s">
        <v>252</v>
      </c>
      <c r="F218" s="60"/>
      <c r="G218" s="59"/>
      <c r="H218" s="59"/>
      <c r="I218" s="60"/>
      <c r="J218" s="59"/>
      <c r="K218" s="60"/>
      <c r="L218" s="60"/>
      <c r="M218" s="60"/>
      <c r="N218" s="60"/>
      <c r="O218" s="60"/>
      <c r="P218" s="60"/>
      <c r="Q218" s="60">
        <f>2000+2000+2000+2000</f>
        <v>8000</v>
      </c>
      <c r="R218" s="60"/>
      <c r="S218" s="44">
        <f t="shared" ref="S218:S234" si="40">SUM(F218:R218)</f>
        <v>8000</v>
      </c>
      <c r="T218" s="277">
        <f>SUM(S218:S224)</f>
        <v>34597</v>
      </c>
    </row>
    <row r="219" spans="1:20" ht="15" customHeight="1" thickBot="1" x14ac:dyDescent="0.3">
      <c r="A219" s="164" t="s">
        <v>247</v>
      </c>
      <c r="B219" s="162">
        <f>$J$2</f>
        <v>160000</v>
      </c>
      <c r="C219" s="275"/>
      <c r="D219" s="95" t="s">
        <v>151</v>
      </c>
      <c r="E219" s="176" t="s">
        <v>251</v>
      </c>
      <c r="F219" s="79"/>
      <c r="G219" s="78"/>
      <c r="H219" s="78"/>
      <c r="I219" s="79"/>
      <c r="J219" s="78"/>
      <c r="K219" s="79"/>
      <c r="L219" s="79"/>
      <c r="M219" s="79"/>
      <c r="N219" s="79"/>
      <c r="O219" s="79"/>
      <c r="P219" s="79"/>
      <c r="Q219" s="79"/>
      <c r="R219" s="79"/>
      <c r="S219" s="80">
        <f t="shared" si="40"/>
        <v>0</v>
      </c>
      <c r="T219" s="278"/>
    </row>
    <row r="220" spans="1:20" ht="15" customHeight="1" thickTop="1" x14ac:dyDescent="0.25">
      <c r="A220" s="165" t="s">
        <v>237</v>
      </c>
      <c r="B220" s="182">
        <f>SUMPRODUCT((($V$10:$V$21)&lt;=VALUE(B218))*($Z$10:$Z$21))</f>
        <v>337917</v>
      </c>
      <c r="C220" s="275"/>
      <c r="D220" s="95" t="s">
        <v>151</v>
      </c>
      <c r="E220" s="176" t="s">
        <v>254</v>
      </c>
      <c r="F220" s="79"/>
      <c r="G220" s="78"/>
      <c r="H220" s="78"/>
      <c r="I220" s="79"/>
      <c r="J220" s="78"/>
      <c r="K220" s="79"/>
      <c r="L220" s="79"/>
      <c r="M220" s="79"/>
      <c r="N220" s="79"/>
      <c r="O220" s="79"/>
      <c r="P220" s="79"/>
      <c r="Q220" s="79">
        <f>10500-7000</f>
        <v>3500</v>
      </c>
      <c r="R220" s="79"/>
      <c r="S220" s="80">
        <f t="shared" si="40"/>
        <v>3500</v>
      </c>
      <c r="T220" s="278"/>
    </row>
    <row r="221" spans="1:20" ht="15" customHeight="1" x14ac:dyDescent="0.25">
      <c r="A221" s="165" t="s">
        <v>264</v>
      </c>
      <c r="B221" s="181">
        <f>B220/SUMPRODUCT((留底!$V$10:$V$21&lt;=留底!B218)*'2022'!$Z$10:$Z$21)</f>
        <v>0.17611694953062165</v>
      </c>
      <c r="C221" s="275"/>
      <c r="D221" s="95" t="s">
        <v>151</v>
      </c>
      <c r="E221" s="176" t="s">
        <v>255</v>
      </c>
      <c r="F221" s="79"/>
      <c r="G221" s="78"/>
      <c r="H221" s="78"/>
      <c r="I221" s="79"/>
      <c r="J221" s="78"/>
      <c r="K221" s="79"/>
      <c r="L221" s="79"/>
      <c r="M221" s="79"/>
      <c r="N221" s="79"/>
      <c r="O221" s="79"/>
      <c r="P221" s="79"/>
      <c r="Q221" s="79">
        <v>597</v>
      </c>
      <c r="R221" s="79"/>
      <c r="S221" s="80">
        <f t="shared" si="40"/>
        <v>597</v>
      </c>
      <c r="T221" s="278"/>
    </row>
    <row r="222" spans="1:20" ht="15" customHeight="1" x14ac:dyDescent="0.25">
      <c r="A222" s="165" t="s">
        <v>236</v>
      </c>
      <c r="B222" s="186">
        <f>B220-$K$2</f>
        <v>337917</v>
      </c>
      <c r="C222" s="275"/>
      <c r="D222" s="96" t="s">
        <v>151</v>
      </c>
      <c r="E222" s="176" t="s">
        <v>256</v>
      </c>
      <c r="F222" s="79">
        <f>11500+4500+6500</f>
        <v>22500</v>
      </c>
      <c r="G222" s="78"/>
      <c r="H222" s="78"/>
      <c r="I222" s="78"/>
      <c r="J222" s="78"/>
      <c r="K222" s="79"/>
      <c r="L222" s="79"/>
      <c r="M222" s="79"/>
      <c r="N222" s="79"/>
      <c r="O222" s="79"/>
      <c r="P222" s="79"/>
      <c r="Q222" s="79"/>
      <c r="R222" s="79"/>
      <c r="S222" s="80">
        <f t="shared" si="40"/>
        <v>22500</v>
      </c>
      <c r="T222" s="278"/>
    </row>
    <row r="223" spans="1:20" ht="15" customHeight="1" x14ac:dyDescent="0.25">
      <c r="A223" s="164" t="s">
        <v>242</v>
      </c>
      <c r="B223" s="157">
        <f>B222/($J$2*12)</f>
        <v>0.17599843749999999</v>
      </c>
      <c r="C223" s="275"/>
      <c r="D223" s="95" t="s">
        <v>151</v>
      </c>
      <c r="E223" s="176" t="s">
        <v>257</v>
      </c>
      <c r="F223" s="79"/>
      <c r="G223" s="78"/>
      <c r="H223" s="78"/>
      <c r="I223" s="79"/>
      <c r="J223" s="78"/>
      <c r="K223" s="79"/>
      <c r="L223" s="79"/>
      <c r="M223" s="79"/>
      <c r="N223" s="79"/>
      <c r="O223" s="79"/>
      <c r="P223" s="79"/>
      <c r="Q223" s="79"/>
      <c r="R223" s="79"/>
      <c r="S223" s="80">
        <f t="shared" si="40"/>
        <v>0</v>
      </c>
      <c r="T223" s="278"/>
    </row>
    <row r="224" spans="1:20" ht="15" customHeight="1" x14ac:dyDescent="0.25">
      <c r="A224" s="164" t="s">
        <v>241</v>
      </c>
      <c r="B224" s="126">
        <f>VALUE(RIGHT(B218,2))/12</f>
        <v>1</v>
      </c>
      <c r="C224" s="275"/>
      <c r="D224" s="95" t="s">
        <v>151</v>
      </c>
      <c r="E224" s="176" t="s">
        <v>263</v>
      </c>
      <c r="F224" s="78"/>
      <c r="G224" s="78"/>
      <c r="H224" s="78"/>
      <c r="I224" s="79"/>
      <c r="J224" s="78"/>
      <c r="K224" s="79"/>
      <c r="L224" s="79"/>
      <c r="M224" s="79"/>
      <c r="N224" s="79"/>
      <c r="O224" s="79"/>
      <c r="P224" s="79"/>
      <c r="Q224" s="79"/>
      <c r="R224" s="79"/>
      <c r="S224" s="80">
        <f t="shared" si="40"/>
        <v>0</v>
      </c>
      <c r="T224" s="279"/>
    </row>
    <row r="225" spans="1:20" ht="15" customHeight="1" x14ac:dyDescent="0.25">
      <c r="A225" s="164" t="s">
        <v>243</v>
      </c>
      <c r="B225" s="161">
        <f>B219*VALUE(RIGHT(B218,2))-B222</f>
        <v>1582083</v>
      </c>
      <c r="C225" s="275"/>
      <c r="D225" s="97" t="s">
        <v>152</v>
      </c>
      <c r="E225" s="97" t="s">
        <v>144</v>
      </c>
      <c r="F225" s="85"/>
      <c r="G225" s="46"/>
      <c r="H225" s="85"/>
      <c r="I225" s="46"/>
      <c r="J225" s="46"/>
      <c r="K225" s="46"/>
      <c r="L225" s="46"/>
      <c r="M225" s="152"/>
      <c r="N225" s="46"/>
      <c r="O225" s="46"/>
      <c r="P225" s="46"/>
      <c r="Q225" s="46"/>
      <c r="R225" s="46"/>
      <c r="S225" s="83">
        <f t="shared" si="40"/>
        <v>0</v>
      </c>
      <c r="T225" s="280">
        <f>SUM(S225:S229)</f>
        <v>0</v>
      </c>
    </row>
    <row r="226" spans="1:20" ht="15" customHeight="1" x14ac:dyDescent="0.25">
      <c r="A226" s="164" t="s">
        <v>265</v>
      </c>
      <c r="B226" s="184">
        <f>$J$2-(S235-F232)</f>
        <v>125403</v>
      </c>
      <c r="C226" s="275"/>
      <c r="D226" s="97" t="s">
        <v>152</v>
      </c>
      <c r="E226" s="97" t="s">
        <v>145</v>
      </c>
      <c r="F226" s="85"/>
      <c r="G226" s="46"/>
      <c r="H226" s="85"/>
      <c r="I226" s="46"/>
      <c r="J226" s="46"/>
      <c r="K226" s="46"/>
      <c r="L226" s="46"/>
      <c r="M226" s="152"/>
      <c r="N226" s="46"/>
      <c r="O226" s="46"/>
      <c r="P226" s="46"/>
      <c r="Q226" s="46"/>
      <c r="R226" s="46"/>
      <c r="S226" s="83">
        <f t="shared" si="40"/>
        <v>0</v>
      </c>
      <c r="T226" s="281"/>
    </row>
    <row r="227" spans="1:20" ht="15" customHeight="1" x14ac:dyDescent="0.25">
      <c r="C227" s="275"/>
      <c r="D227" s="97" t="s">
        <v>152</v>
      </c>
      <c r="E227" s="97" t="s">
        <v>146</v>
      </c>
      <c r="F227" s="86"/>
      <c r="G227" s="46"/>
      <c r="H227" s="87"/>
      <c r="I227" s="46"/>
      <c r="J227" s="46"/>
      <c r="K227" s="46"/>
      <c r="L227" s="46"/>
      <c r="M227" s="152"/>
      <c r="N227" s="46"/>
      <c r="O227" s="46"/>
      <c r="P227" s="46"/>
      <c r="Q227" s="46"/>
      <c r="R227" s="46"/>
      <c r="S227" s="83">
        <f t="shared" si="40"/>
        <v>0</v>
      </c>
      <c r="T227" s="281"/>
    </row>
    <row r="228" spans="1:20" ht="15" customHeight="1" x14ac:dyDescent="0.25">
      <c r="C228" s="275"/>
      <c r="D228" s="97" t="s">
        <v>152</v>
      </c>
      <c r="E228" s="97" t="s">
        <v>147</v>
      </c>
      <c r="F228" s="85"/>
      <c r="G228" s="46"/>
      <c r="H228" s="87"/>
      <c r="I228" s="46"/>
      <c r="J228" s="46"/>
      <c r="K228" s="46"/>
      <c r="L228" s="46"/>
      <c r="M228" s="152"/>
      <c r="N228" s="46"/>
      <c r="O228" s="46"/>
      <c r="P228" s="46"/>
      <c r="Q228" s="46"/>
      <c r="R228" s="46"/>
      <c r="S228" s="83">
        <f t="shared" si="40"/>
        <v>0</v>
      </c>
      <c r="T228" s="281"/>
    </row>
    <row r="229" spans="1:20" ht="15" customHeight="1" x14ac:dyDescent="0.25">
      <c r="C229" s="275"/>
      <c r="D229" s="97" t="s">
        <v>152</v>
      </c>
      <c r="E229" s="97" t="s">
        <v>168</v>
      </c>
      <c r="F229" s="85"/>
      <c r="G229" s="46"/>
      <c r="H229" s="46"/>
      <c r="I229" s="46"/>
      <c r="J229" s="46"/>
      <c r="K229" s="46"/>
      <c r="L229" s="46"/>
      <c r="M229" s="152"/>
      <c r="N229" s="46"/>
      <c r="O229" s="86"/>
      <c r="P229" s="46"/>
      <c r="Q229" s="46"/>
      <c r="R229" s="46"/>
      <c r="S229" s="83">
        <f t="shared" si="40"/>
        <v>0</v>
      </c>
      <c r="T229" s="281"/>
    </row>
    <row r="230" spans="1:20" ht="15" customHeight="1" x14ac:dyDescent="0.25">
      <c r="C230" s="275"/>
      <c r="D230" s="98" t="s">
        <v>153</v>
      </c>
      <c r="E230" s="98" t="s">
        <v>170</v>
      </c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>
        <f t="shared" si="40"/>
        <v>0</v>
      </c>
      <c r="T230" s="282">
        <f>SUM(S230:S234)</f>
        <v>0</v>
      </c>
    </row>
    <row r="231" spans="1:20" ht="15" customHeight="1" x14ac:dyDescent="0.25">
      <c r="C231" s="275"/>
      <c r="D231" s="99" t="s">
        <v>153</v>
      </c>
      <c r="E231" s="99" t="s">
        <v>171</v>
      </c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>
        <f t="shared" si="40"/>
        <v>0</v>
      </c>
      <c r="T231" s="283"/>
    </row>
    <row r="232" spans="1:20" ht="15" customHeight="1" x14ac:dyDescent="0.25">
      <c r="C232" s="275"/>
      <c r="D232" s="99" t="s">
        <v>153</v>
      </c>
      <c r="E232" s="99" t="s">
        <v>172</v>
      </c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>
        <f t="shared" si="40"/>
        <v>0</v>
      </c>
      <c r="T232" s="283"/>
    </row>
    <row r="233" spans="1:20" s="41" customFormat="1" ht="15" customHeight="1" x14ac:dyDescent="0.25">
      <c r="A233" s="45"/>
      <c r="B233" s="45"/>
      <c r="C233" s="276"/>
      <c r="D233" s="99" t="s">
        <v>153</v>
      </c>
      <c r="E233" s="99" t="s">
        <v>173</v>
      </c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>
        <f t="shared" si="40"/>
        <v>0</v>
      </c>
      <c r="T233" s="283"/>
    </row>
    <row r="234" spans="1:20" ht="15.75" customHeight="1" thickBot="1" x14ac:dyDescent="0.3">
      <c r="A234" s="41"/>
      <c r="B234" s="41"/>
      <c r="C234" s="276"/>
      <c r="D234" s="100" t="s">
        <v>153</v>
      </c>
      <c r="E234" s="100" t="s">
        <v>168</v>
      </c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>
        <f t="shared" si="40"/>
        <v>0</v>
      </c>
      <c r="T234" s="283"/>
    </row>
    <row r="235" spans="1:20" ht="15" customHeight="1" x14ac:dyDescent="0.25">
      <c r="D235" s="101" t="s">
        <v>120</v>
      </c>
      <c r="E235" s="101" t="s">
        <v>120</v>
      </c>
      <c r="F235" s="64">
        <f>SUM(F218:F234)</f>
        <v>22500</v>
      </c>
      <c r="G235" s="64">
        <f>SUM(G218:G234)</f>
        <v>0</v>
      </c>
      <c r="H235" s="64">
        <f>SUM(H218:H234)</f>
        <v>0</v>
      </c>
      <c r="I235" s="64">
        <f t="shared" ref="I235:P235" si="41">SUM(I218:I234)</f>
        <v>0</v>
      </c>
      <c r="J235" s="64">
        <f t="shared" si="41"/>
        <v>0</v>
      </c>
      <c r="K235" s="64">
        <f t="shared" si="41"/>
        <v>0</v>
      </c>
      <c r="L235" s="64">
        <f t="shared" si="41"/>
        <v>0</v>
      </c>
      <c r="M235" s="64">
        <f t="shared" si="41"/>
        <v>0</v>
      </c>
      <c r="N235" s="64">
        <f t="shared" si="41"/>
        <v>0</v>
      </c>
      <c r="O235" s="64">
        <f t="shared" si="41"/>
        <v>0</v>
      </c>
      <c r="P235" s="64">
        <f t="shared" si="41"/>
        <v>0</v>
      </c>
      <c r="Q235" s="64">
        <f>SUM(Q218:Q234)</f>
        <v>12097</v>
      </c>
      <c r="R235" s="64">
        <f>SUM(R218:R234)</f>
        <v>0</v>
      </c>
      <c r="S235" s="54">
        <f>SUM(S218:S234)</f>
        <v>34597</v>
      </c>
    </row>
    <row r="240" spans="1:20" x14ac:dyDescent="0.25">
      <c r="E240" s="129">
        <f>SUM(G240:P240)</f>
        <v>0.25016077170418005</v>
      </c>
      <c r="F240" s="130" t="s">
        <v>223</v>
      </c>
      <c r="G240" s="131">
        <f t="shared" ref="G240:M240" si="42">G242/$E$243</f>
        <v>6.4308681672025723E-3</v>
      </c>
      <c r="H240" s="131">
        <f t="shared" si="42"/>
        <v>2.3579849946409433E-2</v>
      </c>
      <c r="I240" s="131">
        <f t="shared" si="42"/>
        <v>1.5005359056806002E-2</v>
      </c>
      <c r="J240" s="131">
        <f t="shared" si="42"/>
        <v>5.5091103965702035E-2</v>
      </c>
      <c r="K240" s="131">
        <f t="shared" si="42"/>
        <v>5.0160771704180061E-2</v>
      </c>
      <c r="L240" s="131">
        <f t="shared" si="42"/>
        <v>4.9946409431939981E-2</v>
      </c>
      <c r="M240" s="131">
        <f t="shared" si="42"/>
        <v>4.9946409431939981E-2</v>
      </c>
      <c r="N240" s="143"/>
      <c r="O240" s="143"/>
    </row>
    <row r="241" spans="5:15" ht="16.5" x14ac:dyDescent="0.25">
      <c r="F241" s="132" t="s">
        <v>97</v>
      </c>
      <c r="G241" s="133">
        <v>44478</v>
      </c>
      <c r="H241" s="133">
        <v>44482</v>
      </c>
      <c r="I241" s="133">
        <v>44487</v>
      </c>
      <c r="J241" s="133">
        <v>44501</v>
      </c>
      <c r="K241" s="133">
        <v>44526</v>
      </c>
      <c r="L241" s="133">
        <v>44725</v>
      </c>
      <c r="M241" s="133">
        <v>45056</v>
      </c>
      <c r="N241" s="133">
        <v>45343</v>
      </c>
      <c r="O241" s="133"/>
    </row>
    <row r="242" spans="5:15" ht="16.5" x14ac:dyDescent="0.25">
      <c r="E242" s="128">
        <f>SUM(G242:P242)</f>
        <v>11670000</v>
      </c>
      <c r="F242" s="132" t="s">
        <v>96</v>
      </c>
      <c r="G242" s="134">
        <v>300000</v>
      </c>
      <c r="H242" s="134">
        <v>1100000</v>
      </c>
      <c r="I242" s="134">
        <v>700000</v>
      </c>
      <c r="J242" s="134">
        <v>2570000</v>
      </c>
      <c r="K242" s="134">
        <v>2340000</v>
      </c>
      <c r="L242" s="134">
        <v>2330000</v>
      </c>
      <c r="M242" s="134">
        <v>2330000</v>
      </c>
      <c r="N242" s="143"/>
      <c r="O242" s="143"/>
    </row>
    <row r="243" spans="5:15" ht="19.5" x14ac:dyDescent="0.25">
      <c r="E243" s="127">
        <v>46650000</v>
      </c>
      <c r="F243" s="132" t="s">
        <v>57</v>
      </c>
      <c r="G243" s="132" t="s">
        <v>218</v>
      </c>
      <c r="H243" s="132" t="s">
        <v>218</v>
      </c>
      <c r="I243" s="132" t="s">
        <v>219</v>
      </c>
      <c r="J243" s="132" t="s">
        <v>219</v>
      </c>
      <c r="K243" s="132" t="s">
        <v>225</v>
      </c>
      <c r="L243" s="132" t="s">
        <v>226</v>
      </c>
      <c r="M243" s="132" t="s">
        <v>227</v>
      </c>
      <c r="N243" s="132" t="s">
        <v>228</v>
      </c>
      <c r="O243" s="130" t="s">
        <v>229</v>
      </c>
    </row>
  </sheetData>
  <mergeCells count="56">
    <mergeCell ref="AE6:AK6"/>
    <mergeCell ref="AL6:AP6"/>
    <mergeCell ref="AQ6:AU6"/>
    <mergeCell ref="AE7:AK7"/>
    <mergeCell ref="AL7:AP7"/>
    <mergeCell ref="AQ7:AU7"/>
    <mergeCell ref="AF8:AH8"/>
    <mergeCell ref="AI8:AJ8"/>
    <mergeCell ref="C9:C25"/>
    <mergeCell ref="T9:T15"/>
    <mergeCell ref="T16:T20"/>
    <mergeCell ref="T21:T25"/>
    <mergeCell ref="C28:C44"/>
    <mergeCell ref="T28:T34"/>
    <mergeCell ref="T35:T39"/>
    <mergeCell ref="T40:T44"/>
    <mergeCell ref="C47:C63"/>
    <mergeCell ref="T47:T53"/>
    <mergeCell ref="T54:T58"/>
    <mergeCell ref="T59:T63"/>
    <mergeCell ref="C66:C82"/>
    <mergeCell ref="T66:T72"/>
    <mergeCell ref="T73:T77"/>
    <mergeCell ref="T78:T82"/>
    <mergeCell ref="C85:C101"/>
    <mergeCell ref="T85:T91"/>
    <mergeCell ref="T92:T96"/>
    <mergeCell ref="T97:T101"/>
    <mergeCell ref="C104:C120"/>
    <mergeCell ref="T104:T110"/>
    <mergeCell ref="T111:T115"/>
    <mergeCell ref="T116:T120"/>
    <mergeCell ref="C123:C139"/>
    <mergeCell ref="T123:T129"/>
    <mergeCell ref="T130:T134"/>
    <mergeCell ref="T135:T139"/>
    <mergeCell ref="C142:C158"/>
    <mergeCell ref="T142:T148"/>
    <mergeCell ref="T149:T153"/>
    <mergeCell ref="T154:T158"/>
    <mergeCell ref="C161:C177"/>
    <mergeCell ref="T161:T167"/>
    <mergeCell ref="T168:T172"/>
    <mergeCell ref="T173:T177"/>
    <mergeCell ref="C218:C234"/>
    <mergeCell ref="T218:T224"/>
    <mergeCell ref="T225:T229"/>
    <mergeCell ref="T230:T234"/>
    <mergeCell ref="C180:C196"/>
    <mergeCell ref="T180:T186"/>
    <mergeCell ref="T187:T191"/>
    <mergeCell ref="T192:T196"/>
    <mergeCell ref="C199:C215"/>
    <mergeCell ref="T199:T205"/>
    <mergeCell ref="T206:T210"/>
    <mergeCell ref="T211:T215"/>
  </mergeCells>
  <phoneticPr fontId="1" type="noConversion"/>
  <conditionalFormatting sqref="J6:R6 F6:H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K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:AP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:AU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8">
    <cfRule type="expression" dxfId="11" priority="12">
      <formula>$B$88&gt;1</formula>
    </cfRule>
  </conditionalFormatting>
  <conditionalFormatting sqref="B69">
    <cfRule type="expression" dxfId="10" priority="11">
      <formula>$B$88&gt;1</formula>
    </cfRule>
  </conditionalFormatting>
  <conditionalFormatting sqref="B12">
    <cfRule type="expression" dxfId="9" priority="10">
      <formula>$B$88&gt;1</formula>
    </cfRule>
  </conditionalFormatting>
  <conditionalFormatting sqref="B31">
    <cfRule type="expression" dxfId="8" priority="9">
      <formula>$B$88&gt;1</formula>
    </cfRule>
  </conditionalFormatting>
  <conditionalFormatting sqref="B50">
    <cfRule type="expression" dxfId="7" priority="8">
      <formula>$B$88&gt;1</formula>
    </cfRule>
  </conditionalFormatting>
  <conditionalFormatting sqref="B107">
    <cfRule type="expression" dxfId="6" priority="7">
      <formula>$B$88&gt;1</formula>
    </cfRule>
  </conditionalFormatting>
  <conditionalFormatting sqref="B126">
    <cfRule type="expression" dxfId="5" priority="6">
      <formula>$B$88&gt;1</formula>
    </cfRule>
  </conditionalFormatting>
  <conditionalFormatting sqref="B145">
    <cfRule type="expression" dxfId="4" priority="5">
      <formula>$B$88&gt;1</formula>
    </cfRule>
  </conditionalFormatting>
  <conditionalFormatting sqref="B221">
    <cfRule type="expression" dxfId="3" priority="1">
      <formula>$B$88&gt;1</formula>
    </cfRule>
  </conditionalFormatting>
  <conditionalFormatting sqref="B164">
    <cfRule type="expression" dxfId="2" priority="4">
      <formula>$B$88&gt;1</formula>
    </cfRule>
  </conditionalFormatting>
  <conditionalFormatting sqref="B183">
    <cfRule type="expression" dxfId="1" priority="3">
      <formula>$B$88&gt;1</formula>
    </cfRule>
  </conditionalFormatting>
  <conditionalFormatting sqref="B202">
    <cfRule type="expression" dxfId="0" priority="2">
      <formula>$B$88&gt;1</formula>
    </cfRule>
  </conditionalFormatting>
  <pageMargins left="0.7" right="0.7" top="0.75" bottom="0.75" header="0.3" footer="0.3"/>
  <pageSetup paperSize="9" scale="65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4"/>
  <dimension ref="D1:G14"/>
  <sheetViews>
    <sheetView workbookViewId="0">
      <selection activeCell="G23" sqref="G23"/>
    </sheetView>
  </sheetViews>
  <sheetFormatPr defaultRowHeight="16.5" x14ac:dyDescent="0.25"/>
  <cols>
    <col min="4" max="4" width="28.375" bestFit="1" customWidth="1"/>
    <col min="5" max="6" width="10.875" bestFit="1" customWidth="1"/>
  </cols>
  <sheetData>
    <row r="1" spans="4:7" x14ac:dyDescent="0.25">
      <c r="F1">
        <v>96302</v>
      </c>
      <c r="G1" s="229">
        <f>E3-F1</f>
        <v>3001</v>
      </c>
    </row>
    <row r="2" spans="4:7" x14ac:dyDescent="0.25">
      <c r="E2" s="187" t="s">
        <v>269</v>
      </c>
      <c r="F2" s="187" t="s">
        <v>268</v>
      </c>
    </row>
    <row r="3" spans="4:7" x14ac:dyDescent="0.25">
      <c r="E3" s="77">
        <v>99303</v>
      </c>
      <c r="F3" s="76">
        <f>E3-SUMIF(F4:F13,"V",E4:E13)</f>
        <v>1600</v>
      </c>
    </row>
    <row r="4" spans="4:7" x14ac:dyDescent="0.25">
      <c r="D4" t="s">
        <v>270</v>
      </c>
      <c r="E4" s="188">
        <v>20001</v>
      </c>
      <c r="F4" t="s">
        <v>267</v>
      </c>
      <c r="G4" s="228">
        <v>45050</v>
      </c>
    </row>
    <row r="5" spans="4:7" x14ac:dyDescent="0.25">
      <c r="D5" s="75" t="s">
        <v>271</v>
      </c>
      <c r="E5" s="188">
        <v>30000</v>
      </c>
      <c r="F5" t="s">
        <v>267</v>
      </c>
      <c r="G5" s="228">
        <v>45064</v>
      </c>
    </row>
    <row r="6" spans="4:7" x14ac:dyDescent="0.25">
      <c r="D6" t="s">
        <v>272</v>
      </c>
      <c r="E6" s="188">
        <v>3001</v>
      </c>
      <c r="F6" t="s">
        <v>267</v>
      </c>
    </row>
    <row r="7" spans="4:7" x14ac:dyDescent="0.25">
      <c r="D7" t="s">
        <v>279</v>
      </c>
      <c r="E7" s="76">
        <v>2000</v>
      </c>
      <c r="F7" t="s">
        <v>267</v>
      </c>
      <c r="G7" s="228">
        <v>45078</v>
      </c>
    </row>
    <row r="8" spans="4:7" x14ac:dyDescent="0.25">
      <c r="D8" s="75" t="s">
        <v>266</v>
      </c>
      <c r="E8" s="76">
        <v>29999</v>
      </c>
      <c r="F8" t="s">
        <v>267</v>
      </c>
      <c r="G8" s="228">
        <v>45078</v>
      </c>
    </row>
    <row r="9" spans="4:7" x14ac:dyDescent="0.25">
      <c r="D9" s="75" t="s">
        <v>274</v>
      </c>
      <c r="E9" s="76">
        <f>12400</f>
        <v>12400</v>
      </c>
      <c r="F9" t="s">
        <v>267</v>
      </c>
      <c r="G9" s="228">
        <v>45078</v>
      </c>
    </row>
    <row r="10" spans="4:7" x14ac:dyDescent="0.25">
      <c r="D10" s="75" t="s">
        <v>273</v>
      </c>
      <c r="E10" s="189">
        <v>302</v>
      </c>
      <c r="F10" t="s">
        <v>267</v>
      </c>
      <c r="G10" s="228">
        <v>45056</v>
      </c>
    </row>
    <row r="11" spans="4:7" x14ac:dyDescent="0.25">
      <c r="D11" s="75" t="s">
        <v>278</v>
      </c>
      <c r="E11" s="76">
        <v>398</v>
      </c>
      <c r="G11" s="228">
        <v>45069</v>
      </c>
    </row>
    <row r="12" spans="4:7" x14ac:dyDescent="0.25">
      <c r="D12" s="75" t="s">
        <v>278</v>
      </c>
      <c r="E12" s="76">
        <v>399</v>
      </c>
      <c r="G12" s="228">
        <v>45071</v>
      </c>
    </row>
    <row r="13" spans="4:7" x14ac:dyDescent="0.25">
      <c r="D13" s="75" t="s">
        <v>278</v>
      </c>
      <c r="E13" s="76">
        <v>400</v>
      </c>
      <c r="G13" s="228">
        <v>45075</v>
      </c>
    </row>
    <row r="14" spans="4:7" x14ac:dyDescent="0.25">
      <c r="D14" s="75" t="s">
        <v>278</v>
      </c>
      <c r="E14" s="76">
        <v>403</v>
      </c>
      <c r="G14" s="228">
        <v>45076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A1:AV243"/>
  <sheetViews>
    <sheetView topLeftCell="C1" zoomScale="70" zoomScaleNormal="70" workbookViewId="0">
      <pane ySplit="8" topLeftCell="A147" activePane="bottomLeft" state="frozen"/>
      <selection pane="bottomLeft" activeCell="Q142" sqref="Q142"/>
    </sheetView>
  </sheetViews>
  <sheetFormatPr defaultColWidth="9" defaultRowHeight="15" x14ac:dyDescent="0.25"/>
  <cols>
    <col min="1" max="1" width="20.125" style="45" bestFit="1" customWidth="1"/>
    <col min="2" max="2" width="16.5" style="45" bestFit="1" customWidth="1"/>
    <col min="3" max="3" width="14.625" style="45" customWidth="1"/>
    <col min="4" max="4" width="13.625" style="92" bestFit="1" customWidth="1"/>
    <col min="5" max="5" width="18" style="92" bestFit="1" customWidth="1"/>
    <col min="6" max="6" width="16.125" style="45" bestFit="1" customWidth="1"/>
    <col min="7" max="7" width="17.375" style="45" bestFit="1" customWidth="1"/>
    <col min="8" max="8" width="12.625" style="45" bestFit="1" customWidth="1"/>
    <col min="9" max="9" width="15.125" style="45" bestFit="1" customWidth="1"/>
    <col min="10" max="10" width="13.375" style="45" bestFit="1" customWidth="1"/>
    <col min="11" max="11" width="16.125" style="45" bestFit="1" customWidth="1"/>
    <col min="12" max="12" width="20.125" style="45" customWidth="1"/>
    <col min="13" max="13" width="24.625" style="45" bestFit="1" customWidth="1"/>
    <col min="14" max="14" width="16.125" style="45" bestFit="1" customWidth="1"/>
    <col min="15" max="15" width="17.5" style="45" bestFit="1" customWidth="1"/>
    <col min="16" max="16" width="16.125" style="45" bestFit="1" customWidth="1"/>
    <col min="17" max="18" width="15" style="45" customWidth="1"/>
    <col min="19" max="19" width="13.5" style="45" bestFit="1" customWidth="1"/>
    <col min="20" max="20" width="12.625" style="45" bestFit="1" customWidth="1"/>
    <col min="21" max="21" width="9" style="45"/>
    <col min="22" max="22" width="10.875" style="45" bestFit="1" customWidth="1"/>
    <col min="23" max="23" width="15.625" style="45" bestFit="1" customWidth="1"/>
    <col min="24" max="24" width="13.75" style="45" bestFit="1" customWidth="1"/>
    <col min="25" max="25" width="17.625" style="45" bestFit="1" customWidth="1"/>
    <col min="26" max="26" width="18.25" style="45" bestFit="1" customWidth="1"/>
    <col min="27" max="27" width="12.625" style="45" customWidth="1"/>
    <col min="28" max="29" width="9" style="45"/>
    <col min="30" max="30" width="12.875" style="45" bestFit="1" customWidth="1"/>
    <col min="31" max="33" width="10.875" style="45" bestFit="1" customWidth="1"/>
    <col min="34" max="34" width="8.5" style="45" bestFit="1" customWidth="1"/>
    <col min="35" max="35" width="9.625" style="45" bestFit="1" customWidth="1"/>
    <col min="36" max="37" width="10.875" style="45" bestFit="1" customWidth="1"/>
    <col min="38" max="40" width="9.625" style="45" bestFit="1" customWidth="1"/>
    <col min="41" max="41" width="10.875" style="45" bestFit="1" customWidth="1"/>
    <col min="42" max="42" width="9.625" style="45" bestFit="1" customWidth="1"/>
    <col min="43" max="43" width="11.75" style="45" bestFit="1" customWidth="1"/>
    <col min="44" max="44" width="10" style="45" bestFit="1" customWidth="1"/>
    <col min="45" max="45" width="14.25" style="45" bestFit="1" customWidth="1"/>
    <col min="46" max="46" width="9.625" style="45" bestFit="1" customWidth="1"/>
    <col min="47" max="47" width="11.75" style="45" bestFit="1" customWidth="1"/>
    <col min="48" max="48" width="10.875" style="45" bestFit="1" customWidth="1"/>
    <col min="49" max="16384" width="9" style="45"/>
  </cols>
  <sheetData>
    <row r="1" spans="1:48" ht="17.25" x14ac:dyDescent="0.25">
      <c r="A1" s="45" t="s">
        <v>151</v>
      </c>
      <c r="B1" s="51">
        <f>SUMIF(D:D,A1,S:S)</f>
        <v>1063031</v>
      </c>
      <c r="C1" s="57">
        <f>B1/$B$4</f>
        <v>0.55403479841643444</v>
      </c>
      <c r="J1" s="53" t="s">
        <v>246</v>
      </c>
      <c r="K1" s="53" t="s">
        <v>139</v>
      </c>
      <c r="L1" s="179" t="s">
        <v>224</v>
      </c>
      <c r="M1" s="126"/>
      <c r="N1" s="126"/>
      <c r="O1" s="126"/>
      <c r="P1" s="126"/>
    </row>
    <row r="2" spans="1:48" ht="18" thickBot="1" x14ac:dyDescent="0.3">
      <c r="A2" s="45" t="s">
        <v>152</v>
      </c>
      <c r="B2" s="51">
        <f>SUMIF(D:D,A2,S:S)</f>
        <v>183293</v>
      </c>
      <c r="C2" s="57">
        <f>B2/$B$4</f>
        <v>9.5529387483660883E-2</v>
      </c>
      <c r="J2" s="162">
        <v>130000</v>
      </c>
      <c r="K2" s="107">
        <f>SUMIF(E:E,E15,S:S)</f>
        <v>465417</v>
      </c>
      <c r="L2" s="51">
        <f>27778*12+11831</f>
        <v>345167</v>
      </c>
      <c r="M2" s="69"/>
      <c r="N2" s="147">
        <f>40508/12</f>
        <v>3375.6666666666665</v>
      </c>
      <c r="O2" s="147"/>
      <c r="P2" s="125"/>
      <c r="S2" s="51"/>
    </row>
    <row r="3" spans="1:48" ht="18.75" thickTop="1" thickBot="1" x14ac:dyDescent="0.3">
      <c r="A3" s="45" t="s">
        <v>153</v>
      </c>
      <c r="B3" s="51">
        <f>SUMIF(D:D,A3,S:S)</f>
        <v>672384</v>
      </c>
      <c r="C3" s="57">
        <f>B3/$B$4</f>
        <v>0.35043581409990471</v>
      </c>
      <c r="J3" s="52">
        <f>J2*12</f>
        <v>1560000</v>
      </c>
      <c r="K3" s="74"/>
      <c r="M3" s="51"/>
      <c r="N3" s="51"/>
      <c r="O3" s="126"/>
      <c r="P3" s="51"/>
      <c r="Q3" s="67"/>
      <c r="S3" s="51"/>
      <c r="AO3" s="52"/>
    </row>
    <row r="4" spans="1:48" ht="15" customHeight="1" x14ac:dyDescent="0.25">
      <c r="A4" s="56" t="s">
        <v>120</v>
      </c>
      <c r="B4" s="156">
        <f>SUMIF(D:D,A4,S:S)</f>
        <v>1918708</v>
      </c>
      <c r="C4" s="145">
        <f>B4-B223</f>
        <v>345167</v>
      </c>
      <c r="J4" s="52"/>
      <c r="M4" s="53"/>
      <c r="N4" s="53"/>
      <c r="O4" s="53"/>
      <c r="AS4" s="52"/>
    </row>
    <row r="5" spans="1:48" ht="16.5" x14ac:dyDescent="0.25">
      <c r="A5" s="45" t="s">
        <v>239</v>
      </c>
      <c r="B5" s="154">
        <f>B4-L2</f>
        <v>1573541</v>
      </c>
      <c r="Q5" s="51">
        <f>Q7/12</f>
        <v>21285.25</v>
      </c>
      <c r="AF5" s="52"/>
      <c r="AQ5" s="51">
        <f>AQ7/12</f>
        <v>9787.9166666666661</v>
      </c>
      <c r="AS5" s="51"/>
    </row>
    <row r="6" spans="1:48" ht="15" customHeight="1" x14ac:dyDescent="0.25">
      <c r="A6" s="55" t="s">
        <v>238</v>
      </c>
      <c r="B6" s="157">
        <f>B4/(J2*12+L2)</f>
        <v>1.0071075134095857</v>
      </c>
      <c r="F6" s="73">
        <f t="shared" ref="F6:O6" si="0">F7/$S$7</f>
        <v>0.55221273898894463</v>
      </c>
      <c r="G6" s="73">
        <f t="shared" si="0"/>
        <v>2.1055835489298008E-3</v>
      </c>
      <c r="H6" s="73">
        <f>H7/$S$7</f>
        <v>0.15324061816597417</v>
      </c>
      <c r="I6" s="73">
        <f t="shared" si="0"/>
        <v>2.6391196576029285E-2</v>
      </c>
      <c r="J6" s="73">
        <f t="shared" si="0"/>
        <v>1.5066909607923666E-2</v>
      </c>
      <c r="K6" s="73">
        <f t="shared" si="0"/>
        <v>0</v>
      </c>
      <c r="L6" s="73">
        <f t="shared" si="0"/>
        <v>8.0992000867250256E-3</v>
      </c>
      <c r="M6" s="73">
        <f t="shared" si="0"/>
        <v>1.9770595629976004E-2</v>
      </c>
      <c r="N6" s="73">
        <f t="shared" si="0"/>
        <v>3.5883521619756629E-3</v>
      </c>
      <c r="O6" s="73">
        <f t="shared" si="0"/>
        <v>8.6402412456715663E-2</v>
      </c>
      <c r="P6" s="73">
        <f>P7/$S$7</f>
        <v>0</v>
      </c>
      <c r="Q6" s="73">
        <f>Q7/$S$7</f>
        <v>0.13312239277680607</v>
      </c>
      <c r="R6" s="73">
        <f>R7/$S$7</f>
        <v>0</v>
      </c>
      <c r="AE6" s="73">
        <f>AE7/$AD$7</f>
        <v>9.4699662481211311E-2</v>
      </c>
      <c r="AF6" s="73">
        <f>AF7/$AD$7</f>
        <v>2.1281508181547167E-2</v>
      </c>
      <c r="AG6" s="73">
        <f>AG7/$AD$7</f>
        <v>0.15979450755404156</v>
      </c>
      <c r="AH6" s="73">
        <f t="shared" ref="AH6:AU6" si="1">AH7/$AD$7</f>
        <v>0</v>
      </c>
      <c r="AI6" s="73">
        <f t="shared" si="1"/>
        <v>4.4144288760978746E-3</v>
      </c>
      <c r="AJ6" s="73">
        <f t="shared" si="1"/>
        <v>3.1276775830402545E-2</v>
      </c>
      <c r="AK6" s="73">
        <f t="shared" si="1"/>
        <v>0.24256791549313392</v>
      </c>
      <c r="AL6" s="73">
        <f t="shared" si="1"/>
        <v>4.1736418464925359E-2</v>
      </c>
      <c r="AM6" s="73">
        <f t="shared" si="1"/>
        <v>3.0724841924878617E-2</v>
      </c>
      <c r="AN6" s="73">
        <f t="shared" si="1"/>
        <v>8.4754949684892125E-3</v>
      </c>
      <c r="AO6" s="73">
        <f t="shared" si="1"/>
        <v>7.9741159155014736E-3</v>
      </c>
      <c r="AP6" s="73">
        <f t="shared" si="1"/>
        <v>6.6185162098662221E-3</v>
      </c>
      <c r="AQ6" s="73">
        <f t="shared" si="1"/>
        <v>6.1215672212759836E-2</v>
      </c>
      <c r="AR6" s="73">
        <f t="shared" si="1"/>
        <v>6.9088157239142172E-3</v>
      </c>
      <c r="AS6" s="73">
        <f t="shared" si="1"/>
        <v>0.21582804678981898</v>
      </c>
      <c r="AT6" s="73">
        <f t="shared" si="1"/>
        <v>1.7418492026926451E-2</v>
      </c>
      <c r="AU6" s="73">
        <f t="shared" si="1"/>
        <v>4.9064787346485242E-2</v>
      </c>
    </row>
    <row r="7" spans="1:48" ht="15.75" customHeight="1" thickBot="1" x14ac:dyDescent="0.3">
      <c r="F7" s="70">
        <f t="shared" ref="F7:N7" si="2">SUMIF($D$9:$D$1012,"Total",F9:F1012)</f>
        <v>1059535</v>
      </c>
      <c r="G7" s="70">
        <f t="shared" si="2"/>
        <v>4040</v>
      </c>
      <c r="H7" s="70">
        <f t="shared" si="2"/>
        <v>294024</v>
      </c>
      <c r="I7" s="70">
        <f t="shared" si="2"/>
        <v>50637</v>
      </c>
      <c r="J7" s="70">
        <f t="shared" si="2"/>
        <v>28909</v>
      </c>
      <c r="K7" s="70">
        <f t="shared" si="2"/>
        <v>0</v>
      </c>
      <c r="L7" s="70">
        <f t="shared" si="2"/>
        <v>15540</v>
      </c>
      <c r="M7" s="70">
        <f t="shared" si="2"/>
        <v>37934</v>
      </c>
      <c r="N7" s="70">
        <f t="shared" si="2"/>
        <v>6885</v>
      </c>
      <c r="O7" s="70">
        <f>SUMIF($D$9:$D$1012,"Total",O9:O1012)</f>
        <v>165781</v>
      </c>
      <c r="P7" s="70">
        <f>SUMIF($D$9:$D$1012,"Total",P9:P1012)</f>
        <v>0</v>
      </c>
      <c r="Q7" s="70">
        <f>SUMIF($D$9:$D$1012,"Total",Q9:Q1012)</f>
        <v>255423</v>
      </c>
      <c r="R7" s="70">
        <f>SUMIF($D$9:$D$1012,"Total",R9:R1012)</f>
        <v>0</v>
      </c>
      <c r="S7" s="71">
        <f>SUM(F7:R7)</f>
        <v>1918708</v>
      </c>
      <c r="AD7" s="52">
        <f>SUM(AE7:AU7)</f>
        <v>1918708</v>
      </c>
      <c r="AE7" s="52">
        <f>SUM(AE10:AE21)</f>
        <v>181701</v>
      </c>
      <c r="AF7" s="52">
        <f t="shared" ref="AF7:AU7" si="3">SUM(AF10:AF21)</f>
        <v>40833</v>
      </c>
      <c r="AG7" s="52">
        <f t="shared" si="3"/>
        <v>306599</v>
      </c>
      <c r="AH7" s="52">
        <f t="shared" si="3"/>
        <v>0</v>
      </c>
      <c r="AI7" s="52">
        <f t="shared" si="3"/>
        <v>8470</v>
      </c>
      <c r="AJ7" s="52">
        <f t="shared" si="3"/>
        <v>60011</v>
      </c>
      <c r="AK7" s="52">
        <f t="shared" si="3"/>
        <v>465417</v>
      </c>
      <c r="AL7" s="52">
        <f t="shared" si="3"/>
        <v>80080</v>
      </c>
      <c r="AM7" s="52">
        <f t="shared" si="3"/>
        <v>58952</v>
      </c>
      <c r="AN7" s="52">
        <f t="shared" si="3"/>
        <v>16262</v>
      </c>
      <c r="AO7" s="52">
        <f t="shared" si="3"/>
        <v>15300</v>
      </c>
      <c r="AP7" s="52">
        <f t="shared" si="3"/>
        <v>12699</v>
      </c>
      <c r="AQ7" s="52">
        <f t="shared" si="3"/>
        <v>117455</v>
      </c>
      <c r="AR7" s="52">
        <f t="shared" si="3"/>
        <v>13256</v>
      </c>
      <c r="AS7" s="52">
        <f>SUM(AS10:AS21)</f>
        <v>414111</v>
      </c>
      <c r="AT7" s="52">
        <f t="shared" si="3"/>
        <v>33421</v>
      </c>
      <c r="AU7" s="52">
        <f t="shared" si="3"/>
        <v>94141</v>
      </c>
    </row>
    <row r="8" spans="1:48" ht="18.75" thickTop="1" thickBot="1" x14ac:dyDescent="0.3">
      <c r="C8" s="41" t="s">
        <v>154</v>
      </c>
      <c r="D8" s="93"/>
      <c r="E8" s="93"/>
      <c r="F8" s="41" t="s">
        <v>155</v>
      </c>
      <c r="G8" s="41" t="s">
        <v>156</v>
      </c>
      <c r="H8" s="41" t="s">
        <v>157</v>
      </c>
      <c r="I8" s="41" t="s">
        <v>158</v>
      </c>
      <c r="J8" s="41" t="s">
        <v>159</v>
      </c>
      <c r="K8" s="41" t="s">
        <v>160</v>
      </c>
      <c r="L8" s="41" t="s">
        <v>161</v>
      </c>
      <c r="M8" s="53" t="s">
        <v>262</v>
      </c>
      <c r="N8" s="41" t="s">
        <v>162</v>
      </c>
      <c r="O8" s="53" t="s">
        <v>233</v>
      </c>
      <c r="P8" s="41"/>
      <c r="Q8" s="41" t="s">
        <v>164</v>
      </c>
      <c r="R8" s="41"/>
      <c r="S8" s="84" t="s">
        <v>120</v>
      </c>
      <c r="V8" s="168" t="s">
        <v>249</v>
      </c>
      <c r="W8" s="169">
        <f>SUM(W10:W21)</f>
        <v>1063031</v>
      </c>
      <c r="X8" s="169">
        <f>SUM(X10:X21)</f>
        <v>183293</v>
      </c>
      <c r="Y8" s="169">
        <f>SUM(Y10:Y21)</f>
        <v>672384</v>
      </c>
      <c r="Z8" s="169">
        <f>SUM(Z10:Z21)</f>
        <v>1918708</v>
      </c>
      <c r="AA8" s="74"/>
      <c r="AE8" s="303" t="str">
        <f>W9</f>
        <v>生活</v>
      </c>
      <c r="AF8" s="304"/>
      <c r="AG8" s="304"/>
      <c r="AH8" s="304"/>
      <c r="AI8" s="304"/>
      <c r="AJ8" s="304"/>
      <c r="AK8" s="305"/>
      <c r="AL8" s="303" t="str">
        <f>X9</f>
        <v>想要&amp;奢侈品</v>
      </c>
      <c r="AM8" s="306"/>
      <c r="AN8" s="306"/>
      <c r="AO8" s="306"/>
      <c r="AP8" s="307"/>
      <c r="AQ8" s="303" t="str">
        <f>Y9</f>
        <v>一次性支出</v>
      </c>
      <c r="AR8" s="306"/>
      <c r="AS8" s="306"/>
      <c r="AT8" s="306"/>
      <c r="AU8" s="307"/>
      <c r="AV8" s="170"/>
    </row>
    <row r="9" spans="1:48" ht="17.25" x14ac:dyDescent="0.25">
      <c r="C9" s="275">
        <v>202201</v>
      </c>
      <c r="D9" s="94" t="s">
        <v>151</v>
      </c>
      <c r="E9" s="94" t="s">
        <v>165</v>
      </c>
      <c r="F9" s="60">
        <f>3028+488+975+70</f>
        <v>4561</v>
      </c>
      <c r="G9" s="59"/>
      <c r="H9" s="59"/>
      <c r="I9" s="60">
        <f>0+1143</f>
        <v>1143</v>
      </c>
      <c r="J9" s="59"/>
      <c r="K9" s="60"/>
      <c r="L9" s="60"/>
      <c r="M9" s="60"/>
      <c r="N9" s="60"/>
      <c r="O9" s="60"/>
      <c r="P9" s="60"/>
      <c r="Q9" s="60">
        <f>3079+8500+514+1500+279-4000</f>
        <v>9872</v>
      </c>
      <c r="R9" s="60"/>
      <c r="S9" s="44">
        <f t="shared" ref="S9:S25" si="4">SUM(F9:R9)</f>
        <v>15576</v>
      </c>
      <c r="T9" s="277">
        <f>SUM(S9:S15)</f>
        <v>88708</v>
      </c>
      <c r="V9" s="41" t="s">
        <v>188</v>
      </c>
      <c r="W9" s="41" t="str">
        <f>A1</f>
        <v>生活</v>
      </c>
      <c r="X9" s="41" t="s">
        <v>152</v>
      </c>
      <c r="Y9" s="41" t="str">
        <f>A3</f>
        <v>一次性支出</v>
      </c>
      <c r="Z9" s="41" t="s">
        <v>120</v>
      </c>
      <c r="AD9" s="119" t="s">
        <v>208</v>
      </c>
      <c r="AE9" s="119" t="s">
        <v>193</v>
      </c>
      <c r="AF9" s="120" t="s">
        <v>194</v>
      </c>
      <c r="AG9" s="120" t="s">
        <v>195</v>
      </c>
      <c r="AH9" s="160" t="s">
        <v>244</v>
      </c>
      <c r="AI9" s="120" t="s">
        <v>197</v>
      </c>
      <c r="AJ9" s="160" t="s">
        <v>245</v>
      </c>
      <c r="AK9" s="121" t="s">
        <v>199</v>
      </c>
      <c r="AL9" s="122" t="s">
        <v>200</v>
      </c>
      <c r="AM9" s="123" t="s">
        <v>201</v>
      </c>
      <c r="AN9" s="123" t="s">
        <v>202</v>
      </c>
      <c r="AO9" s="123" t="s">
        <v>203</v>
      </c>
      <c r="AP9" s="124" t="s">
        <v>198</v>
      </c>
      <c r="AQ9" s="122" t="s">
        <v>204</v>
      </c>
      <c r="AR9" s="123" t="s">
        <v>205</v>
      </c>
      <c r="AS9" s="123" t="s">
        <v>206</v>
      </c>
      <c r="AT9" s="123" t="s">
        <v>207</v>
      </c>
      <c r="AU9" s="124" t="s">
        <v>198</v>
      </c>
      <c r="AV9" s="171" t="s">
        <v>240</v>
      </c>
    </row>
    <row r="10" spans="1:48" ht="15" customHeight="1" x14ac:dyDescent="0.25">
      <c r="C10" s="275"/>
      <c r="D10" s="95" t="s">
        <v>151</v>
      </c>
      <c r="E10" s="95" t="s">
        <v>166</v>
      </c>
      <c r="F10" s="79">
        <f>1300+50+120+150</f>
        <v>1620</v>
      </c>
      <c r="G10" s="78"/>
      <c r="H10" s="78">
        <f>94+70+80+20+30+28+25+134+1276+70+500</f>
        <v>2327</v>
      </c>
      <c r="I10" s="79">
        <v>707</v>
      </c>
      <c r="J10" s="78"/>
      <c r="K10" s="79"/>
      <c r="L10" s="79">
        <v>500</v>
      </c>
      <c r="M10" s="79"/>
      <c r="N10" s="79"/>
      <c r="O10" s="79"/>
      <c r="P10" s="79"/>
      <c r="Q10" s="79"/>
      <c r="R10" s="79"/>
      <c r="S10" s="80">
        <f t="shared" si="4"/>
        <v>5154</v>
      </c>
      <c r="T10" s="278"/>
      <c r="V10" s="90">
        <f>$C$9</f>
        <v>202201</v>
      </c>
      <c r="W10" s="52">
        <f>T9</f>
        <v>88708</v>
      </c>
      <c r="X10" s="52">
        <f>T16</f>
        <v>16910</v>
      </c>
      <c r="Y10" s="52">
        <f>T21</f>
        <v>49139</v>
      </c>
      <c r="Z10" s="52">
        <f>W10+X10+Y10</f>
        <v>154757</v>
      </c>
      <c r="AD10" s="190">
        <v>202201</v>
      </c>
      <c r="AE10" s="116">
        <f>SUMPRODUCT(($D$9:$D$25=$AE$8)*($E$9:$E$25=AE$9)*$S$9:$S$25)</f>
        <v>15576</v>
      </c>
      <c r="AF10" s="117">
        <f>SUMPRODUCT(($D$9:$D$25=$AE$8)*($E$9:$E$25=$AF$9)*$S$9:$S$25)</f>
        <v>5154</v>
      </c>
      <c r="AG10" s="117">
        <f>SUMPRODUCT(($D$9:$D$25=$AE$8)*($E$9:$E$25=$AG$9)*$S$9:$S$25)</f>
        <v>28179</v>
      </c>
      <c r="AH10" s="117">
        <f>SUMPRODUCT(($D$9:$D$25=$AE$8)*($E$9:$E$25=$AH$9)*$S$9:$S$25)</f>
        <v>0</v>
      </c>
      <c r="AI10" s="117">
        <f>SUMPRODUCT(($D$9:$D$25=$AE$8)*($E$9:$E$25=$AI$9)*$S$9:$S$25)</f>
        <v>2520</v>
      </c>
      <c r="AJ10" s="117">
        <f>SUMPRODUCT(($D$9:$D$25=$AE$8)*($E$9:$E$25=$AJ$9)*$S$9:$S$25)</f>
        <v>14094</v>
      </c>
      <c r="AK10" s="118">
        <f>SUMPRODUCT(($D$9:$D$25=$AE$8)*($E$9:$E$25=$AK$9)*$S$9:$S$25)</f>
        <v>23185</v>
      </c>
      <c r="AL10" s="116">
        <f>SUMPRODUCT(($D$9:$D$25=$AL$8)*($E$9:$E$25=$AL$9)*$S$9:$S$25)</f>
        <v>5738</v>
      </c>
      <c r="AM10" s="117">
        <f>SUMPRODUCT(($D$9:$D$25=$AL$8)*($E$9:$E$25=$AM$9)*$S$9:$S$25)</f>
        <v>2376</v>
      </c>
      <c r="AN10" s="117">
        <f>SUMPRODUCT(($D$9:$D$25=$AL$8)*($E$9:$E$25=$AN$9)*$S$9:$S$25)</f>
        <v>1120</v>
      </c>
      <c r="AO10" s="117">
        <f>SUMPRODUCT(($D$9:$D$25=$AL$8)*($E$9:$E$25=$AO$9)*$S$9:$S$25)</f>
        <v>830</v>
      </c>
      <c r="AP10" s="118">
        <f>SUMPRODUCT(($D$9:$D$25=$AL$8)*($E$9:$E$25=$AP$9)*$S$9:$S$25)</f>
        <v>6846</v>
      </c>
      <c r="AQ10" s="116">
        <f>SUMPRODUCT(($D$9:$D$25=$AQ$8)*($E$9:$E$25=$AQ$9)*$S$9:$S$25)</f>
        <v>0</v>
      </c>
      <c r="AR10" s="117">
        <f>SUMPRODUCT(($D$9:$D$25=$AQ$8)*($E$9:$E$25=$AR$9)*$S$9:$S$25)</f>
        <v>1946</v>
      </c>
      <c r="AS10" s="117">
        <f>SUMPRODUCT(($D$9:$D$25=$AQ$8)*($E$9:$E$25=$AS$9)*$S$9:$S$25)</f>
        <v>27778</v>
      </c>
      <c r="AT10" s="117">
        <f>SUMPRODUCT(($D$9:$D$25=$AQ$8)*($E$9:$E$25=$AT$9)*$S$9:$S$25)</f>
        <v>0</v>
      </c>
      <c r="AU10" s="118">
        <f>SUMPRODUCT(($D$9:$D$25=$AQ$8)*($E$9:$E$25=$AU$9)*$S$9:$S$25)</f>
        <v>19415</v>
      </c>
      <c r="AV10" s="172">
        <f>SUM(AE10:AU10)</f>
        <v>154757</v>
      </c>
    </row>
    <row r="11" spans="1:48" ht="15" customHeight="1" x14ac:dyDescent="0.25">
      <c r="C11" s="275"/>
      <c r="D11" s="95" t="s">
        <v>151</v>
      </c>
      <c r="E11" s="95" t="s">
        <v>167</v>
      </c>
      <c r="F11" s="79">
        <f>1700+580+112+40+210+200+235+30+130+90+165+1176+110+30+30+195+90+212+250+75+71+211+120+70+1688+60+345+30+205+280+30+40+250+170+90</f>
        <v>9320</v>
      </c>
      <c r="G11" s="78"/>
      <c r="H11" s="78">
        <f>61+136+93+431+140+97+212+70+56+89+107+296+337+142+260+100+420+82+79+194+75+49+563+118+87+69+239</f>
        <v>4602</v>
      </c>
      <c r="I11" s="79">
        <f>190+395+140+130+110+30+98+35+113+52+43+275+1688+87+510+78+120+179</f>
        <v>4273</v>
      </c>
      <c r="J11" s="78">
        <f>288+530+1212+220+1734</f>
        <v>3984</v>
      </c>
      <c r="K11" s="79"/>
      <c r="L11" s="79"/>
      <c r="M11" s="79"/>
      <c r="N11" s="79"/>
      <c r="O11" s="79"/>
      <c r="P11" s="79"/>
      <c r="Q11" s="79">
        <f>2000+2000+2000</f>
        <v>6000</v>
      </c>
      <c r="R11" s="79"/>
      <c r="S11" s="80">
        <f t="shared" si="4"/>
        <v>28179</v>
      </c>
      <c r="T11" s="278"/>
      <c r="V11" s="90">
        <f>$C$28</f>
        <v>202202</v>
      </c>
      <c r="W11" s="52">
        <f>T28</f>
        <v>119204</v>
      </c>
      <c r="X11" s="52">
        <f>T35</f>
        <v>12210</v>
      </c>
      <c r="Y11" s="52">
        <f>T40</f>
        <v>48603</v>
      </c>
      <c r="Z11" s="52">
        <f t="shared" ref="Z11:Z21" si="5">W11+X11+Y11</f>
        <v>180017</v>
      </c>
      <c r="AD11" s="190">
        <v>202202</v>
      </c>
      <c r="AE11" s="116">
        <f>SUMPRODUCT(($D$28:$D$44=$AE$8)*($E$28:$E$44=AE$9)*$S$28:$S$44)</f>
        <v>13674</v>
      </c>
      <c r="AF11" s="117">
        <f t="shared" ref="AF11:AK11" si="6">SUMPRODUCT(($D$28:$D$44=$AE$8)*($E$28:$E$44=AF$9)*$S$28:$S$44)</f>
        <v>5617</v>
      </c>
      <c r="AG11" s="117">
        <f t="shared" si="6"/>
        <v>18114</v>
      </c>
      <c r="AH11" s="117">
        <f t="shared" si="6"/>
        <v>0</v>
      </c>
      <c r="AI11" s="117">
        <f t="shared" si="6"/>
        <v>0</v>
      </c>
      <c r="AJ11" s="117">
        <f t="shared" si="6"/>
        <v>1469</v>
      </c>
      <c r="AK11" s="118">
        <f t="shared" si="6"/>
        <v>80330</v>
      </c>
      <c r="AL11" s="116">
        <f>SUMPRODUCT(($D$28:$D$44=$AL$8)*($E$28:$E$44=AL$9)*$S$28:$S$44)</f>
        <v>7140</v>
      </c>
      <c r="AM11" s="117">
        <f>SUMPRODUCT(($D$28:$D$44=$AL$8)*($E$28:$E$44=AM$9)*$S$28:$S$44)</f>
        <v>0</v>
      </c>
      <c r="AN11" s="117">
        <f>SUMPRODUCT(($D$28:$D$44=$AL$8)*($E$28:$E$44=AN$9)*$S$28:$S$44)</f>
        <v>1755</v>
      </c>
      <c r="AO11" s="117">
        <f>SUMPRODUCT(($D$28:$D$44=$AL$8)*($E$28:$E$44=AO$9)*$S$28:$S$44)</f>
        <v>1715</v>
      </c>
      <c r="AP11" s="118">
        <f>SUMPRODUCT(($D$28:$D$44=$AL$8)*($E$28:$E$44=AP$9)*$S$28:$S$44)</f>
        <v>1600</v>
      </c>
      <c r="AQ11" s="116">
        <f>SUMPRODUCT(($D$28:$D$44=$AQ$8)*($E$28:$E$44=AQ$9)*$S$28:$S$44)</f>
        <v>9595</v>
      </c>
      <c r="AR11" s="117">
        <f>SUMPRODUCT(($D$28:$D$44=$AQ$8)*($E$28:$E$44=AR$9)*$S$28:$S$44)</f>
        <v>0</v>
      </c>
      <c r="AS11" s="117">
        <f>SUMPRODUCT(($D$28:$D$44=$AQ$8)*($E$28:$E$44=AS$9)*$S$28:$S$44)</f>
        <v>39008</v>
      </c>
      <c r="AT11" s="117">
        <f>SUMPRODUCT(($D$28:$D$44=$AQ$8)*($E$28:$E$44=AT$9)*$S$28:$S$44)</f>
        <v>0</v>
      </c>
      <c r="AU11" s="118">
        <f>SUMPRODUCT(($D$28:$D$44=$AQ$8)*($E$28:$E$44=AU$9)*$S$28:$S$44)</f>
        <v>0</v>
      </c>
      <c r="AV11" s="172">
        <f t="shared" ref="AV11:AV21" si="7">SUM(AE11:AU11)</f>
        <v>180017</v>
      </c>
    </row>
    <row r="12" spans="1:48" ht="15" customHeight="1" x14ac:dyDescent="0.25">
      <c r="C12" s="275"/>
      <c r="D12" s="95" t="s">
        <v>151</v>
      </c>
      <c r="E12" s="95" t="s">
        <v>209</v>
      </c>
      <c r="F12" s="79"/>
      <c r="G12" s="78"/>
      <c r="H12" s="78"/>
      <c r="I12" s="79"/>
      <c r="J12" s="78"/>
      <c r="K12" s="79"/>
      <c r="L12" s="79"/>
      <c r="M12" s="79"/>
      <c r="N12" s="79"/>
      <c r="O12" s="79"/>
      <c r="P12" s="79"/>
      <c r="Q12" s="79"/>
      <c r="R12" s="79"/>
      <c r="S12" s="80">
        <f t="shared" si="4"/>
        <v>0</v>
      </c>
      <c r="T12" s="278"/>
      <c r="V12" s="90">
        <f>$C$47</f>
        <v>202203</v>
      </c>
      <c r="W12" s="52">
        <f>T47</f>
        <v>80935</v>
      </c>
      <c r="X12" s="52">
        <f>T54</f>
        <v>9808</v>
      </c>
      <c r="Y12" s="52">
        <f>T59</f>
        <v>52826</v>
      </c>
      <c r="Z12" s="52">
        <f t="shared" si="5"/>
        <v>143569</v>
      </c>
      <c r="AD12" s="190">
        <v>202203</v>
      </c>
      <c r="AE12" s="116">
        <f>SUMPRODUCT(($D$47:$D$63=$AE$8)*($E$47:$E$63=AE$9)*$S$47:$S$63)</f>
        <v>16317</v>
      </c>
      <c r="AF12" s="117">
        <f t="shared" ref="AF12:AK12" si="8">SUMPRODUCT(($D$47:$D$63=$AE$8)*($E$47:$E$63=AF$9)*$S$47:$S$63)</f>
        <v>1130</v>
      </c>
      <c r="AG12" s="117">
        <f t="shared" si="8"/>
        <v>20851</v>
      </c>
      <c r="AH12" s="117">
        <f t="shared" si="8"/>
        <v>0</v>
      </c>
      <c r="AI12" s="117">
        <f>SUMPRODUCT(($D$47:$D$63=$AE$8)*($E$47:$E$63=AI$9)*$S$47:$S$63)</f>
        <v>2380</v>
      </c>
      <c r="AJ12" s="117">
        <f t="shared" si="8"/>
        <v>4781</v>
      </c>
      <c r="AK12" s="118">
        <f t="shared" si="8"/>
        <v>35476</v>
      </c>
      <c r="AL12" s="116">
        <f>SUMPRODUCT(($D$47:$D$63=$AL$8)*($E$47:$E$63=AL$9)*$S$47:$S$63)</f>
        <v>10</v>
      </c>
      <c r="AM12" s="117">
        <f>SUMPRODUCT(($D$47:$D$63=$AL$8)*($E$47:$E$63=AM$9)*$S$47:$S$63)</f>
        <v>3290</v>
      </c>
      <c r="AN12" s="117">
        <f>SUMPRODUCT(($D$47:$D$63=$AL$8)*($E$47:$E$63=AN$9)*$S$47:$S$63)</f>
        <v>3809</v>
      </c>
      <c r="AO12" s="117">
        <f>SUMPRODUCT(($D$47:$D$63=$AL$8)*($E$47:$E$63=AO$9)*$S$47:$S$63)</f>
        <v>2699</v>
      </c>
      <c r="AP12" s="118">
        <f>SUMPRODUCT(($D$47:$D$63=$AL$8)*($E$47:$E$63=AP$9)*$S$47:$S$63)</f>
        <v>0</v>
      </c>
      <c r="AQ12" s="116">
        <f>SUMPRODUCT(($D$47:$D$63=$AQ$8)*($E$47:$E$63=AQ$9)*$S$47:$S$63)</f>
        <v>7965</v>
      </c>
      <c r="AR12" s="117">
        <f>SUMPRODUCT(($D$47:$D$63=$AQ$8)*($E$47:$E$63=AR$9)*$S$47:$S$63)</f>
        <v>3434</v>
      </c>
      <c r="AS12" s="117">
        <f>SUMPRODUCT(($D$47:$D$63=$AQ$8)*($E$47:$E$63=AS$9)*$S$47:$S$63)</f>
        <v>39008</v>
      </c>
      <c r="AT12" s="117">
        <f>SUMPRODUCT(($D$47:$D$63=$AQ$8)*($E$47:$E$63=AT$9)*$S$47:$S$63)</f>
        <v>0</v>
      </c>
      <c r="AU12" s="118">
        <f>SUMPRODUCT(($D$47:$D$63=$AQ$8)*($E$47:$E$63=AU$9)*$S$47:$S$63)</f>
        <v>2419</v>
      </c>
      <c r="AV12" s="172">
        <f t="shared" si="7"/>
        <v>143569</v>
      </c>
    </row>
    <row r="13" spans="1:48" ht="15" customHeight="1" x14ac:dyDescent="0.25">
      <c r="C13" s="275"/>
      <c r="D13" s="96" t="s">
        <v>151</v>
      </c>
      <c r="E13" s="95" t="s">
        <v>175</v>
      </c>
      <c r="F13" s="79"/>
      <c r="G13" s="78"/>
      <c r="H13" s="78">
        <f>2520</f>
        <v>2520</v>
      </c>
      <c r="I13" s="78"/>
      <c r="J13" s="78"/>
      <c r="K13" s="79"/>
      <c r="L13" s="79"/>
      <c r="M13" s="79"/>
      <c r="N13" s="79"/>
      <c r="O13" s="79"/>
      <c r="P13" s="79"/>
      <c r="Q13" s="79"/>
      <c r="R13" s="79"/>
      <c r="S13" s="80">
        <f t="shared" si="4"/>
        <v>2520</v>
      </c>
      <c r="T13" s="278"/>
      <c r="V13" s="90">
        <f>$C$66</f>
        <v>202204</v>
      </c>
      <c r="W13" s="52">
        <f>T66</f>
        <v>73737</v>
      </c>
      <c r="X13" s="52">
        <f>T73</f>
        <v>2685</v>
      </c>
      <c r="Y13" s="52">
        <f>T78</f>
        <v>53868</v>
      </c>
      <c r="Z13" s="52">
        <f t="shared" si="5"/>
        <v>130290</v>
      </c>
      <c r="AD13" s="190">
        <v>202204</v>
      </c>
      <c r="AE13" s="116">
        <f t="shared" ref="AE13:AK13" si="9">SUMPRODUCT(($D$66:$D$82=$AE$8)*($E$66:$E$82=AE$9)*$S$66:$S$82)</f>
        <v>13844</v>
      </c>
      <c r="AF13" s="117">
        <f t="shared" si="9"/>
        <v>2184</v>
      </c>
      <c r="AG13" s="117">
        <f t="shared" si="9"/>
        <v>31704</v>
      </c>
      <c r="AH13" s="117">
        <f>SUMPRODUCT(($D$66:$D$82=$AE$8)*($E$66:$E$82=AH$9)*$S$66:$S$82)</f>
        <v>0</v>
      </c>
      <c r="AI13" s="117">
        <f t="shared" si="9"/>
        <v>2380</v>
      </c>
      <c r="AJ13" s="117">
        <f t="shared" si="9"/>
        <v>3965</v>
      </c>
      <c r="AK13" s="118">
        <f t="shared" si="9"/>
        <v>19660</v>
      </c>
      <c r="AL13" s="116">
        <f>SUMPRODUCT(($D$66:$D$82=$AL$8)*($E$66:$E$82=AL$9)*$S$66:$S$82)</f>
        <v>315</v>
      </c>
      <c r="AM13" s="117">
        <f>SUMPRODUCT(($D$66:$D$82=$AL$8)*($E$66:$E$82=AM$9)*$S$66:$S$82)</f>
        <v>1570</v>
      </c>
      <c r="AN13" s="117">
        <f>SUMPRODUCT(($D$66:$D$82=$AL$8)*($E$66:$E$82=AN$9)*$S$66:$S$82)</f>
        <v>550</v>
      </c>
      <c r="AO13" s="117">
        <f>SUMPRODUCT(($D$66:$D$82=$AL$8)*($E$66:$E$82=AO$9)*$S$66:$S$82)</f>
        <v>250</v>
      </c>
      <c r="AP13" s="118">
        <f>SUMPRODUCT(($D$66:$D$82=$AL$8)*($E$66:$E$82=AP$9)*$S$66:$S$82)</f>
        <v>0</v>
      </c>
      <c r="AQ13" s="116">
        <f>SUMPRODUCT(($D$66:$D$82=$AQ$8)*($E$66:$E$82=AQ$9)*$S$66:$S$82)</f>
        <v>11973</v>
      </c>
      <c r="AR13" s="117">
        <f>SUMPRODUCT(($D$66:$D$82=$AQ$8)*($E$66:$E$82=AR$9)*$S$66:$S$82)</f>
        <v>0</v>
      </c>
      <c r="AS13" s="117">
        <f>SUMPRODUCT(($D$66:$D$82=$AQ$8)*($E$66:$E$82=AS$9)*$S$66:$S$82)</f>
        <v>34964</v>
      </c>
      <c r="AT13" s="117">
        <f>SUMPRODUCT(($D$66:$D$82=$AQ$8)*($E$66:$E$82=AT$9)*$S$66:$S$82)</f>
        <v>1864</v>
      </c>
      <c r="AU13" s="118">
        <f>SUMPRODUCT(($D$66:$D$82=$AQ$8)*($E$66:$E$82=AU$9)*$S$66:$S$82)</f>
        <v>5067</v>
      </c>
      <c r="AV13" s="172">
        <f t="shared" si="7"/>
        <v>130290</v>
      </c>
    </row>
    <row r="14" spans="1:48" ht="15" customHeight="1" x14ac:dyDescent="0.25">
      <c r="C14" s="275"/>
      <c r="D14" s="95" t="s">
        <v>151</v>
      </c>
      <c r="E14" s="95" t="s">
        <v>234</v>
      </c>
      <c r="F14" s="79">
        <f>529+80+400+4617+300+225+883+999+1200+249+200+300</f>
        <v>9982</v>
      </c>
      <c r="G14" s="78"/>
      <c r="H14" s="78">
        <f>2441+36+0+100+225+99</f>
        <v>2901</v>
      </c>
      <c r="I14" s="79">
        <f>534+145+532</f>
        <v>1211</v>
      </c>
      <c r="J14" s="78"/>
      <c r="K14" s="79"/>
      <c r="L14" s="79"/>
      <c r="M14" s="79"/>
      <c r="N14" s="79"/>
      <c r="O14" s="79"/>
      <c r="P14" s="79"/>
      <c r="Q14" s="79"/>
      <c r="R14" s="79"/>
      <c r="S14" s="80">
        <f>SUM(F14:R14)</f>
        <v>14094</v>
      </c>
      <c r="T14" s="278"/>
      <c r="V14" s="90">
        <f>C85</f>
        <v>202205</v>
      </c>
      <c r="W14" s="52">
        <f>T85</f>
        <v>72461</v>
      </c>
      <c r="X14" s="52">
        <f>T92</f>
        <v>4397</v>
      </c>
      <c r="Y14" s="52">
        <f>T97</f>
        <v>68511</v>
      </c>
      <c r="Z14" s="52">
        <f t="shared" si="5"/>
        <v>145369</v>
      </c>
      <c r="AD14" s="190">
        <v>202205</v>
      </c>
      <c r="AE14" s="116">
        <f>SUMPRODUCT(($D$85:$D$101=$AE$8)*($E$85:$E$101=AE$9)*$S$85:$S$101)</f>
        <v>13884</v>
      </c>
      <c r="AF14" s="117">
        <f t="shared" ref="AF14:AK14" si="10">SUMPRODUCT(($D$85:$D$101=$AE$8)*($E$85:$E$101=AF$9)*$S$85:$S$101)</f>
        <v>2988</v>
      </c>
      <c r="AG14" s="117">
        <f t="shared" si="10"/>
        <v>28572</v>
      </c>
      <c r="AH14" s="117">
        <f t="shared" si="10"/>
        <v>0</v>
      </c>
      <c r="AI14" s="117">
        <f t="shared" si="10"/>
        <v>0</v>
      </c>
      <c r="AJ14" s="117">
        <f t="shared" si="10"/>
        <v>9017</v>
      </c>
      <c r="AK14" s="118">
        <f t="shared" si="10"/>
        <v>18000</v>
      </c>
      <c r="AL14" s="116">
        <f>SUMPRODUCT(($D$85:$D$101=$AL$8)*($E$85:$E$101=AL$9)*$S$85:$S$101)</f>
        <v>0</v>
      </c>
      <c r="AM14" s="117">
        <f>SUMPRODUCT(($D$85:$D$101=$AL$8)*($E$85:$E$101=AM$9)*$S$85:$S$101)</f>
        <v>3460</v>
      </c>
      <c r="AN14" s="117">
        <f>SUMPRODUCT(($D$85:$D$101=$AL$8)*($E$85:$E$101=AN$9)*$S$85:$S$101)</f>
        <v>0</v>
      </c>
      <c r="AO14" s="117">
        <f>SUMPRODUCT(($D$85:$D$101=$AL$8)*($E$85:$E$101=AO$9)*$S$85:$S$101)</f>
        <v>937</v>
      </c>
      <c r="AP14" s="118">
        <f>SUMPRODUCT(($D$85:$D$101=$AL$8)*($E$85:$E$101=AP$9)*$S$85:$S$101)</f>
        <v>0</v>
      </c>
      <c r="AQ14" s="116">
        <f>SUMPRODUCT(($D$85:$D$101=$AQ$8)*($E$85:$E$101=AQ$9)*$S$85:$S$101)</f>
        <v>0</v>
      </c>
      <c r="AR14" s="117">
        <f>SUMPRODUCT(($D$85:$D$101=$AQ$8)*($E$85:$E$101=AR$9)*$S$85:$S$101)</f>
        <v>2130</v>
      </c>
      <c r="AS14" s="117">
        <f>SUMPRODUCT(($D$85:$D$101=$AQ$8)*($E$85:$E$101=AS$9)*$S$85:$S$101)</f>
        <v>57578</v>
      </c>
      <c r="AT14" s="117">
        <f>SUMPRODUCT(($D$85:$D$101=$AQ$8)*($E$85:$E$101=AT$9)*$S$85:$S$101)</f>
        <v>0</v>
      </c>
      <c r="AU14" s="118">
        <f>SUMPRODUCT(($D$85:$D$101=$AQ$8)*($E$85:$E$101=AU$9)*$S$85:$S$101)</f>
        <v>8803</v>
      </c>
      <c r="AV14" s="172">
        <f t="shared" si="7"/>
        <v>145369</v>
      </c>
    </row>
    <row r="15" spans="1:48" ht="15" customHeight="1" x14ac:dyDescent="0.25">
      <c r="C15" s="275"/>
      <c r="D15" s="95" t="s">
        <v>151</v>
      </c>
      <c r="E15" s="95" t="s">
        <v>169</v>
      </c>
      <c r="F15" s="78">
        <f>11500+4875+5000</f>
        <v>21375</v>
      </c>
      <c r="G15" s="78"/>
      <c r="H15" s="78">
        <v>1810</v>
      </c>
      <c r="I15" s="79"/>
      <c r="J15" s="78"/>
      <c r="K15" s="79"/>
      <c r="L15" s="79"/>
      <c r="M15" s="79"/>
      <c r="N15" s="79"/>
      <c r="O15" s="79"/>
      <c r="P15" s="79"/>
      <c r="Q15" s="79"/>
      <c r="R15" s="79"/>
      <c r="S15" s="80">
        <f>SUM(F15:R15)</f>
        <v>23185</v>
      </c>
      <c r="T15" s="278"/>
      <c r="V15" s="90">
        <f>C104</f>
        <v>202206</v>
      </c>
      <c r="W15" s="52">
        <f>T104</f>
        <v>103782</v>
      </c>
      <c r="X15" s="52">
        <f>T111</f>
        <v>16479</v>
      </c>
      <c r="Y15" s="52">
        <f>T116</f>
        <v>75658</v>
      </c>
      <c r="Z15" s="52">
        <f t="shared" si="5"/>
        <v>195919</v>
      </c>
      <c r="AD15" s="190">
        <v>202206</v>
      </c>
      <c r="AE15" s="116">
        <f>SUMPRODUCT(($D$104:$D$120=$AE$8)*($E$104:$E$120=AE$9)*$S$104:$S$120)</f>
        <v>13137</v>
      </c>
      <c r="AF15" s="117">
        <f t="shared" ref="AF15:AK15" si="11">SUMPRODUCT(($D$104:$D$120=$AE$8)*($E$104:$E$120=AF$9)*$S$104:$S$120)</f>
        <v>3138</v>
      </c>
      <c r="AG15" s="117">
        <f t="shared" si="11"/>
        <v>21202</v>
      </c>
      <c r="AH15" s="117">
        <f t="shared" si="11"/>
        <v>0</v>
      </c>
      <c r="AI15" s="117">
        <f t="shared" si="11"/>
        <v>1190</v>
      </c>
      <c r="AJ15" s="117">
        <f t="shared" si="11"/>
        <v>3722</v>
      </c>
      <c r="AK15" s="118">
        <f t="shared" si="11"/>
        <v>61393</v>
      </c>
      <c r="AL15" s="116">
        <f>SUMPRODUCT(($D$104:$D$120=$AL$8)*($E$104:$E$120=AL$9)*$S$104:$S$120)</f>
        <v>4800</v>
      </c>
      <c r="AM15" s="117">
        <f>SUMPRODUCT(($D$104:$D$120=$AL$8)*($E$104:$E$120=AM$9)*$S$104:$S$120)</f>
        <v>11054</v>
      </c>
      <c r="AN15" s="117">
        <f>SUMPRODUCT(($D$104:$D$120=$AL$8)*($E$104:$E$120=AN$9)*$S$104:$S$120)</f>
        <v>625</v>
      </c>
      <c r="AO15" s="117">
        <f>SUMPRODUCT(($D$104:$D$120=$AL$8)*($E$104:$E$120=AO$9)*$S$104:$S$120)</f>
        <v>0</v>
      </c>
      <c r="AP15" s="118">
        <f>SUMPRODUCT(($D$104:$D$120=$AL$8)*($E$104:$E$120=AP$9)*$S$104:$S$120)</f>
        <v>0</v>
      </c>
      <c r="AQ15" s="116">
        <f>SUMPRODUCT(($D$104:$D$120=$AQ$8)*($E$104:$E$120=AQ$9)*$S$104:$S$120)</f>
        <v>37780</v>
      </c>
      <c r="AR15" s="117">
        <f>SUMPRODUCT(($D$104:$D$120=$AQ$8)*($E$104:$E$120=AR$9)*$S$104:$S$120)</f>
        <v>0</v>
      </c>
      <c r="AS15" s="117">
        <f>SUMPRODUCT(($D$104:$D$120=$AQ$8)*($E$104:$E$120=AS$9)*$S$104:$S$120)</f>
        <v>27778</v>
      </c>
      <c r="AT15" s="117">
        <f>SUMPRODUCT(($D$104:$D$120=$AQ$8)*($E$104:$E$120=AT$9)*$S$104:$S$120)</f>
        <v>0</v>
      </c>
      <c r="AU15" s="118">
        <f>SUMPRODUCT(($D$104:$D$120=$AQ$8)*($E$104:$E$120=AU$9)*$S$104:$S$120)</f>
        <v>10100</v>
      </c>
      <c r="AV15" s="172">
        <f t="shared" si="7"/>
        <v>195919</v>
      </c>
    </row>
    <row r="16" spans="1:48" ht="15" customHeight="1" x14ac:dyDescent="0.25">
      <c r="A16" s="90"/>
      <c r="B16" s="69"/>
      <c r="C16" s="275"/>
      <c r="D16" s="97" t="s">
        <v>152</v>
      </c>
      <c r="E16" s="97" t="s">
        <v>144</v>
      </c>
      <c r="F16" s="85">
        <f>446+400+1880</f>
        <v>2726</v>
      </c>
      <c r="G16" s="85">
        <v>2022</v>
      </c>
      <c r="H16" s="85">
        <f>990</f>
        <v>990</v>
      </c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83">
        <f t="shared" si="4"/>
        <v>5738</v>
      </c>
      <c r="T16" s="280">
        <f>SUM(S16:S20)</f>
        <v>16910</v>
      </c>
      <c r="V16" s="90">
        <f>C123</f>
        <v>202207</v>
      </c>
      <c r="W16" s="52">
        <f>T123</f>
        <v>92502</v>
      </c>
      <c r="X16" s="52">
        <f>T130</f>
        <v>27978</v>
      </c>
      <c r="Y16" s="52">
        <f>T135</f>
        <v>37260</v>
      </c>
      <c r="Z16" s="52">
        <f t="shared" si="5"/>
        <v>157740</v>
      </c>
      <c r="AD16" s="190">
        <v>202207</v>
      </c>
      <c r="AE16" s="116">
        <f>SUMPRODUCT(($D$123:$D$139=$AE$8)*($E$123:$E$139=AE$9)*$S$123:$S$139)</f>
        <v>12750</v>
      </c>
      <c r="AF16" s="117">
        <f t="shared" ref="AF16:AK16" si="12">SUMPRODUCT(($D$123:$D$139=$AE$8)*($E$123:$E$139=AF$9)*$S$123:$S$139)</f>
        <v>3784</v>
      </c>
      <c r="AG16" s="117">
        <f t="shared" si="12"/>
        <v>35800</v>
      </c>
      <c r="AH16" s="117">
        <f t="shared" si="12"/>
        <v>0</v>
      </c>
      <c r="AI16" s="117">
        <f t="shared" si="12"/>
        <v>0</v>
      </c>
      <c r="AJ16" s="117">
        <f t="shared" si="12"/>
        <v>12830</v>
      </c>
      <c r="AK16" s="118">
        <f t="shared" si="12"/>
        <v>27338</v>
      </c>
      <c r="AL16" s="116">
        <f>SUMPRODUCT(($D$123:$D$139=$AL$8)*($E$123:$E$139=AL$9)*$S$123:$S$139)</f>
        <v>18069</v>
      </c>
      <c r="AM16" s="117">
        <f>SUMPRODUCT(($D$123:$D$139=$AL$8)*($E$123:$E$139=AM$9)*$S$123:$S$139)</f>
        <v>8500</v>
      </c>
      <c r="AN16" s="117">
        <f>SUMPRODUCT(($D$123:$D$139=$AL$8)*($E$123:$E$139=AN$9)*$S$123:$S$139)</f>
        <v>875</v>
      </c>
      <c r="AO16" s="117">
        <f>SUMPRODUCT(($D$123:$D$139=$AL$8)*($E$123:$E$139=AO$9)*$S$123:$S$139)</f>
        <v>534</v>
      </c>
      <c r="AP16" s="118">
        <f>SUMPRODUCT(($D$123:$D$139=$AL$8)*($E$123:$E$139=AP$9)*$S$123:$S$139)</f>
        <v>0</v>
      </c>
      <c r="AQ16" s="116">
        <f>SUMPRODUCT(($D$123:$D$139=$AQ$8)*($E$123:$E$139=AQ$9)*$S$123:$S$139)</f>
        <v>669</v>
      </c>
      <c r="AR16" s="117">
        <f>SUMPRODUCT(($D$123:$D$139=$AQ$8)*($E$123:$E$139=AR$9)*$S$123:$S$139)</f>
        <v>0</v>
      </c>
      <c r="AS16" s="117">
        <f>SUMPRODUCT(($D$123:$D$139=$AQ$8)*($E$123:$E$139=AS$9)*$S$123:$S$139)</f>
        <v>34401</v>
      </c>
      <c r="AT16" s="117">
        <f>SUMPRODUCT(($D$123:$D$139=$AQ$8)*($E$123:$E$139=AT$9)*$S$123:$S$139)</f>
        <v>0</v>
      </c>
      <c r="AU16" s="118">
        <f>SUMPRODUCT(($D$123:$D$139=$AQ$8)*($E$123:$E$139=AU$9)*$S$123:$S$139)</f>
        <v>2190</v>
      </c>
      <c r="AV16" s="172">
        <f t="shared" si="7"/>
        <v>157740</v>
      </c>
    </row>
    <row r="17" spans="2:48" ht="15" customHeight="1" x14ac:dyDescent="0.25">
      <c r="C17" s="275"/>
      <c r="D17" s="97" t="s">
        <v>152</v>
      </c>
      <c r="E17" s="97" t="s">
        <v>145</v>
      </c>
      <c r="F17" s="85">
        <f>446+1090</f>
        <v>1536</v>
      </c>
      <c r="G17" s="46"/>
      <c r="H17" s="85">
        <v>840</v>
      </c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83">
        <f t="shared" si="4"/>
        <v>2376</v>
      </c>
      <c r="T17" s="281"/>
      <c r="V17" s="90">
        <f>C142</f>
        <v>202208</v>
      </c>
      <c r="W17" s="52">
        <f>T142</f>
        <v>107618</v>
      </c>
      <c r="X17" s="52">
        <f>T149</f>
        <v>5477</v>
      </c>
      <c r="Y17" s="52">
        <f>T154</f>
        <v>38795</v>
      </c>
      <c r="Z17" s="52">
        <f t="shared" si="5"/>
        <v>151890</v>
      </c>
      <c r="AD17" s="190">
        <v>202208</v>
      </c>
      <c r="AE17" s="116">
        <f>SUMPRODUCT(($D$142:$D$158=$AE$8)*($E$142:$E$158=AE$9)*$S$142:$S$158)</f>
        <v>21775</v>
      </c>
      <c r="AF17" s="117">
        <f t="shared" ref="AF17:AK17" si="13">SUMPRODUCT(($D$142:$D$158=$AE$8)*($E$142:$E$158=AF$9)*$S$142:$S$158)</f>
        <v>3323</v>
      </c>
      <c r="AG17" s="117">
        <f t="shared" si="13"/>
        <v>27730</v>
      </c>
      <c r="AH17" s="117">
        <f t="shared" si="13"/>
        <v>0</v>
      </c>
      <c r="AI17" s="117">
        <f t="shared" si="13"/>
        <v>0</v>
      </c>
      <c r="AJ17" s="117">
        <f t="shared" si="13"/>
        <v>461</v>
      </c>
      <c r="AK17" s="118">
        <f t="shared" si="13"/>
        <v>54329</v>
      </c>
      <c r="AL17" s="116">
        <f>SUMPRODUCT(($D$142:$D$158=$AL$8)*($E$142:$E$158=AL$9)*$S$142:$S$158)</f>
        <v>977</v>
      </c>
      <c r="AM17" s="117">
        <f>SUMPRODUCT(($D$142:$D$158=$AL$8)*($E$142:$E$158=AM$9)*$S$142:$S$158)</f>
        <v>412</v>
      </c>
      <c r="AN17" s="117">
        <f>SUMPRODUCT(($D$142:$D$158=$AL$8)*($E$142:$E$158=AN$9)*$S$142:$S$158)</f>
        <v>1439</v>
      </c>
      <c r="AO17" s="117">
        <f>SUMPRODUCT(($D$142:$D$158=$AL$8)*($E$142:$E$158=AO$9)*$S$142:$S$158)</f>
        <v>2049</v>
      </c>
      <c r="AP17" s="118">
        <f>SUMPRODUCT(($D$142:$D$158=$AL$8)*($E$142:$E$158=AP$9)*$S$142:$S$158)</f>
        <v>600</v>
      </c>
      <c r="AQ17" s="116">
        <f>SUMPRODUCT(($D$142:$D$158=$AQ$8)*($E$142:$E$158=AQ$9)*$S$142:$S$158)</f>
        <v>7051</v>
      </c>
      <c r="AR17" s="117">
        <f>SUMPRODUCT(($D$142:$D$158=$AQ$8)*($E$142:$E$158=AR$9)*$S$142:$S$158)</f>
        <v>0</v>
      </c>
      <c r="AS17" s="117">
        <f>SUMPRODUCT(($D$142:$D$158=$AQ$8)*($E$142:$E$158=AS$9)*$S$142:$S$158)</f>
        <v>27778</v>
      </c>
      <c r="AT17" s="117">
        <f>SUMPRODUCT(($D$142:$D$158=$AQ$8)*($E$142:$E$158=AT$9)*$S$142:$S$158)</f>
        <v>2236</v>
      </c>
      <c r="AU17" s="118">
        <f>SUMPRODUCT(($D$142:$D$158=$AQ$8)*($E$142:$E$158=AU$9)*$S$142:$S$158)</f>
        <v>1730</v>
      </c>
      <c r="AV17" s="172">
        <f t="shared" si="7"/>
        <v>151890</v>
      </c>
    </row>
    <row r="18" spans="2:48" ht="15" customHeight="1" x14ac:dyDescent="0.25">
      <c r="C18" s="275"/>
      <c r="D18" s="97" t="s">
        <v>152</v>
      </c>
      <c r="E18" s="97" t="s">
        <v>146</v>
      </c>
      <c r="F18" s="86">
        <v>75</v>
      </c>
      <c r="G18" s="46"/>
      <c r="H18" s="87">
        <f>246+300</f>
        <v>546</v>
      </c>
      <c r="I18" s="87">
        <v>499</v>
      </c>
      <c r="J18" s="46"/>
      <c r="K18" s="46"/>
      <c r="L18" s="46"/>
      <c r="M18" s="46"/>
      <c r="N18" s="46"/>
      <c r="O18" s="46"/>
      <c r="P18" s="46"/>
      <c r="Q18" s="46"/>
      <c r="R18" s="46"/>
      <c r="S18" s="83">
        <f t="shared" si="4"/>
        <v>1120</v>
      </c>
      <c r="T18" s="281"/>
      <c r="V18" s="90">
        <f>C161</f>
        <v>202209</v>
      </c>
      <c r="W18" s="52">
        <f>T161</f>
        <v>109508</v>
      </c>
      <c r="X18" s="52">
        <f>T168</f>
        <v>6062</v>
      </c>
      <c r="Y18" s="52">
        <f>T173</f>
        <v>84963</v>
      </c>
      <c r="Z18" s="52">
        <f t="shared" si="5"/>
        <v>200533</v>
      </c>
      <c r="AD18" s="190">
        <v>202209</v>
      </c>
      <c r="AE18" s="110">
        <f t="shared" ref="AE18:AK18" si="14">SUMPRODUCT(($D$161:$D$177=$AE$8)*($E$161:$E$177=AE$9)*$S$161:$S$177)</f>
        <v>14122</v>
      </c>
      <c r="AF18" s="111">
        <f t="shared" si="14"/>
        <v>2769</v>
      </c>
      <c r="AG18" s="111">
        <f t="shared" si="14"/>
        <v>24908</v>
      </c>
      <c r="AH18" s="111">
        <f t="shared" si="14"/>
        <v>0</v>
      </c>
      <c r="AI18" s="111">
        <f t="shared" si="14"/>
        <v>0</v>
      </c>
      <c r="AJ18" s="111">
        <f t="shared" si="14"/>
        <v>3524</v>
      </c>
      <c r="AK18" s="112">
        <f t="shared" si="14"/>
        <v>64185</v>
      </c>
      <c r="AL18" s="110">
        <f>SUMPRODUCT(($D$161:$D$177=$AL$8)*($E$161:$E$177=AL$9)*$S$161:$S$177)</f>
        <v>870</v>
      </c>
      <c r="AM18" s="111">
        <f>SUMPRODUCT(($D$161:$D$177=$AL$8)*($E$161:$E$177=AM$9)*$S$161:$S$177)</f>
        <v>2988</v>
      </c>
      <c r="AN18" s="111">
        <f>SUMPRODUCT(($D$161:$D$177=$AL$8)*($E$161:$E$177=AN$9)*$S$161:$S$177)</f>
        <v>458</v>
      </c>
      <c r="AO18" s="111">
        <f>SUMPRODUCT(($D$161:$D$177=$AL$8)*($E$161:$E$177=AO$9)*$S$161:$S$177)</f>
        <v>1746</v>
      </c>
      <c r="AP18" s="112">
        <f>SUMPRODUCT(($D$161:$D$177=$AL$8)*($E$161:$E$177=AP$9)*$S$161:$S$177)</f>
        <v>0</v>
      </c>
      <c r="AQ18" s="110">
        <f>SUMPRODUCT(($D$161:$D$177=$AQ$8)*($E$161:$E$177=AQ$9)*$S$161:$S$177)</f>
        <v>11706</v>
      </c>
      <c r="AR18" s="111">
        <f>SUMPRODUCT(($D$161:$D$177=$AQ$8)*($E$161:$E$177=AR$9)*$S$161:$S$177)</f>
        <v>0</v>
      </c>
      <c r="AS18" s="111">
        <f>SUMPRODUCT(($D$161:$D$177=$AQ$8)*($E$161:$E$177=AS$9)*$S$161:$S$177)</f>
        <v>27778</v>
      </c>
      <c r="AT18" s="111">
        <f>SUMPRODUCT(($D$161:$D$177=$AQ$8)*($E$161:$E$177=AT$9)*$S$161:$S$177)</f>
        <v>24729</v>
      </c>
      <c r="AU18" s="112">
        <f>SUMPRODUCT(($D$161:$D$177=$AQ$8)*($E$161:$E$177=AU$9)*$S$161:$S$177)</f>
        <v>20750</v>
      </c>
      <c r="AV18" s="172">
        <f t="shared" si="7"/>
        <v>200533</v>
      </c>
    </row>
    <row r="19" spans="2:48" ht="15" customHeight="1" x14ac:dyDescent="0.25">
      <c r="C19" s="275"/>
      <c r="D19" s="97" t="s">
        <v>152</v>
      </c>
      <c r="E19" s="97" t="s">
        <v>147</v>
      </c>
      <c r="F19" s="86">
        <f>75+10</f>
        <v>85</v>
      </c>
      <c r="G19" s="46"/>
      <c r="H19" s="87">
        <f>246</f>
        <v>246</v>
      </c>
      <c r="I19" s="87">
        <v>499</v>
      </c>
      <c r="J19" s="46"/>
      <c r="K19" s="46"/>
      <c r="L19" s="46"/>
      <c r="M19" s="46"/>
      <c r="N19" s="46"/>
      <c r="O19" s="46"/>
      <c r="P19" s="46"/>
      <c r="Q19" s="46"/>
      <c r="R19" s="46"/>
      <c r="S19" s="83">
        <f t="shared" si="4"/>
        <v>830</v>
      </c>
      <c r="T19" s="281"/>
      <c r="V19" s="90">
        <f>C180</f>
        <v>202210</v>
      </c>
      <c r="W19" s="52">
        <f>T180</f>
        <v>61882</v>
      </c>
      <c r="X19" s="52">
        <f>T187</f>
        <v>37355</v>
      </c>
      <c r="Y19" s="52">
        <f>T192</f>
        <v>42192</v>
      </c>
      <c r="Z19" s="52">
        <f t="shared" si="5"/>
        <v>141429</v>
      </c>
      <c r="AD19" s="190">
        <v>202210</v>
      </c>
      <c r="AE19" s="110">
        <f t="shared" ref="AE19:AK19" si="15">SUMPRODUCT(($D$180:$D$196=$AE$8)*($E$180:$E$196=AE$9)*$S$180:$S$196)</f>
        <v>13348</v>
      </c>
      <c r="AF19" s="111">
        <f t="shared" si="15"/>
        <v>3016</v>
      </c>
      <c r="AG19" s="111">
        <f t="shared" si="15"/>
        <v>24318</v>
      </c>
      <c r="AH19" s="111">
        <f t="shared" si="15"/>
        <v>0</v>
      </c>
      <c r="AI19" s="111">
        <f t="shared" si="15"/>
        <v>0</v>
      </c>
      <c r="AJ19" s="111">
        <f t="shared" si="15"/>
        <v>1198</v>
      </c>
      <c r="AK19" s="112">
        <f t="shared" si="15"/>
        <v>20002</v>
      </c>
      <c r="AL19" s="110">
        <f>SUMPRODUCT(($D$180:$D$196=$AL$8)*($E$180:$E$196=AL$9)*$S$180:$S$196)</f>
        <v>17995</v>
      </c>
      <c r="AM19" s="111">
        <f>SUMPRODUCT(($D$180:$D$196=$AL$8)*($E$180:$E$196=AM$9)*$S$180:$S$196)</f>
        <v>15400</v>
      </c>
      <c r="AN19" s="111">
        <f>SUMPRODUCT(($D$180:$D$196=$AL$8)*($E$180:$E$196=AN$9)*$S$180:$S$196)</f>
        <v>1980</v>
      </c>
      <c r="AO19" s="111">
        <f>SUMPRODUCT(($D$180:$D$196=$AL$8)*($E$180:$E$196=AO$9)*$S$180:$S$196)</f>
        <v>1980</v>
      </c>
      <c r="AP19" s="112">
        <f>SUMPRODUCT(($D$180:$D$196=$AL$8)*($E$180:$E$196=AP$9)*$S$180:$S$196)</f>
        <v>0</v>
      </c>
      <c r="AQ19" s="110">
        <f>SUMPRODUCT(($D$180:$D$196=$AQ$8)*($E$180:$E$196=AQ$9)*$S$180:$S$196)</f>
        <v>5020</v>
      </c>
      <c r="AR19" s="111">
        <f>SUMPRODUCT(($D$180:$D$196=$AQ$8)*($E$180:$E$196=AR$9)*$S$180:$S$196)</f>
        <v>2283</v>
      </c>
      <c r="AS19" s="111">
        <f>SUMPRODUCT(($D$180:$D$196=$AQ$8)*($E$180:$E$196=AS$9)*$S$180:$S$196)</f>
        <v>27778</v>
      </c>
      <c r="AT19" s="111">
        <f>SUMPRODUCT(($D$180:$D$196=$AQ$8)*($E$180:$E$196=AT$9)*$S$180:$S$196)</f>
        <v>4592</v>
      </c>
      <c r="AU19" s="112">
        <f>SUMPRODUCT(($D$180:$D$196=$AQ$8)*($E$180:$E$196=AU$9)*$S$180:$S$196)</f>
        <v>2519</v>
      </c>
      <c r="AV19" s="172">
        <f t="shared" si="7"/>
        <v>141429</v>
      </c>
    </row>
    <row r="20" spans="2:48" ht="15" customHeight="1" x14ac:dyDescent="0.25">
      <c r="C20" s="275"/>
      <c r="D20" s="97" t="s">
        <v>152</v>
      </c>
      <c r="E20" s="97" t="s">
        <v>168</v>
      </c>
      <c r="F20" s="85">
        <f>1490+1900+40</f>
        <v>3430</v>
      </c>
      <c r="G20" s="85"/>
      <c r="H20" s="87">
        <f>0+78</f>
        <v>78</v>
      </c>
      <c r="I20" s="87">
        <f>299+30</f>
        <v>329</v>
      </c>
      <c r="J20" s="46"/>
      <c r="K20" s="46"/>
      <c r="L20" s="46"/>
      <c r="M20" s="46"/>
      <c r="N20" s="46"/>
      <c r="O20" s="46"/>
      <c r="P20" s="46"/>
      <c r="Q20" s="86">
        <f>740+1990+279</f>
        <v>3009</v>
      </c>
      <c r="R20" s="46"/>
      <c r="S20" s="83">
        <f t="shared" si="4"/>
        <v>6846</v>
      </c>
      <c r="T20" s="281"/>
      <c r="V20" s="90">
        <f>C199</f>
        <v>202211</v>
      </c>
      <c r="W20" s="52">
        <f>T199</f>
        <v>58832</v>
      </c>
      <c r="X20" s="52">
        <f>T206</f>
        <v>13608</v>
      </c>
      <c r="Y20" s="52">
        <f>T211</f>
        <v>62317</v>
      </c>
      <c r="Z20" s="52">
        <f t="shared" si="5"/>
        <v>134757</v>
      </c>
      <c r="AD20" s="190">
        <v>202211</v>
      </c>
      <c r="AE20" s="110">
        <f>SUMPRODUCT(($D$199:$D$215=$AE$8)*($E$199:$E$215=AE$9)*$S$199:$S$215)</f>
        <v>13741</v>
      </c>
      <c r="AF20" s="111">
        <f t="shared" ref="AF20:AK20" si="16">SUMPRODUCT(($D$199:$D$215=$AE$8)*($E$199:$E$215=AF$9)*$S$199:$S$215)</f>
        <v>3269</v>
      </c>
      <c r="AG20" s="111">
        <f t="shared" si="16"/>
        <v>20024</v>
      </c>
      <c r="AH20" s="111">
        <f t="shared" si="16"/>
        <v>0</v>
      </c>
      <c r="AI20" s="111">
        <f t="shared" si="16"/>
        <v>0</v>
      </c>
      <c r="AJ20" s="111">
        <f t="shared" si="16"/>
        <v>829</v>
      </c>
      <c r="AK20" s="112">
        <f t="shared" si="16"/>
        <v>20969</v>
      </c>
      <c r="AL20" s="110">
        <f>SUMPRODUCT(($D$199:$D$215=$AL$8)*($E$199:$E$215=AL$9)*$S$199:$S$215)</f>
        <v>4759</v>
      </c>
      <c r="AM20" s="111">
        <f>SUMPRODUCT(($D$199:$D$215=$AL$8)*($E$199:$E$215=AM$9)*$S$199:$S$215)</f>
        <v>5750</v>
      </c>
      <c r="AN20" s="111">
        <f>SUMPRODUCT(($D$199:$D$215=$AL$8)*($E$199:$E$215=AN$9)*$S$199:$S$215)</f>
        <v>1987</v>
      </c>
      <c r="AO20" s="111">
        <f>SUMPRODUCT(($D$199:$D$215=$AL$8)*($E$199:$E$215=AO$9)*$S$199:$S$215)</f>
        <v>789</v>
      </c>
      <c r="AP20" s="112">
        <f>SUMPRODUCT(($D$199:$D$215=$AL$8)*($E$199:$E$215=AP$9)*$S$199:$S$215)</f>
        <v>323</v>
      </c>
      <c r="AQ20" s="110">
        <f>SUMPRODUCT(($D$199:$D$215=$AQ$8)*($E$199:$E$215=AQ$9)*$S$199:$S$215)</f>
        <v>21232</v>
      </c>
      <c r="AR20" s="111">
        <f>SUMPRODUCT(($D$199:$D$215=$AQ$8)*($E$199:$E$215=AR$9)*$S$199:$S$215)</f>
        <v>3013</v>
      </c>
      <c r="AS20" s="111">
        <f>SUMPRODUCT(($D$199:$D$215=$AQ$8)*($E$199:$E$215=AS$9)*$S$199:$S$215)</f>
        <v>29753</v>
      </c>
      <c r="AT20" s="111">
        <f>SUMPRODUCT(($D$199:$D$215=$AQ$8)*($E$199:$E$215=AT$9)*$S$199:$S$215)</f>
        <v>0</v>
      </c>
      <c r="AU20" s="112">
        <f>SUMPRODUCT(($D$199:$D$215=$AQ$8)*($E$199:$E$215=AU$9)*$S$199:$S$215)</f>
        <v>8319</v>
      </c>
      <c r="AV20" s="172">
        <f t="shared" si="7"/>
        <v>134757</v>
      </c>
    </row>
    <row r="21" spans="2:48" ht="15" customHeight="1" thickBot="1" x14ac:dyDescent="0.3">
      <c r="C21" s="275"/>
      <c r="D21" s="98" t="s">
        <v>153</v>
      </c>
      <c r="E21" s="98" t="s">
        <v>170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2">
        <f t="shared" si="4"/>
        <v>0</v>
      </c>
      <c r="T21" s="282">
        <f>SUM(S21:S25)</f>
        <v>49139</v>
      </c>
      <c r="V21" s="90">
        <f>C218</f>
        <v>202212</v>
      </c>
      <c r="W21" s="52">
        <f>T218</f>
        <v>93862</v>
      </c>
      <c r="X21" s="52">
        <f>T225</f>
        <v>30324</v>
      </c>
      <c r="Y21" s="52">
        <f>T230</f>
        <v>58252</v>
      </c>
      <c r="Z21" s="52">
        <f t="shared" si="5"/>
        <v>182438</v>
      </c>
      <c r="AD21" s="190">
        <v>202212</v>
      </c>
      <c r="AE21" s="113">
        <f>SUMPRODUCT(($D$218:$D$234=$AE$8)*($E$218:$E$234=AE$9)*$S$218:$S$234)</f>
        <v>19533</v>
      </c>
      <c r="AF21" s="114">
        <f t="shared" ref="AF21:AK21" si="17">SUMPRODUCT(($D$218:$D$234=$AE$8)*($E$218:$E$234=AF$9)*$S$218:$S$234)</f>
        <v>4461</v>
      </c>
      <c r="AG21" s="114">
        <f t="shared" si="17"/>
        <v>25197</v>
      </c>
      <c r="AH21" s="114">
        <f t="shared" si="17"/>
        <v>0</v>
      </c>
      <c r="AI21" s="114">
        <f t="shared" si="17"/>
        <v>0</v>
      </c>
      <c r="AJ21" s="114">
        <f t="shared" si="17"/>
        <v>4121</v>
      </c>
      <c r="AK21" s="115">
        <f t="shared" si="17"/>
        <v>40550</v>
      </c>
      <c r="AL21" s="113">
        <f>SUMPRODUCT(($D$218:$D$234=$AL$8)*($E$218:$E$234=AL$9)*$S$218:$S$234)</f>
        <v>19407</v>
      </c>
      <c r="AM21" s="114">
        <f>SUMPRODUCT(($D$218:$D$234=$AL$8)*($E$218:$E$234=AM$9)*$S$218:$S$234)</f>
        <v>4152</v>
      </c>
      <c r="AN21" s="114">
        <f>SUMPRODUCT(($D$218:$D$234=$AL$8)*($E$218:$E$234=AN$9)*$S$218:$S$234)</f>
        <v>1664</v>
      </c>
      <c r="AO21" s="114">
        <f>SUMPRODUCT(($D$218:$D$234=$AL$8)*($E$218:$E$234=AO$9)*$S$218:$S$234)</f>
        <v>1771</v>
      </c>
      <c r="AP21" s="115">
        <f>SUMPRODUCT(($D$218:$D$234=$AL$8)*($E$218:$E$234=AP$9)*$S$218:$S$234)</f>
        <v>3330</v>
      </c>
      <c r="AQ21" s="113">
        <f>SUMPRODUCT(($D$218:$D$234=$AQ$8)*($E$218:$E$234=AQ$9)*$S$218:$S$234)</f>
        <v>4464</v>
      </c>
      <c r="AR21" s="114">
        <f>SUMPRODUCT(($D$218:$D$234=$AQ$8)*($E$218:$E$234=AR$9)*$S$218:$S$234)</f>
        <v>450</v>
      </c>
      <c r="AS21" s="114">
        <f>SUMPRODUCT(($D$218:$D$234=$AQ$8)*($E$218:$E$234=AS$9)*$S$218:$S$234)</f>
        <v>40509</v>
      </c>
      <c r="AT21" s="114">
        <f>SUMPRODUCT(($D$218:$D$234=$AQ$8)*($E$218:$E$234=AT$9)*$S$218:$S$234)</f>
        <v>0</v>
      </c>
      <c r="AU21" s="115">
        <f>SUMPRODUCT(($D$218:$D$234=$AQ$8)*($E$218:$E$234=AU$9)*$S$218:$S$234)</f>
        <v>12829</v>
      </c>
      <c r="AV21" s="173">
        <f t="shared" si="7"/>
        <v>182438</v>
      </c>
    </row>
    <row r="22" spans="2:48" ht="15" customHeight="1" x14ac:dyDescent="0.25">
      <c r="C22" s="275"/>
      <c r="D22" s="99" t="s">
        <v>153</v>
      </c>
      <c r="E22" s="99" t="s">
        <v>171</v>
      </c>
      <c r="F22" s="82">
        <f>1361</f>
        <v>1361</v>
      </c>
      <c r="G22" s="82"/>
      <c r="H22" s="82">
        <v>585</v>
      </c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>
        <f t="shared" si="4"/>
        <v>1946</v>
      </c>
      <c r="T22" s="283"/>
      <c r="AD22" s="174"/>
      <c r="AF22" s="52"/>
    </row>
    <row r="23" spans="2:48" ht="15" customHeight="1" x14ac:dyDescent="0.25">
      <c r="C23" s="275"/>
      <c r="D23" s="99" t="s">
        <v>153</v>
      </c>
      <c r="E23" s="99" t="s">
        <v>172</v>
      </c>
      <c r="F23" s="82">
        <v>27778</v>
      </c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>
        <f t="shared" si="4"/>
        <v>27778</v>
      </c>
      <c r="T23" s="283"/>
      <c r="AF23" s="52"/>
    </row>
    <row r="24" spans="2:48" s="41" customFormat="1" ht="15" customHeight="1" x14ac:dyDescent="0.25">
      <c r="B24" s="45"/>
      <c r="C24" s="276"/>
      <c r="D24" s="99" t="s">
        <v>153</v>
      </c>
      <c r="E24" s="99" t="s">
        <v>173</v>
      </c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>
        <f t="shared" si="4"/>
        <v>0</v>
      </c>
      <c r="T24" s="283"/>
      <c r="AF24" s="52"/>
    </row>
    <row r="25" spans="2:48" ht="15.75" customHeight="1" thickBot="1" x14ac:dyDescent="0.3">
      <c r="C25" s="276"/>
      <c r="D25" s="100" t="s">
        <v>153</v>
      </c>
      <c r="E25" s="100" t="s">
        <v>168</v>
      </c>
      <c r="F25" s="48">
        <f>600</f>
        <v>600</v>
      </c>
      <c r="G25" s="48"/>
      <c r="H25" s="48"/>
      <c r="I25" s="48">
        <f>615</f>
        <v>615</v>
      </c>
      <c r="J25" s="48"/>
      <c r="K25" s="48"/>
      <c r="L25" s="48"/>
      <c r="M25" s="48"/>
      <c r="N25" s="48"/>
      <c r="O25" s="48"/>
      <c r="P25" s="48"/>
      <c r="Q25" s="48">
        <f>12000+8000+2000+2000-1600-1600-2000-2000-1000+(10000*2-3600*4-1000*2-600*2)</f>
        <v>18200</v>
      </c>
      <c r="R25" s="48"/>
      <c r="S25" s="48">
        <f t="shared" si="4"/>
        <v>19415</v>
      </c>
      <c r="T25" s="283"/>
      <c r="AF25" s="52"/>
    </row>
    <row r="26" spans="2:48" ht="15" customHeight="1" x14ac:dyDescent="0.25">
      <c r="D26" s="101" t="s">
        <v>120</v>
      </c>
      <c r="E26" s="101" t="s">
        <v>120</v>
      </c>
      <c r="F26" s="64">
        <f>SUM(F9:F25)</f>
        <v>84449</v>
      </c>
      <c r="G26" s="64">
        <f t="shared" ref="G26:O26" si="18">SUM(G9:G25)</f>
        <v>2022</v>
      </c>
      <c r="H26" s="64">
        <f t="shared" si="18"/>
        <v>17445</v>
      </c>
      <c r="I26" s="64">
        <f t="shared" si="18"/>
        <v>9276</v>
      </c>
      <c r="J26" s="64">
        <f t="shared" si="18"/>
        <v>3984</v>
      </c>
      <c r="K26" s="64">
        <f t="shared" si="18"/>
        <v>0</v>
      </c>
      <c r="L26" s="64">
        <f t="shared" si="18"/>
        <v>500</v>
      </c>
      <c r="M26" s="64">
        <f t="shared" si="18"/>
        <v>0</v>
      </c>
      <c r="N26" s="64">
        <f t="shared" si="18"/>
        <v>0</v>
      </c>
      <c r="O26" s="64">
        <f t="shared" si="18"/>
        <v>0</v>
      </c>
      <c r="P26" s="64">
        <f>SUM(P9:P25)</f>
        <v>0</v>
      </c>
      <c r="Q26" s="64">
        <f>SUM(Q9:Q25)</f>
        <v>37081</v>
      </c>
      <c r="R26" s="64">
        <f>SUM(R9:R25)</f>
        <v>0</v>
      </c>
      <c r="S26" s="54">
        <f>SUM(S9:S25)</f>
        <v>154757</v>
      </c>
      <c r="AF26" s="52"/>
    </row>
    <row r="27" spans="2:48" ht="15.75" customHeight="1" thickBot="1" x14ac:dyDescent="0.3">
      <c r="D27" s="101"/>
      <c r="E27" s="101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50"/>
      <c r="AE27" s="52"/>
    </row>
    <row r="28" spans="2:48" ht="17.25" x14ac:dyDescent="0.25">
      <c r="C28" s="275">
        <v>202202</v>
      </c>
      <c r="D28" s="94" t="s">
        <v>151</v>
      </c>
      <c r="E28" s="94" t="s">
        <v>165</v>
      </c>
      <c r="F28" s="60">
        <f>3028+488</f>
        <v>3516</v>
      </c>
      <c r="G28" s="59"/>
      <c r="H28" s="59">
        <f>1112</f>
        <v>1112</v>
      </c>
      <c r="I28" s="60"/>
      <c r="J28" s="59"/>
      <c r="K28" s="60" t="s">
        <v>232</v>
      </c>
      <c r="L28" s="60"/>
      <c r="M28" s="60"/>
      <c r="N28" s="60"/>
      <c r="O28" s="60"/>
      <c r="P28" s="60"/>
      <c r="Q28" s="60">
        <f>3079+8500+873+594-4000</f>
        <v>9046</v>
      </c>
      <c r="R28" s="60"/>
      <c r="S28" s="44">
        <f t="shared" ref="S28:S44" si="19">SUM(F28:R28)</f>
        <v>13674</v>
      </c>
      <c r="T28" s="277">
        <f>SUM(S28:S34)</f>
        <v>119204</v>
      </c>
    </row>
    <row r="29" spans="2:48" ht="15" customHeight="1" x14ac:dyDescent="0.25">
      <c r="C29" s="275"/>
      <c r="D29" s="95" t="s">
        <v>151</v>
      </c>
      <c r="E29" s="95" t="s">
        <v>166</v>
      </c>
      <c r="F29" s="79">
        <f>50+80+30+20+140+150+50+60+116+100+100+100</f>
        <v>996</v>
      </c>
      <c r="G29" s="78"/>
      <c r="H29" s="78">
        <f>1365+50+1410+116</f>
        <v>2941</v>
      </c>
      <c r="I29" s="79">
        <f>1267+13+400</f>
        <v>1680</v>
      </c>
      <c r="J29" s="78"/>
      <c r="K29" s="79"/>
      <c r="L29" s="79"/>
      <c r="M29" s="79"/>
      <c r="N29" s="79"/>
      <c r="O29" s="79"/>
      <c r="P29" s="79"/>
      <c r="Q29" s="79"/>
      <c r="R29" s="79"/>
      <c r="S29" s="80">
        <f t="shared" si="19"/>
        <v>5617</v>
      </c>
      <c r="T29" s="278"/>
    </row>
    <row r="30" spans="2:48" ht="15" customHeight="1" x14ac:dyDescent="0.25">
      <c r="C30" s="275"/>
      <c r="D30" s="95" t="s">
        <v>151</v>
      </c>
      <c r="E30" s="95" t="s">
        <v>167</v>
      </c>
      <c r="F30" s="79">
        <f>75+80+30+20+140+150+30+500+135+590+170+710+110+65+140+294+105+30+370+150+100+50+105+600+195+95+20+200</f>
        <v>5259</v>
      </c>
      <c r="G30" s="78"/>
      <c r="H30" s="78">
        <f>87+210+308+73+256+25+27+65+500+412+65+118+30+534+59+141+27+56</f>
        <v>2993</v>
      </c>
      <c r="I30" s="79">
        <f>519+585+40+385</f>
        <v>1529</v>
      </c>
      <c r="J30" s="78">
        <f>587+190</f>
        <v>777</v>
      </c>
      <c r="K30" s="79"/>
      <c r="L30" s="79">
        <f>3556</f>
        <v>3556</v>
      </c>
      <c r="M30" s="79"/>
      <c r="N30" s="79"/>
      <c r="O30" s="79"/>
      <c r="P30" s="79"/>
      <c r="Q30" s="79">
        <f>2000+2000</f>
        <v>4000</v>
      </c>
      <c r="R30" s="79"/>
      <c r="S30" s="80">
        <f t="shared" si="19"/>
        <v>18114</v>
      </c>
      <c r="T30" s="278"/>
    </row>
    <row r="31" spans="2:48" ht="15" customHeight="1" x14ac:dyDescent="0.25">
      <c r="C31" s="275"/>
      <c r="D31" s="95" t="s">
        <v>151</v>
      </c>
      <c r="E31" s="95" t="s">
        <v>209</v>
      </c>
      <c r="F31" s="79"/>
      <c r="G31" s="78"/>
      <c r="H31" s="78"/>
      <c r="I31" s="79"/>
      <c r="J31" s="78"/>
      <c r="K31" s="79"/>
      <c r="L31" s="79"/>
      <c r="M31" s="79"/>
      <c r="N31" s="79"/>
      <c r="O31" s="79"/>
      <c r="P31" s="79"/>
      <c r="Q31" s="79"/>
      <c r="R31" s="79"/>
      <c r="S31" s="80">
        <f t="shared" si="19"/>
        <v>0</v>
      </c>
      <c r="T31" s="278"/>
    </row>
    <row r="32" spans="2:48" ht="15" customHeight="1" x14ac:dyDescent="0.25">
      <c r="C32" s="275"/>
      <c r="D32" s="96" t="s">
        <v>151</v>
      </c>
      <c r="E32" s="95" t="s">
        <v>175</v>
      </c>
      <c r="F32" s="79"/>
      <c r="G32" s="78"/>
      <c r="H32" s="78"/>
      <c r="I32" s="78"/>
      <c r="J32" s="78"/>
      <c r="K32" s="79"/>
      <c r="L32" s="79"/>
      <c r="M32" s="79"/>
      <c r="N32" s="79"/>
      <c r="O32" s="79"/>
      <c r="P32" s="79"/>
      <c r="Q32" s="79"/>
      <c r="R32" s="79"/>
      <c r="S32" s="80">
        <f t="shared" si="19"/>
        <v>0</v>
      </c>
      <c r="T32" s="278"/>
    </row>
    <row r="33" spans="3:31" ht="15" customHeight="1" x14ac:dyDescent="0.25">
      <c r="C33" s="275"/>
      <c r="D33" s="95" t="s">
        <v>151</v>
      </c>
      <c r="E33" s="95" t="s">
        <v>234</v>
      </c>
      <c r="F33" s="79">
        <v>91</v>
      </c>
      <c r="G33" s="78"/>
      <c r="H33" s="78">
        <f>679+468</f>
        <v>1147</v>
      </c>
      <c r="I33" s="79">
        <f>11</f>
        <v>11</v>
      </c>
      <c r="J33" s="78">
        <v>220</v>
      </c>
      <c r="K33" s="79"/>
      <c r="L33" s="79"/>
      <c r="M33" s="79"/>
      <c r="N33" s="79"/>
      <c r="O33" s="79"/>
      <c r="P33" s="79"/>
      <c r="Q33" s="79"/>
      <c r="R33" s="79"/>
      <c r="S33" s="80">
        <f t="shared" si="19"/>
        <v>1469</v>
      </c>
      <c r="T33" s="278"/>
    </row>
    <row r="34" spans="3:31" ht="15" customHeight="1" x14ac:dyDescent="0.25">
      <c r="C34" s="275"/>
      <c r="D34" s="95" t="s">
        <v>151</v>
      </c>
      <c r="E34" s="95" t="s">
        <v>169</v>
      </c>
      <c r="F34" s="78">
        <f>11500+33000+5615+2000-5000-454-131-1650+5000+30450</f>
        <v>80330</v>
      </c>
      <c r="G34" s="78"/>
      <c r="H34" s="78"/>
      <c r="I34" s="79"/>
      <c r="J34" s="78"/>
      <c r="K34" s="79"/>
      <c r="L34" s="79"/>
      <c r="M34" s="79"/>
      <c r="N34" s="79"/>
      <c r="O34" s="79"/>
      <c r="P34" s="79"/>
      <c r="Q34" s="79"/>
      <c r="R34" s="79"/>
      <c r="S34" s="80">
        <f t="shared" si="19"/>
        <v>80330</v>
      </c>
      <c r="T34" s="276"/>
    </row>
    <row r="35" spans="3:31" ht="15" customHeight="1" x14ac:dyDescent="0.25">
      <c r="C35" s="275"/>
      <c r="D35" s="97" t="s">
        <v>152</v>
      </c>
      <c r="E35" s="97" t="s">
        <v>144</v>
      </c>
      <c r="F35" s="85">
        <v>6690</v>
      </c>
      <c r="G35" s="46"/>
      <c r="H35" s="85"/>
      <c r="I35" s="146"/>
      <c r="J35" s="46"/>
      <c r="K35" s="46"/>
      <c r="L35" s="89">
        <v>450</v>
      </c>
      <c r="M35" s="46"/>
      <c r="N35" s="46"/>
      <c r="O35" s="46"/>
      <c r="P35" s="46"/>
      <c r="Q35" s="46"/>
      <c r="R35" s="46"/>
      <c r="S35" s="83">
        <f t="shared" si="19"/>
        <v>7140</v>
      </c>
      <c r="T35" s="280">
        <f>SUM(S35:S39)</f>
        <v>12210</v>
      </c>
    </row>
    <row r="36" spans="3:31" ht="15" customHeight="1" x14ac:dyDescent="0.25">
      <c r="C36" s="275"/>
      <c r="D36" s="97" t="s">
        <v>152</v>
      </c>
      <c r="E36" s="97" t="s">
        <v>145</v>
      </c>
      <c r="F36" s="46"/>
      <c r="G36" s="46"/>
      <c r="H36" s="85"/>
      <c r="I36" s="85"/>
      <c r="J36" s="46"/>
      <c r="K36" s="46"/>
      <c r="L36" s="46"/>
      <c r="M36" s="46"/>
      <c r="N36" s="46"/>
      <c r="O36" s="46"/>
      <c r="P36" s="46"/>
      <c r="Q36" s="46"/>
      <c r="R36" s="46"/>
      <c r="S36" s="83">
        <f>SUM(G36:R36)</f>
        <v>0</v>
      </c>
      <c r="T36" s="281"/>
    </row>
    <row r="37" spans="3:31" ht="15" customHeight="1" x14ac:dyDescent="0.25">
      <c r="C37" s="275"/>
      <c r="D37" s="97" t="s">
        <v>152</v>
      </c>
      <c r="E37" s="97" t="s">
        <v>146</v>
      </c>
      <c r="F37" s="86">
        <f>330+60+700+55</f>
        <v>1145</v>
      </c>
      <c r="G37" s="46"/>
      <c r="H37" s="87">
        <f>601+9</f>
        <v>610</v>
      </c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83">
        <f t="shared" si="19"/>
        <v>1755</v>
      </c>
      <c r="T37" s="281"/>
    </row>
    <row r="38" spans="3:31" ht="15" customHeight="1" x14ac:dyDescent="0.25">
      <c r="C38" s="275"/>
      <c r="D38" s="97" t="s">
        <v>152</v>
      </c>
      <c r="E38" s="97" t="s">
        <v>147</v>
      </c>
      <c r="F38" s="85">
        <f>60+55</f>
        <v>115</v>
      </c>
      <c r="G38" s="46"/>
      <c r="H38" s="87">
        <f>601+9</f>
        <v>610</v>
      </c>
      <c r="I38" s="85">
        <v>990</v>
      </c>
      <c r="J38" s="46"/>
      <c r="K38" s="46"/>
      <c r="L38" s="46"/>
      <c r="M38" s="46"/>
      <c r="N38" s="46"/>
      <c r="O38" s="46"/>
      <c r="P38" s="46"/>
      <c r="Q38" s="46"/>
      <c r="R38" s="46"/>
      <c r="S38" s="83">
        <f t="shared" si="19"/>
        <v>1715</v>
      </c>
      <c r="T38" s="281"/>
    </row>
    <row r="39" spans="3:31" ht="15" customHeight="1" x14ac:dyDescent="0.25">
      <c r="C39" s="275"/>
      <c r="D39" s="97" t="s">
        <v>152</v>
      </c>
      <c r="E39" s="97" t="s">
        <v>168</v>
      </c>
      <c r="F39" s="85">
        <f>370+570+500+160</f>
        <v>1600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83">
        <f t="shared" si="19"/>
        <v>1600</v>
      </c>
      <c r="T39" s="281"/>
    </row>
    <row r="40" spans="3:31" ht="15" customHeight="1" x14ac:dyDescent="0.25">
      <c r="C40" s="275"/>
      <c r="D40" s="98" t="s">
        <v>153</v>
      </c>
      <c r="E40" s="98" t="s">
        <v>170</v>
      </c>
      <c r="F40" s="81">
        <f>260+10+50+110+45+100+2310</f>
        <v>2885</v>
      </c>
      <c r="G40" s="81">
        <f>1760-880</f>
        <v>880</v>
      </c>
      <c r="H40" s="81">
        <f>45+87</f>
        <v>132</v>
      </c>
      <c r="I40" s="81"/>
      <c r="J40" s="82">
        <f>1879+2213+1606</f>
        <v>5698</v>
      </c>
      <c r="K40" s="81"/>
      <c r="L40" s="81"/>
      <c r="M40" s="81"/>
      <c r="N40" s="81"/>
      <c r="O40" s="81"/>
      <c r="P40" s="81"/>
      <c r="Q40" s="81"/>
      <c r="R40" s="81"/>
      <c r="S40" s="81">
        <f t="shared" si="19"/>
        <v>9595</v>
      </c>
      <c r="T40" s="282">
        <f>SUM(S40:S44)</f>
        <v>48603</v>
      </c>
      <c r="AE40" s="52"/>
    </row>
    <row r="41" spans="3:31" ht="15" customHeight="1" x14ac:dyDescent="0.25">
      <c r="C41" s="275"/>
      <c r="D41" s="99" t="s">
        <v>153</v>
      </c>
      <c r="E41" s="99" t="s">
        <v>171</v>
      </c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>
        <f t="shared" si="19"/>
        <v>0</v>
      </c>
      <c r="T41" s="283"/>
      <c r="AE41" s="52"/>
    </row>
    <row r="42" spans="3:31" ht="15" customHeight="1" x14ac:dyDescent="0.25">
      <c r="C42" s="275"/>
      <c r="D42" s="99" t="s">
        <v>153</v>
      </c>
      <c r="E42" s="99" t="s">
        <v>172</v>
      </c>
      <c r="F42" s="82">
        <v>27778</v>
      </c>
      <c r="G42" s="82"/>
      <c r="H42" s="82">
        <v>11230</v>
      </c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>
        <f t="shared" si="19"/>
        <v>39008</v>
      </c>
      <c r="T42" s="283"/>
      <c r="AE42" s="52"/>
    </row>
    <row r="43" spans="3:31" s="41" customFormat="1" ht="15" customHeight="1" x14ac:dyDescent="0.25">
      <c r="C43" s="276"/>
      <c r="D43" s="99" t="s">
        <v>153</v>
      </c>
      <c r="E43" s="99" t="s">
        <v>173</v>
      </c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>
        <f t="shared" si="19"/>
        <v>0</v>
      </c>
      <c r="T43" s="283"/>
      <c r="AE43" s="52"/>
    </row>
    <row r="44" spans="3:31" ht="15.75" customHeight="1" thickBot="1" x14ac:dyDescent="0.3">
      <c r="C44" s="276"/>
      <c r="D44" s="100" t="s">
        <v>153</v>
      </c>
      <c r="E44" s="100" t="s">
        <v>168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>
        <f t="shared" si="19"/>
        <v>0</v>
      </c>
      <c r="T44" s="283"/>
      <c r="AE44" s="52"/>
    </row>
    <row r="45" spans="3:31" ht="15" customHeight="1" x14ac:dyDescent="0.25">
      <c r="D45" s="101" t="s">
        <v>120</v>
      </c>
      <c r="E45" s="101" t="s">
        <v>120</v>
      </c>
      <c r="F45" s="64">
        <f t="shared" ref="F45:O45" si="20">SUM(F28:F44)</f>
        <v>130405</v>
      </c>
      <c r="G45" s="64">
        <f t="shared" si="20"/>
        <v>880</v>
      </c>
      <c r="H45" s="64">
        <f t="shared" si="20"/>
        <v>20775</v>
      </c>
      <c r="I45" s="64">
        <f t="shared" si="20"/>
        <v>4210</v>
      </c>
      <c r="J45" s="64">
        <f t="shared" si="20"/>
        <v>6695</v>
      </c>
      <c r="K45" s="64">
        <f t="shared" si="20"/>
        <v>0</v>
      </c>
      <c r="L45" s="64">
        <f t="shared" si="20"/>
        <v>4006</v>
      </c>
      <c r="M45" s="64">
        <f t="shared" si="20"/>
        <v>0</v>
      </c>
      <c r="N45" s="64">
        <f t="shared" si="20"/>
        <v>0</v>
      </c>
      <c r="O45" s="64">
        <f t="shared" si="20"/>
        <v>0</v>
      </c>
      <c r="P45" s="64">
        <f>SUM(P28:P44)</f>
        <v>0</v>
      </c>
      <c r="Q45" s="64">
        <f>SUM(Q28:Q44)</f>
        <v>13046</v>
      </c>
      <c r="R45" s="64">
        <f>SUM(R28:R44)</f>
        <v>0</v>
      </c>
      <c r="S45" s="54">
        <f>SUM(S28:S44)</f>
        <v>180017</v>
      </c>
      <c r="AE45" s="52"/>
    </row>
    <row r="46" spans="3:31" ht="15.75" customHeight="1" thickBot="1" x14ac:dyDescent="0.3">
      <c r="AE46" s="52"/>
    </row>
    <row r="47" spans="3:31" ht="17.25" x14ac:dyDescent="0.25">
      <c r="C47" s="275">
        <v>202203</v>
      </c>
      <c r="D47" s="94" t="s">
        <v>151</v>
      </c>
      <c r="E47" s="94" t="s">
        <v>165</v>
      </c>
      <c r="F47" s="60">
        <f>3028+70</f>
        <v>3098</v>
      </c>
      <c r="G47" s="59"/>
      <c r="H47" s="59">
        <f>559+538+434+617+488</f>
        <v>2636</v>
      </c>
      <c r="I47" s="60"/>
      <c r="J47" s="59"/>
      <c r="K47" s="60"/>
      <c r="L47" s="60"/>
      <c r="M47" s="60"/>
      <c r="N47" s="60"/>
      <c r="O47" s="60"/>
      <c r="P47" s="60"/>
      <c r="Q47" s="60">
        <f>3065+8500+1500+506+1012-4000</f>
        <v>10583</v>
      </c>
      <c r="R47" s="60"/>
      <c r="S47" s="44">
        <f t="shared" ref="S47:S63" si="21">SUM(F47:R47)</f>
        <v>16317</v>
      </c>
      <c r="T47" s="277">
        <f>SUM(S47:S53)</f>
        <v>80935</v>
      </c>
      <c r="AE47" s="52"/>
    </row>
    <row r="48" spans="3:31" ht="15" customHeight="1" x14ac:dyDescent="0.25">
      <c r="C48" s="275"/>
      <c r="D48" s="95" t="s">
        <v>151</v>
      </c>
      <c r="E48" s="95" t="s">
        <v>166</v>
      </c>
      <c r="F48" s="79">
        <f>35+100</f>
        <v>135</v>
      </c>
      <c r="G48" s="78"/>
      <c r="H48" s="78">
        <f>123+10+3+30+63+35+43+100+110+124+0+120+80+140</f>
        <v>981</v>
      </c>
      <c r="I48" s="79">
        <f>14</f>
        <v>14</v>
      </c>
      <c r="J48" s="78"/>
      <c r="K48" s="79"/>
      <c r="L48" s="79"/>
      <c r="M48" s="79"/>
      <c r="N48" s="79"/>
      <c r="O48" s="79"/>
      <c r="P48" s="79"/>
      <c r="Q48" s="79"/>
      <c r="R48" s="79"/>
      <c r="S48" s="80">
        <f t="shared" si="21"/>
        <v>1130</v>
      </c>
      <c r="T48" s="278"/>
      <c r="AE48" s="52"/>
    </row>
    <row r="49" spans="3:31" ht="15" customHeight="1" x14ac:dyDescent="0.25">
      <c r="C49" s="275"/>
      <c r="D49" s="95" t="s">
        <v>151</v>
      </c>
      <c r="E49" s="95" t="s">
        <v>167</v>
      </c>
      <c r="F49" s="79">
        <f>235+784+1590+300+120+300+125+25+60+100+40+60+1250+290+350+145+90+500+143+80+65+290+40+14+100+203+68+68</f>
        <v>7435</v>
      </c>
      <c r="G49" s="78"/>
      <c r="H49" s="78">
        <f>500+40+75+58+500+68+58+78+90+150+38+30+25+102+413+3+345+85+85+265+90+1111</f>
        <v>4209</v>
      </c>
      <c r="I49" s="79">
        <f>301</f>
        <v>301</v>
      </c>
      <c r="J49" s="78">
        <f>760+68+78</f>
        <v>906</v>
      </c>
      <c r="K49" s="79"/>
      <c r="L49" s="79"/>
      <c r="M49" s="79"/>
      <c r="N49" s="79"/>
      <c r="O49" s="79"/>
      <c r="P49" s="79"/>
      <c r="Q49" s="79">
        <f>2000+2000+2000+2000</f>
        <v>8000</v>
      </c>
      <c r="R49" s="79"/>
      <c r="S49" s="80">
        <f t="shared" si="21"/>
        <v>20851</v>
      </c>
      <c r="T49" s="278"/>
      <c r="AE49" s="52"/>
    </row>
    <row r="50" spans="3:31" ht="15" customHeight="1" x14ac:dyDescent="0.25">
      <c r="C50" s="275"/>
      <c r="D50" s="95" t="s">
        <v>151</v>
      </c>
      <c r="E50" s="95" t="s">
        <v>209</v>
      </c>
      <c r="F50" s="79"/>
      <c r="G50" s="78"/>
      <c r="H50" s="78"/>
      <c r="I50" s="79"/>
      <c r="J50" s="78"/>
      <c r="K50" s="79"/>
      <c r="L50" s="79"/>
      <c r="M50" s="79"/>
      <c r="N50" s="79"/>
      <c r="O50" s="79"/>
      <c r="P50" s="79"/>
      <c r="Q50" s="79"/>
      <c r="R50" s="79"/>
      <c r="S50" s="80">
        <f t="shared" si="21"/>
        <v>0</v>
      </c>
      <c r="T50" s="278"/>
      <c r="AE50" s="52"/>
    </row>
    <row r="51" spans="3:31" ht="15" customHeight="1" x14ac:dyDescent="0.25">
      <c r="C51" s="275"/>
      <c r="D51" s="96" t="s">
        <v>151</v>
      </c>
      <c r="E51" s="95" t="s">
        <v>175</v>
      </c>
      <c r="F51" s="79"/>
      <c r="G51" s="78"/>
      <c r="H51" s="78">
        <v>2380</v>
      </c>
      <c r="I51" s="78"/>
      <c r="J51" s="78"/>
      <c r="K51" s="79"/>
      <c r="L51" s="79"/>
      <c r="M51" s="79"/>
      <c r="N51" s="79"/>
      <c r="O51" s="79"/>
      <c r="P51" s="79"/>
      <c r="Q51" s="79"/>
      <c r="R51" s="79"/>
      <c r="S51" s="80">
        <f t="shared" si="21"/>
        <v>2380</v>
      </c>
      <c r="T51" s="278"/>
    </row>
    <row r="52" spans="3:31" ht="15" customHeight="1" x14ac:dyDescent="0.25">
      <c r="C52" s="275"/>
      <c r="D52" s="95" t="s">
        <v>151</v>
      </c>
      <c r="E52" s="95" t="s">
        <v>234</v>
      </c>
      <c r="F52" s="79">
        <f>224+32+190</f>
        <v>446</v>
      </c>
      <c r="G52" s="78"/>
      <c r="H52" s="78">
        <f>35+300</f>
        <v>335</v>
      </c>
      <c r="I52" s="79"/>
      <c r="J52" s="78"/>
      <c r="K52" s="79"/>
      <c r="L52" s="79"/>
      <c r="M52" s="79"/>
      <c r="N52" s="79"/>
      <c r="O52" s="79"/>
      <c r="P52" s="79"/>
      <c r="Q52" s="79">
        <v>4000</v>
      </c>
      <c r="R52" s="79"/>
      <c r="S52" s="80">
        <f t="shared" si="21"/>
        <v>4781</v>
      </c>
      <c r="T52" s="278"/>
    </row>
    <row r="53" spans="3:31" ht="15" customHeight="1" x14ac:dyDescent="0.25">
      <c r="C53" s="275"/>
      <c r="D53" s="95" t="s">
        <v>151</v>
      </c>
      <c r="E53" s="95" t="s">
        <v>169</v>
      </c>
      <c r="F53" s="78">
        <f>2476+2000+7800+5200+11500+6500</f>
        <v>35476</v>
      </c>
      <c r="G53" s="78"/>
      <c r="H53" s="78"/>
      <c r="I53" s="79"/>
      <c r="J53" s="78"/>
      <c r="K53" s="79"/>
      <c r="L53" s="79"/>
      <c r="M53" s="79"/>
      <c r="N53" s="79"/>
      <c r="O53" s="79"/>
      <c r="P53" s="79"/>
      <c r="Q53" s="79"/>
      <c r="R53" s="79"/>
      <c r="S53" s="80">
        <f t="shared" si="21"/>
        <v>35476</v>
      </c>
      <c r="T53" s="276"/>
    </row>
    <row r="54" spans="3:31" ht="15" customHeight="1" x14ac:dyDescent="0.25">
      <c r="C54" s="275"/>
      <c r="D54" s="97" t="s">
        <v>152</v>
      </c>
      <c r="E54" s="97" t="s">
        <v>144</v>
      </c>
      <c r="F54" s="85">
        <v>10</v>
      </c>
      <c r="G54" s="46"/>
      <c r="H54" s="85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83">
        <f t="shared" si="21"/>
        <v>10</v>
      </c>
      <c r="T54" s="280">
        <f>SUM(S54:S58)</f>
        <v>9808</v>
      </c>
    </row>
    <row r="55" spans="3:31" ht="15" customHeight="1" x14ac:dyDescent="0.25">
      <c r="C55" s="275"/>
      <c r="D55" s="97" t="s">
        <v>152</v>
      </c>
      <c r="E55" s="97" t="s">
        <v>145</v>
      </c>
      <c r="F55" s="85">
        <f>2400</f>
        <v>2400</v>
      </c>
      <c r="G55" s="46"/>
      <c r="H55" s="85"/>
      <c r="I55" s="46"/>
      <c r="J55" s="89">
        <f>890</f>
        <v>890</v>
      </c>
      <c r="K55" s="46"/>
      <c r="L55" s="46"/>
      <c r="M55" s="46"/>
      <c r="N55" s="46"/>
      <c r="O55" s="46"/>
      <c r="P55" s="46"/>
      <c r="Q55" s="46"/>
      <c r="R55" s="46"/>
      <c r="S55" s="83">
        <f t="shared" si="21"/>
        <v>3290</v>
      </c>
      <c r="T55" s="281"/>
    </row>
    <row r="56" spans="3:31" ht="15" customHeight="1" x14ac:dyDescent="0.25">
      <c r="C56" s="275"/>
      <c r="D56" s="97" t="s">
        <v>152</v>
      </c>
      <c r="E56" s="97" t="s">
        <v>146</v>
      </c>
      <c r="F56" s="86">
        <f>30</f>
        <v>30</v>
      </c>
      <c r="G56" s="46"/>
      <c r="H56" s="86">
        <f>150+3575+54</f>
        <v>3779</v>
      </c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83">
        <f t="shared" si="21"/>
        <v>3809</v>
      </c>
      <c r="T56" s="281"/>
    </row>
    <row r="57" spans="3:31" ht="15" customHeight="1" x14ac:dyDescent="0.25">
      <c r="C57" s="275"/>
      <c r="D57" s="97" t="s">
        <v>152</v>
      </c>
      <c r="E57" s="97" t="s">
        <v>147</v>
      </c>
      <c r="F57" s="86">
        <f>150+60</f>
        <v>210</v>
      </c>
      <c r="G57" s="46"/>
      <c r="H57" s="87">
        <f>2489</f>
        <v>2489</v>
      </c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83">
        <f t="shared" si="21"/>
        <v>2699</v>
      </c>
      <c r="T57" s="281"/>
    </row>
    <row r="58" spans="3:31" ht="15" customHeight="1" x14ac:dyDescent="0.25">
      <c r="C58" s="275"/>
      <c r="D58" s="97" t="s">
        <v>152</v>
      </c>
      <c r="E58" s="97" t="s">
        <v>168</v>
      </c>
      <c r="F58" s="85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83">
        <f t="shared" si="21"/>
        <v>0</v>
      </c>
      <c r="T58" s="281"/>
    </row>
    <row r="59" spans="3:31" ht="15" customHeight="1" x14ac:dyDescent="0.25">
      <c r="C59" s="275"/>
      <c r="D59" s="98" t="s">
        <v>153</v>
      </c>
      <c r="E59" s="98" t="s">
        <v>170</v>
      </c>
      <c r="F59" s="81">
        <f>323+650+169+90</f>
        <v>1232</v>
      </c>
      <c r="G59" s="81"/>
      <c r="H59" s="81">
        <f>330+341+195+500+4498+869</f>
        <v>6733</v>
      </c>
      <c r="I59" s="82"/>
      <c r="J59" s="81"/>
      <c r="K59" s="81"/>
      <c r="L59" s="81"/>
      <c r="M59" s="81"/>
      <c r="N59" s="81"/>
      <c r="O59" s="81"/>
      <c r="P59" s="81"/>
      <c r="Q59" s="81"/>
      <c r="R59" s="81"/>
      <c r="S59" s="81">
        <f>SUM(F59:R59)</f>
        <v>7965</v>
      </c>
      <c r="T59" s="282">
        <f>SUM(S59:S63)</f>
        <v>52826</v>
      </c>
    </row>
    <row r="60" spans="3:31" ht="15" customHeight="1" x14ac:dyDescent="0.25">
      <c r="C60" s="275"/>
      <c r="D60" s="99" t="s">
        <v>153</v>
      </c>
      <c r="E60" s="99" t="s">
        <v>171</v>
      </c>
      <c r="F60" s="82">
        <f>2400+94+940</f>
        <v>3434</v>
      </c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>
        <f t="shared" si="21"/>
        <v>3434</v>
      </c>
      <c r="T60" s="283"/>
    </row>
    <row r="61" spans="3:31" ht="15" customHeight="1" x14ac:dyDescent="0.25">
      <c r="C61" s="275"/>
      <c r="D61" s="99" t="s">
        <v>153</v>
      </c>
      <c r="E61" s="99" t="s">
        <v>172</v>
      </c>
      <c r="F61" s="82">
        <v>27778</v>
      </c>
      <c r="G61" s="82"/>
      <c r="H61" s="82">
        <v>11230</v>
      </c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>
        <f t="shared" si="21"/>
        <v>39008</v>
      </c>
      <c r="T61" s="283"/>
    </row>
    <row r="62" spans="3:31" s="41" customFormat="1" ht="15" customHeight="1" x14ac:dyDescent="0.25">
      <c r="C62" s="276"/>
      <c r="D62" s="99" t="s">
        <v>153</v>
      </c>
      <c r="E62" s="99" t="s">
        <v>173</v>
      </c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>
        <f t="shared" si="21"/>
        <v>0</v>
      </c>
      <c r="T62" s="283"/>
    </row>
    <row r="63" spans="3:31" ht="15.75" customHeight="1" thickBot="1" x14ac:dyDescent="0.3">
      <c r="C63" s="276"/>
      <c r="D63" s="100" t="s">
        <v>153</v>
      </c>
      <c r="E63" s="100" t="s">
        <v>168</v>
      </c>
      <c r="F63" s="48">
        <v>480</v>
      </c>
      <c r="G63" s="48"/>
      <c r="H63" s="48">
        <f>399+90</f>
        <v>489</v>
      </c>
      <c r="I63" s="48"/>
      <c r="J63" s="48"/>
      <c r="K63" s="48"/>
      <c r="L63" s="48"/>
      <c r="M63" s="48"/>
      <c r="N63" s="48"/>
      <c r="O63" s="48"/>
      <c r="P63" s="48"/>
      <c r="Q63" s="48">
        <f>540+910</f>
        <v>1450</v>
      </c>
      <c r="R63" s="48"/>
      <c r="S63" s="48">
        <f t="shared" si="21"/>
        <v>2419</v>
      </c>
      <c r="T63" s="283"/>
    </row>
    <row r="64" spans="3:31" ht="15" customHeight="1" x14ac:dyDescent="0.25">
      <c r="D64" s="101" t="s">
        <v>120</v>
      </c>
      <c r="E64" s="101" t="s">
        <v>120</v>
      </c>
      <c r="F64" s="64">
        <f t="shared" ref="F64:O64" si="22">SUM(F47:F63)</f>
        <v>82164</v>
      </c>
      <c r="G64" s="64">
        <f t="shared" si="22"/>
        <v>0</v>
      </c>
      <c r="H64" s="64">
        <f t="shared" si="22"/>
        <v>35261</v>
      </c>
      <c r="I64" s="64">
        <f t="shared" si="22"/>
        <v>315</v>
      </c>
      <c r="J64" s="64">
        <f t="shared" si="22"/>
        <v>1796</v>
      </c>
      <c r="K64" s="64">
        <f t="shared" si="22"/>
        <v>0</v>
      </c>
      <c r="L64" s="64">
        <f t="shared" si="22"/>
        <v>0</v>
      </c>
      <c r="M64" s="64">
        <f t="shared" si="22"/>
        <v>0</v>
      </c>
      <c r="N64" s="64">
        <f t="shared" si="22"/>
        <v>0</v>
      </c>
      <c r="O64" s="64">
        <f t="shared" si="22"/>
        <v>0</v>
      </c>
      <c r="P64" s="64">
        <f>SUM(P47:P63)</f>
        <v>0</v>
      </c>
      <c r="Q64" s="64">
        <f>SUM(Q47:Q63)</f>
        <v>24033</v>
      </c>
      <c r="R64" s="64">
        <f>SUM(R47:R63)</f>
        <v>0</v>
      </c>
      <c r="S64" s="54">
        <f>SUM(S47:S63)</f>
        <v>143569</v>
      </c>
    </row>
    <row r="65" spans="3:20" ht="15.75" customHeight="1" thickBot="1" x14ac:dyDescent="0.3">
      <c r="D65" s="101"/>
      <c r="E65" s="101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</row>
    <row r="66" spans="3:20" ht="17.25" x14ac:dyDescent="0.25">
      <c r="C66" s="275">
        <v>202204</v>
      </c>
      <c r="D66" s="94" t="s">
        <v>151</v>
      </c>
      <c r="E66" s="94" t="s">
        <v>165</v>
      </c>
      <c r="F66" s="60">
        <f>3028</f>
        <v>3028</v>
      </c>
      <c r="G66" s="59"/>
      <c r="H66" s="59">
        <f>739+487+70+619+764+100</f>
        <v>2779</v>
      </c>
      <c r="I66" s="60"/>
      <c r="J66" s="59"/>
      <c r="K66" s="60"/>
      <c r="L66" s="60"/>
      <c r="M66" s="60"/>
      <c r="N66" s="60"/>
      <c r="O66" s="60"/>
      <c r="P66" s="60"/>
      <c r="Q66" s="60">
        <f>3079+8500+458-4000</f>
        <v>8037</v>
      </c>
      <c r="R66" s="60"/>
      <c r="S66" s="44">
        <f t="shared" ref="S66:S82" si="23">SUM(F66:R66)</f>
        <v>13844</v>
      </c>
      <c r="T66" s="277">
        <f>SUM(S66:S72)</f>
        <v>73737</v>
      </c>
    </row>
    <row r="67" spans="3:20" ht="15" customHeight="1" x14ac:dyDescent="0.25">
      <c r="C67" s="275"/>
      <c r="D67" s="95" t="s">
        <v>151</v>
      </c>
      <c r="E67" s="95" t="s">
        <v>166</v>
      </c>
      <c r="F67" s="79">
        <f>60+30+20+60+150+80+30</f>
        <v>430</v>
      </c>
      <c r="G67" s="78"/>
      <c r="H67" s="78">
        <f>30+35+132+80</f>
        <v>277</v>
      </c>
      <c r="I67" s="79">
        <v>1477</v>
      </c>
      <c r="J67" s="78"/>
      <c r="K67" s="79"/>
      <c r="L67" s="79"/>
      <c r="M67" s="79"/>
      <c r="N67" s="79"/>
      <c r="O67" s="79"/>
      <c r="P67" s="79"/>
      <c r="Q67" s="79"/>
      <c r="R67" s="79"/>
      <c r="S67" s="80">
        <f t="shared" si="23"/>
        <v>2184</v>
      </c>
      <c r="T67" s="278"/>
    </row>
    <row r="68" spans="3:20" ht="15" customHeight="1" x14ac:dyDescent="0.25">
      <c r="C68" s="275"/>
      <c r="D68" s="95" t="s">
        <v>151</v>
      </c>
      <c r="E68" s="95" t="s">
        <v>167</v>
      </c>
      <c r="F68" s="79">
        <f>42+120+100+1470+60+205+197+200+170+695+70+100+23+600+86+245+90+20+520+134+115+165+200+245+125+520+15+500+250+530+170+500+1800+20+40+25+310+200+90+50+70+150+600+350+470+130+420+340+140+100+105+100+400</f>
        <v>14392</v>
      </c>
      <c r="G68" s="78"/>
      <c r="H68" s="78">
        <f>123+38+210+118+76+40+68+68+58+70+35+136+145+10+668+645+70+38+79+185+239+871+190+829+58+255+121+90+837+40+79+78</f>
        <v>6567</v>
      </c>
      <c r="I68" s="79">
        <f>40+520+192+42+500+40+36</f>
        <v>1370</v>
      </c>
      <c r="J68" s="78">
        <f>68+68+118+78</f>
        <v>332</v>
      </c>
      <c r="K68" s="79"/>
      <c r="L68" s="79"/>
      <c r="M68" s="79"/>
      <c r="N68" s="79"/>
      <c r="O68" s="79">
        <f>209+834</f>
        <v>1043</v>
      </c>
      <c r="P68" s="79"/>
      <c r="Q68" s="79">
        <f>2000+2000+2000+2000</f>
        <v>8000</v>
      </c>
      <c r="R68" s="79"/>
      <c r="S68" s="80">
        <f t="shared" si="23"/>
        <v>31704</v>
      </c>
      <c r="T68" s="278"/>
    </row>
    <row r="69" spans="3:20" ht="15" customHeight="1" x14ac:dyDescent="0.25">
      <c r="C69" s="275"/>
      <c r="D69" s="95" t="s">
        <v>151</v>
      </c>
      <c r="E69" s="95" t="s">
        <v>209</v>
      </c>
      <c r="F69" s="79"/>
      <c r="G69" s="78"/>
      <c r="H69" s="78"/>
      <c r="I69" s="79"/>
      <c r="J69" s="78"/>
      <c r="K69" s="79"/>
      <c r="L69" s="79"/>
      <c r="M69" s="79"/>
      <c r="N69" s="79"/>
      <c r="O69" s="79"/>
      <c r="P69" s="79"/>
      <c r="Q69" s="79"/>
      <c r="R69" s="79"/>
      <c r="S69" s="80">
        <f t="shared" si="23"/>
        <v>0</v>
      </c>
      <c r="T69" s="278"/>
    </row>
    <row r="70" spans="3:20" ht="15" customHeight="1" x14ac:dyDescent="0.25">
      <c r="C70" s="275"/>
      <c r="D70" s="96" t="s">
        <v>151</v>
      </c>
      <c r="E70" s="95" t="s">
        <v>175</v>
      </c>
      <c r="F70" s="79"/>
      <c r="G70" s="78"/>
      <c r="H70" s="78">
        <v>2380</v>
      </c>
      <c r="I70" s="78"/>
      <c r="J70" s="78"/>
      <c r="K70" s="79"/>
      <c r="L70" s="79"/>
      <c r="M70" s="79"/>
      <c r="N70" s="79"/>
      <c r="O70" s="79"/>
      <c r="P70" s="79"/>
      <c r="Q70" s="79"/>
      <c r="R70" s="79"/>
      <c r="S70" s="80">
        <f t="shared" si="23"/>
        <v>2380</v>
      </c>
      <c r="T70" s="278"/>
    </row>
    <row r="71" spans="3:20" ht="15" customHeight="1" x14ac:dyDescent="0.25">
      <c r="C71" s="275"/>
      <c r="D71" s="95" t="s">
        <v>151</v>
      </c>
      <c r="E71" s="95" t="s">
        <v>234</v>
      </c>
      <c r="F71" s="79">
        <f>2600+200+6+500</f>
        <v>3306</v>
      </c>
      <c r="G71" s="78"/>
      <c r="H71" s="78">
        <f>470+155+34</f>
        <v>659</v>
      </c>
      <c r="I71" s="79"/>
      <c r="J71" s="78"/>
      <c r="K71" s="79"/>
      <c r="L71" s="79"/>
      <c r="M71" s="79"/>
      <c r="N71" s="79"/>
      <c r="O71" s="79"/>
      <c r="P71" s="79"/>
      <c r="Q71" s="79"/>
      <c r="R71" s="79"/>
      <c r="S71" s="80">
        <f t="shared" si="23"/>
        <v>3965</v>
      </c>
      <c r="T71" s="278"/>
    </row>
    <row r="72" spans="3:20" ht="15" customHeight="1" x14ac:dyDescent="0.25">
      <c r="C72" s="275"/>
      <c r="D72" s="95" t="s">
        <v>151</v>
      </c>
      <c r="E72" s="95" t="s">
        <v>169</v>
      </c>
      <c r="F72" s="78">
        <f>11500+6500+350+380+350</f>
        <v>19080</v>
      </c>
      <c r="G72" s="78"/>
      <c r="H72" s="78"/>
      <c r="I72" s="79"/>
      <c r="J72" s="78"/>
      <c r="K72" s="79"/>
      <c r="L72" s="79"/>
      <c r="M72" s="79"/>
      <c r="N72" s="79"/>
      <c r="O72" s="78">
        <f>290+290</f>
        <v>580</v>
      </c>
      <c r="P72" s="79"/>
      <c r="Q72" s="79"/>
      <c r="R72" s="79"/>
      <c r="S72" s="80">
        <f t="shared" si="23"/>
        <v>19660</v>
      </c>
      <c r="T72" s="279"/>
    </row>
    <row r="73" spans="3:20" ht="15" customHeight="1" x14ac:dyDescent="0.25">
      <c r="C73" s="275"/>
      <c r="D73" s="97" t="s">
        <v>152</v>
      </c>
      <c r="E73" s="97" t="s">
        <v>144</v>
      </c>
      <c r="F73" s="85">
        <v>315</v>
      </c>
      <c r="G73" s="46"/>
      <c r="H73" s="85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83">
        <f t="shared" si="23"/>
        <v>315</v>
      </c>
      <c r="T73" s="280">
        <f>SUM(S73:S77)</f>
        <v>2685</v>
      </c>
    </row>
    <row r="74" spans="3:20" ht="15" customHeight="1" x14ac:dyDescent="0.25">
      <c r="C74" s="275"/>
      <c r="D74" s="97" t="s">
        <v>152</v>
      </c>
      <c r="E74" s="97" t="s">
        <v>145</v>
      </c>
      <c r="F74" s="85">
        <v>1570</v>
      </c>
      <c r="G74" s="46"/>
      <c r="H74" s="85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83">
        <f t="shared" si="23"/>
        <v>1570</v>
      </c>
      <c r="T74" s="281"/>
    </row>
    <row r="75" spans="3:20" ht="15" customHeight="1" x14ac:dyDescent="0.25">
      <c r="C75" s="275"/>
      <c r="D75" s="97" t="s">
        <v>152</v>
      </c>
      <c r="E75" s="97" t="s">
        <v>146</v>
      </c>
      <c r="F75" s="86">
        <f>100+300+150</f>
        <v>550</v>
      </c>
      <c r="G75" s="46"/>
      <c r="H75" s="87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83">
        <f t="shared" si="23"/>
        <v>550</v>
      </c>
      <c r="T75" s="281"/>
    </row>
    <row r="76" spans="3:20" ht="15" customHeight="1" x14ac:dyDescent="0.25">
      <c r="C76" s="275"/>
      <c r="D76" s="97" t="s">
        <v>152</v>
      </c>
      <c r="E76" s="97" t="s">
        <v>147</v>
      </c>
      <c r="F76" s="85">
        <f>100+150</f>
        <v>250</v>
      </c>
      <c r="G76" s="46"/>
      <c r="H76" s="87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83">
        <f t="shared" si="23"/>
        <v>250</v>
      </c>
      <c r="T76" s="281"/>
    </row>
    <row r="77" spans="3:20" ht="15" customHeight="1" x14ac:dyDescent="0.25">
      <c r="C77" s="275"/>
      <c r="D77" s="97" t="s">
        <v>152</v>
      </c>
      <c r="E77" s="97" t="s">
        <v>168</v>
      </c>
      <c r="F77" s="85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83">
        <f t="shared" si="23"/>
        <v>0</v>
      </c>
      <c r="T77" s="281"/>
    </row>
    <row r="78" spans="3:20" ht="15" customHeight="1" x14ac:dyDescent="0.25">
      <c r="C78" s="275"/>
      <c r="D78" s="98" t="s">
        <v>153</v>
      </c>
      <c r="E78" s="98" t="s">
        <v>170</v>
      </c>
      <c r="F78" s="81">
        <f>300+687+430+150+30+90+150+195+77+480</f>
        <v>2589</v>
      </c>
      <c r="G78" s="81"/>
      <c r="H78" s="81">
        <f>2592+912+293+3377+722+160+55+70+505+40</f>
        <v>8726</v>
      </c>
      <c r="I78" s="81"/>
      <c r="J78" s="81">
        <v>658</v>
      </c>
      <c r="K78" s="81"/>
      <c r="L78" s="81"/>
      <c r="M78" s="81"/>
      <c r="N78" s="81"/>
      <c r="O78" s="81"/>
      <c r="P78" s="81"/>
      <c r="Q78" s="81"/>
      <c r="R78" s="81"/>
      <c r="S78" s="81">
        <f t="shared" si="23"/>
        <v>11973</v>
      </c>
      <c r="T78" s="282">
        <f>SUM(S78:S82)</f>
        <v>53868</v>
      </c>
    </row>
    <row r="79" spans="3:20" ht="15" customHeight="1" x14ac:dyDescent="0.25">
      <c r="C79" s="275"/>
      <c r="D79" s="99" t="s">
        <v>153</v>
      </c>
      <c r="E79" s="99" t="s">
        <v>171</v>
      </c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>
        <f t="shared" si="23"/>
        <v>0</v>
      </c>
      <c r="T79" s="283"/>
    </row>
    <row r="80" spans="3:20" ht="15" customHeight="1" x14ac:dyDescent="0.25">
      <c r="C80" s="275"/>
      <c r="D80" s="99" t="s">
        <v>153</v>
      </c>
      <c r="E80" s="99" t="s">
        <v>172</v>
      </c>
      <c r="F80" s="82">
        <f>27778</f>
        <v>27778</v>
      </c>
      <c r="G80" s="82"/>
      <c r="H80" s="82"/>
      <c r="I80" s="82">
        <f>7186</f>
        <v>7186</v>
      </c>
      <c r="J80" s="82"/>
      <c r="K80" s="82"/>
      <c r="L80" s="82"/>
      <c r="M80" s="82"/>
      <c r="N80" s="82"/>
      <c r="O80" s="82"/>
      <c r="P80" s="82"/>
      <c r="Q80" s="82"/>
      <c r="R80" s="82"/>
      <c r="S80" s="82">
        <f t="shared" si="23"/>
        <v>34964</v>
      </c>
      <c r="T80" s="283"/>
    </row>
    <row r="81" spans="3:20" s="41" customFormat="1" ht="15" customHeight="1" x14ac:dyDescent="0.25">
      <c r="C81" s="276"/>
      <c r="D81" s="99" t="s">
        <v>153</v>
      </c>
      <c r="E81" s="99" t="s">
        <v>173</v>
      </c>
      <c r="F81" s="82"/>
      <c r="G81" s="82"/>
      <c r="H81" s="82">
        <f>932</f>
        <v>932</v>
      </c>
      <c r="I81" s="82"/>
      <c r="J81" s="82"/>
      <c r="K81" s="82"/>
      <c r="L81" s="82"/>
      <c r="M81" s="82"/>
      <c r="N81" s="82"/>
      <c r="O81" s="82">
        <v>932</v>
      </c>
      <c r="P81" s="82"/>
      <c r="Q81" s="82"/>
      <c r="R81" s="82"/>
      <c r="S81" s="82">
        <f t="shared" si="23"/>
        <v>1864</v>
      </c>
      <c r="T81" s="283"/>
    </row>
    <row r="82" spans="3:20" ht="15.75" customHeight="1" thickBot="1" x14ac:dyDescent="0.3">
      <c r="C82" s="276"/>
      <c r="D82" s="100" t="s">
        <v>153</v>
      </c>
      <c r="E82" s="100" t="s">
        <v>168</v>
      </c>
      <c r="F82" s="48">
        <v>500</v>
      </c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>
        <f>2000+2567</f>
        <v>4567</v>
      </c>
      <c r="R82" s="48"/>
      <c r="S82" s="48">
        <f t="shared" si="23"/>
        <v>5067</v>
      </c>
      <c r="T82" s="283"/>
    </row>
    <row r="83" spans="3:20" ht="15" customHeight="1" x14ac:dyDescent="0.25">
      <c r="D83" s="101" t="s">
        <v>120</v>
      </c>
      <c r="E83" s="101" t="s">
        <v>120</v>
      </c>
      <c r="F83" s="64">
        <f t="shared" ref="F83:O83" si="24">SUM(F66:F82)</f>
        <v>73788</v>
      </c>
      <c r="G83" s="64">
        <f t="shared" si="24"/>
        <v>0</v>
      </c>
      <c r="H83" s="64">
        <f t="shared" si="24"/>
        <v>22320</v>
      </c>
      <c r="I83" s="64">
        <f t="shared" si="24"/>
        <v>10033</v>
      </c>
      <c r="J83" s="64">
        <f t="shared" si="24"/>
        <v>990</v>
      </c>
      <c r="K83" s="64">
        <f t="shared" si="24"/>
        <v>0</v>
      </c>
      <c r="L83" s="64">
        <f t="shared" si="24"/>
        <v>0</v>
      </c>
      <c r="M83" s="64">
        <f t="shared" si="24"/>
        <v>0</v>
      </c>
      <c r="N83" s="64">
        <f t="shared" si="24"/>
        <v>0</v>
      </c>
      <c r="O83" s="64">
        <f t="shared" si="24"/>
        <v>2555</v>
      </c>
      <c r="P83" s="64">
        <f>SUM(P66:P82)</f>
        <v>0</v>
      </c>
      <c r="Q83" s="64">
        <f>SUM(Q66:Q82)</f>
        <v>20604</v>
      </c>
      <c r="R83" s="64">
        <f>SUM(R66:R82)</f>
        <v>0</v>
      </c>
      <c r="S83" s="54">
        <f>SUM(S66:S82)</f>
        <v>130290</v>
      </c>
    </row>
    <row r="84" spans="3:20" ht="15.75" customHeight="1" thickBot="1" x14ac:dyDescent="0.3"/>
    <row r="85" spans="3:20" ht="17.25" x14ac:dyDescent="0.25">
      <c r="C85" s="275">
        <v>202205</v>
      </c>
      <c r="D85" s="94" t="s">
        <v>151</v>
      </c>
      <c r="E85" s="94" t="s">
        <v>165</v>
      </c>
      <c r="F85" s="60">
        <f>3028</f>
        <v>3028</v>
      </c>
      <c r="G85" s="59"/>
      <c r="H85" s="59">
        <f>420+605+70</f>
        <v>1095</v>
      </c>
      <c r="I85" s="60">
        <v>619</v>
      </c>
      <c r="J85" s="59"/>
      <c r="K85" s="60"/>
      <c r="L85" s="60"/>
      <c r="M85" s="60"/>
      <c r="N85" s="60"/>
      <c r="O85" s="60"/>
      <c r="P85" s="60"/>
      <c r="Q85" s="60">
        <f>3065+8500+874+703-4000</f>
        <v>9142</v>
      </c>
      <c r="R85" s="60"/>
      <c r="S85" s="44">
        <f t="shared" ref="S85:S101" si="25">SUM(F85:R85)</f>
        <v>13884</v>
      </c>
      <c r="T85" s="277">
        <f>SUM(S85:S91)</f>
        <v>72461</v>
      </c>
    </row>
    <row r="86" spans="3:20" ht="17.25" x14ac:dyDescent="0.25">
      <c r="C86" s="275"/>
      <c r="D86" s="95" t="s">
        <v>151</v>
      </c>
      <c r="E86" s="95" t="s">
        <v>166</v>
      </c>
      <c r="F86" s="79">
        <v>100</v>
      </c>
      <c r="G86" s="78"/>
      <c r="H86" s="78">
        <f>50+150+275+19+70+605</f>
        <v>1169</v>
      </c>
      <c r="I86" s="79">
        <f>400+19</f>
        <v>419</v>
      </c>
      <c r="J86" s="78"/>
      <c r="K86" s="79"/>
      <c r="L86" s="79"/>
      <c r="M86" s="79"/>
      <c r="N86" s="79"/>
      <c r="O86" s="79">
        <v>1300</v>
      </c>
      <c r="P86" s="79"/>
      <c r="Q86" s="79"/>
      <c r="R86" s="79"/>
      <c r="S86" s="80">
        <f t="shared" si="25"/>
        <v>2988</v>
      </c>
      <c r="T86" s="278"/>
    </row>
    <row r="87" spans="3:20" ht="15" customHeight="1" x14ac:dyDescent="0.25">
      <c r="C87" s="275"/>
      <c r="D87" s="95" t="s">
        <v>151</v>
      </c>
      <c r="E87" s="95" t="s">
        <v>167</v>
      </c>
      <c r="F87" s="79">
        <f>274+280+270+235+540+325+90+50+200+200+120+60+160+196+850+463+10+275+759+270+170+90+50+145+130+265+350+310+100+65+270+110+250+804+299+200+275+80+145+37+630+335+315+100+105</f>
        <v>11257</v>
      </c>
      <c r="G87" s="78"/>
      <c r="H87" s="78">
        <f>227+0+173+45+100+198+972+191+88+10+300+39+85+369+104+10+869+228+102+434+180+150+70+37+150+441+1260+0+174+50+175+10+85+70+694</f>
        <v>8090</v>
      </c>
      <c r="I87" s="79">
        <f>50+76+159+162+160+200</f>
        <v>807</v>
      </c>
      <c r="J87" s="78">
        <f>68</f>
        <v>68</v>
      </c>
      <c r="K87" s="79"/>
      <c r="L87" s="79">
        <v>176</v>
      </c>
      <c r="M87" s="79"/>
      <c r="N87" s="79"/>
      <c r="O87" s="79">
        <f>300+228+264+497+125+280+480</f>
        <v>2174</v>
      </c>
      <c r="P87" s="79"/>
      <c r="Q87" s="79">
        <f>2000+2000+2000</f>
        <v>6000</v>
      </c>
      <c r="R87" s="79"/>
      <c r="S87" s="80">
        <f t="shared" si="25"/>
        <v>28572</v>
      </c>
      <c r="T87" s="278"/>
    </row>
    <row r="88" spans="3:20" ht="15" customHeight="1" x14ac:dyDescent="0.25">
      <c r="C88" s="275"/>
      <c r="D88" s="95" t="s">
        <v>151</v>
      </c>
      <c r="E88" s="95" t="s">
        <v>209</v>
      </c>
      <c r="F88" s="79"/>
      <c r="G88" s="78"/>
      <c r="H88" s="78"/>
      <c r="I88" s="79"/>
      <c r="J88" s="78"/>
      <c r="K88" s="79"/>
      <c r="L88" s="79"/>
      <c r="M88" s="79"/>
      <c r="N88" s="79"/>
      <c r="O88" s="79"/>
      <c r="P88" s="79"/>
      <c r="Q88" s="79"/>
      <c r="R88" s="79"/>
      <c r="S88" s="80">
        <f t="shared" si="25"/>
        <v>0</v>
      </c>
      <c r="T88" s="278"/>
    </row>
    <row r="89" spans="3:20" ht="15" customHeight="1" x14ac:dyDescent="0.25">
      <c r="C89" s="275"/>
      <c r="D89" s="96" t="s">
        <v>151</v>
      </c>
      <c r="E89" s="95" t="s">
        <v>175</v>
      </c>
      <c r="F89" s="79"/>
      <c r="G89" s="78"/>
      <c r="H89" s="78"/>
      <c r="I89" s="78"/>
      <c r="J89" s="78"/>
      <c r="K89" s="79"/>
      <c r="L89" s="79"/>
      <c r="M89" s="79"/>
      <c r="N89" s="79"/>
      <c r="O89" s="79"/>
      <c r="P89" s="79"/>
      <c r="Q89" s="79"/>
      <c r="R89" s="79"/>
      <c r="S89" s="80">
        <f t="shared" si="25"/>
        <v>0</v>
      </c>
      <c r="T89" s="278"/>
    </row>
    <row r="90" spans="3:20" ht="15" customHeight="1" x14ac:dyDescent="0.25">
      <c r="C90" s="275"/>
      <c r="D90" s="95" t="s">
        <v>151</v>
      </c>
      <c r="E90" s="95" t="s">
        <v>234</v>
      </c>
      <c r="F90" s="79">
        <f>8+80+150+1000+250+150+150</f>
        <v>1788</v>
      </c>
      <c r="G90" s="78"/>
      <c r="H90" s="78">
        <f>600+155+2859</f>
        <v>3614</v>
      </c>
      <c r="I90" s="79"/>
      <c r="J90" s="78"/>
      <c r="K90" s="79"/>
      <c r="L90" s="79"/>
      <c r="M90" s="79"/>
      <c r="N90" s="79"/>
      <c r="O90" s="79">
        <v>3615</v>
      </c>
      <c r="P90" s="79"/>
      <c r="Q90" s="79"/>
      <c r="R90" s="79"/>
      <c r="S90" s="80">
        <f t="shared" si="25"/>
        <v>9017</v>
      </c>
      <c r="T90" s="278"/>
    </row>
    <row r="91" spans="3:20" ht="15" customHeight="1" x14ac:dyDescent="0.25">
      <c r="C91" s="275"/>
      <c r="D91" s="95" t="s">
        <v>151</v>
      </c>
      <c r="E91" s="95" t="s">
        <v>169</v>
      </c>
      <c r="F91" s="78">
        <f>11500+6500</f>
        <v>18000</v>
      </c>
      <c r="G91" s="78"/>
      <c r="H91" s="78"/>
      <c r="I91" s="79"/>
      <c r="J91" s="78"/>
      <c r="K91" s="79"/>
      <c r="L91" s="79"/>
      <c r="M91" s="79"/>
      <c r="N91" s="79"/>
      <c r="O91" s="79"/>
      <c r="P91" s="79"/>
      <c r="Q91" s="79"/>
      <c r="R91" s="79"/>
      <c r="S91" s="80">
        <f t="shared" si="25"/>
        <v>18000</v>
      </c>
      <c r="T91" s="279"/>
    </row>
    <row r="92" spans="3:20" ht="15" customHeight="1" x14ac:dyDescent="0.25">
      <c r="C92" s="275"/>
      <c r="D92" s="97" t="s">
        <v>152</v>
      </c>
      <c r="E92" s="97" t="s">
        <v>144</v>
      </c>
      <c r="F92" s="85"/>
      <c r="G92" s="46"/>
      <c r="H92" s="85"/>
      <c r="I92" s="46"/>
      <c r="J92" s="46"/>
      <c r="K92" s="46"/>
      <c r="L92" s="46"/>
      <c r="M92" s="46"/>
      <c r="N92" s="46"/>
      <c r="O92" s="89"/>
      <c r="P92" s="46"/>
      <c r="Q92" s="46"/>
      <c r="R92" s="46"/>
      <c r="S92" s="83">
        <f t="shared" si="25"/>
        <v>0</v>
      </c>
      <c r="T92" s="280">
        <f>SUM(S92:S96)</f>
        <v>4397</v>
      </c>
    </row>
    <row r="93" spans="3:20" ht="15" customHeight="1" x14ac:dyDescent="0.25">
      <c r="C93" s="275"/>
      <c r="D93" s="97" t="s">
        <v>152</v>
      </c>
      <c r="E93" s="97" t="s">
        <v>145</v>
      </c>
      <c r="F93" s="85"/>
      <c r="G93" s="46"/>
      <c r="H93" s="85">
        <f>2390</f>
        <v>2390</v>
      </c>
      <c r="I93" s="46"/>
      <c r="J93" s="46"/>
      <c r="K93" s="46"/>
      <c r="L93" s="46"/>
      <c r="M93" s="46"/>
      <c r="N93" s="46"/>
      <c r="O93" s="89">
        <v>1070</v>
      </c>
      <c r="P93" s="46"/>
      <c r="Q93" s="46"/>
      <c r="R93" s="46"/>
      <c r="S93" s="83">
        <f t="shared" si="25"/>
        <v>3460</v>
      </c>
      <c r="T93" s="281"/>
    </row>
    <row r="94" spans="3:20" ht="15" customHeight="1" x14ac:dyDescent="0.25">
      <c r="C94" s="275"/>
      <c r="D94" s="97" t="s">
        <v>152</v>
      </c>
      <c r="E94" s="97" t="s">
        <v>146</v>
      </c>
      <c r="F94" s="86"/>
      <c r="G94" s="46"/>
      <c r="H94" s="87"/>
      <c r="I94" s="46"/>
      <c r="J94" s="46"/>
      <c r="K94" s="46"/>
      <c r="L94" s="46"/>
      <c r="M94" s="46"/>
      <c r="N94" s="46"/>
      <c r="O94" s="89"/>
      <c r="P94" s="46"/>
      <c r="Q94" s="46"/>
      <c r="R94" s="46"/>
      <c r="S94" s="83">
        <f t="shared" si="25"/>
        <v>0</v>
      </c>
      <c r="T94" s="281"/>
    </row>
    <row r="95" spans="3:20" ht="15" customHeight="1" x14ac:dyDescent="0.25">
      <c r="C95" s="275"/>
      <c r="D95" s="97" t="s">
        <v>152</v>
      </c>
      <c r="E95" s="97" t="s">
        <v>147</v>
      </c>
      <c r="F95" s="85">
        <v>49</v>
      </c>
      <c r="G95" s="46"/>
      <c r="H95" s="87">
        <v>888</v>
      </c>
      <c r="I95" s="46"/>
      <c r="J95" s="46"/>
      <c r="K95" s="46"/>
      <c r="L95" s="46"/>
      <c r="M95" s="46"/>
      <c r="N95" s="46"/>
      <c r="O95" s="89"/>
      <c r="P95" s="46"/>
      <c r="Q95" s="46"/>
      <c r="R95" s="46"/>
      <c r="S95" s="83">
        <f t="shared" si="25"/>
        <v>937</v>
      </c>
      <c r="T95" s="281"/>
    </row>
    <row r="96" spans="3:20" ht="15" customHeight="1" x14ac:dyDescent="0.25">
      <c r="C96" s="275"/>
      <c r="D96" s="97" t="s">
        <v>152</v>
      </c>
      <c r="E96" s="97" t="s">
        <v>168</v>
      </c>
      <c r="F96" s="85"/>
      <c r="G96" s="46"/>
      <c r="H96" s="46"/>
      <c r="I96" s="46"/>
      <c r="J96" s="46"/>
      <c r="K96" s="46"/>
      <c r="L96" s="46"/>
      <c r="M96" s="46"/>
      <c r="N96" s="46"/>
      <c r="O96" s="89"/>
      <c r="P96" s="46"/>
      <c r="Q96" s="46"/>
      <c r="R96" s="46"/>
      <c r="S96" s="83">
        <f t="shared" si="25"/>
        <v>0</v>
      </c>
      <c r="T96" s="281"/>
    </row>
    <row r="97" spans="3:20" ht="15" customHeight="1" x14ac:dyDescent="0.25">
      <c r="C97" s="275"/>
      <c r="D97" s="98" t="s">
        <v>153</v>
      </c>
      <c r="E97" s="98" t="s">
        <v>170</v>
      </c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>
        <f t="shared" si="25"/>
        <v>0</v>
      </c>
      <c r="T97" s="282">
        <f>SUM(S97:S101)</f>
        <v>68511</v>
      </c>
    </row>
    <row r="98" spans="3:20" ht="15" customHeight="1" x14ac:dyDescent="0.25">
      <c r="C98" s="275"/>
      <c r="D98" s="99" t="s">
        <v>153</v>
      </c>
      <c r="E98" s="99" t="s">
        <v>171</v>
      </c>
      <c r="F98" s="82">
        <f>540</f>
        <v>540</v>
      </c>
      <c r="G98" s="82"/>
      <c r="H98" s="82">
        <v>1090</v>
      </c>
      <c r="I98" s="82"/>
      <c r="J98" s="82"/>
      <c r="K98" s="82"/>
      <c r="L98" s="82"/>
      <c r="M98" s="82"/>
      <c r="N98" s="82"/>
      <c r="O98" s="82">
        <v>500</v>
      </c>
      <c r="P98" s="82"/>
      <c r="Q98" s="82"/>
      <c r="R98" s="82"/>
      <c r="S98" s="82">
        <f t="shared" si="25"/>
        <v>2130</v>
      </c>
      <c r="T98" s="283"/>
    </row>
    <row r="99" spans="3:20" ht="15" customHeight="1" x14ac:dyDescent="0.25">
      <c r="C99" s="275"/>
      <c r="D99" s="99" t="s">
        <v>153</v>
      </c>
      <c r="E99" s="99" t="s">
        <v>172</v>
      </c>
      <c r="F99" s="82">
        <f>27778+29800</f>
        <v>57578</v>
      </c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>
        <f t="shared" si="25"/>
        <v>57578</v>
      </c>
      <c r="T99" s="283"/>
    </row>
    <row r="100" spans="3:20" s="41" customFormat="1" ht="15" customHeight="1" x14ac:dyDescent="0.25">
      <c r="C100" s="276"/>
      <c r="D100" s="99" t="s">
        <v>153</v>
      </c>
      <c r="E100" s="99" t="s">
        <v>173</v>
      </c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>
        <f t="shared" si="25"/>
        <v>0</v>
      </c>
      <c r="T100" s="283"/>
    </row>
    <row r="101" spans="3:20" ht="15.75" customHeight="1" thickBot="1" x14ac:dyDescent="0.3">
      <c r="C101" s="276"/>
      <c r="D101" s="100" t="s">
        <v>153</v>
      </c>
      <c r="E101" s="100" t="s">
        <v>168</v>
      </c>
      <c r="F101" s="48">
        <f>6600+1000</f>
        <v>7600</v>
      </c>
      <c r="G101" s="48">
        <v>1038</v>
      </c>
      <c r="H101" s="48"/>
      <c r="I101" s="48">
        <f>165</f>
        <v>165</v>
      </c>
      <c r="J101" s="48"/>
      <c r="K101" s="48"/>
      <c r="L101" s="48"/>
      <c r="M101" s="48"/>
      <c r="N101" s="48"/>
      <c r="O101" s="48"/>
      <c r="P101" s="48"/>
      <c r="Q101" s="48"/>
      <c r="R101" s="48"/>
      <c r="S101" s="48">
        <f t="shared" si="25"/>
        <v>8803</v>
      </c>
      <c r="T101" s="283"/>
    </row>
    <row r="102" spans="3:20" ht="15" customHeight="1" x14ac:dyDescent="0.25">
      <c r="D102" s="101" t="s">
        <v>120</v>
      </c>
      <c r="E102" s="101" t="s">
        <v>120</v>
      </c>
      <c r="F102" s="64">
        <f t="shared" ref="F102:O102" si="26">SUM(F85:F101)</f>
        <v>99940</v>
      </c>
      <c r="G102" s="64">
        <f t="shared" si="26"/>
        <v>1038</v>
      </c>
      <c r="H102" s="64">
        <f t="shared" si="26"/>
        <v>18336</v>
      </c>
      <c r="I102" s="64">
        <f t="shared" si="26"/>
        <v>2010</v>
      </c>
      <c r="J102" s="64">
        <f t="shared" si="26"/>
        <v>68</v>
      </c>
      <c r="K102" s="64">
        <f t="shared" si="26"/>
        <v>0</v>
      </c>
      <c r="L102" s="64">
        <f t="shared" si="26"/>
        <v>176</v>
      </c>
      <c r="M102" s="64">
        <f t="shared" si="26"/>
        <v>0</v>
      </c>
      <c r="N102" s="64">
        <f t="shared" si="26"/>
        <v>0</v>
      </c>
      <c r="O102" s="64">
        <f t="shared" si="26"/>
        <v>8659</v>
      </c>
      <c r="P102" s="64">
        <f>SUM(P85:P101)</f>
        <v>0</v>
      </c>
      <c r="Q102" s="64">
        <f>SUM(Q85:Q101)</f>
        <v>15142</v>
      </c>
      <c r="R102" s="64">
        <f>SUM(R85:R101)</f>
        <v>0</v>
      </c>
      <c r="S102" s="54">
        <f>SUM(S85:S101)</f>
        <v>145369</v>
      </c>
    </row>
    <row r="103" spans="3:20" ht="15.75" customHeight="1" thickBot="1" x14ac:dyDescent="0.3"/>
    <row r="104" spans="3:20" ht="17.25" x14ac:dyDescent="0.25">
      <c r="C104" s="275">
        <v>202206</v>
      </c>
      <c r="D104" s="94" t="s">
        <v>151</v>
      </c>
      <c r="E104" s="94" t="s">
        <v>165</v>
      </c>
      <c r="F104" s="60">
        <f>3028</f>
        <v>3028</v>
      </c>
      <c r="G104" s="59"/>
      <c r="H104" s="59">
        <f>70+1263+157+1728+599</f>
        <v>3817</v>
      </c>
      <c r="I104" s="60"/>
      <c r="J104" s="59"/>
      <c r="K104" s="60"/>
      <c r="L104" s="60"/>
      <c r="M104" s="148"/>
      <c r="N104" s="60"/>
      <c r="O104" s="60"/>
      <c r="P104" s="60"/>
      <c r="Q104" s="60">
        <f>3065+8500+727-6000</f>
        <v>6292</v>
      </c>
      <c r="R104" s="60"/>
      <c r="S104" s="44">
        <f t="shared" ref="S104:S120" si="27">SUM(F104:R104)</f>
        <v>13137</v>
      </c>
      <c r="T104" s="277">
        <f>SUM(S104:S110)</f>
        <v>103782</v>
      </c>
    </row>
    <row r="105" spans="3:20" ht="15" customHeight="1" x14ac:dyDescent="0.25">
      <c r="C105" s="275"/>
      <c r="D105" s="95" t="s">
        <v>151</v>
      </c>
      <c r="E105" s="95" t="s">
        <v>166</v>
      </c>
      <c r="F105" s="79">
        <f>60</f>
        <v>60</v>
      </c>
      <c r="G105" s="78"/>
      <c r="H105" s="78">
        <f>108+1383+87+1500</f>
        <v>3078</v>
      </c>
      <c r="I105" s="79"/>
      <c r="J105" s="78"/>
      <c r="K105" s="79"/>
      <c r="L105" s="79"/>
      <c r="M105" s="149"/>
      <c r="N105" s="79"/>
      <c r="O105" s="79"/>
      <c r="P105" s="79"/>
      <c r="Q105" s="79"/>
      <c r="R105" s="79"/>
      <c r="S105" s="80">
        <f t="shared" si="27"/>
        <v>3138</v>
      </c>
      <c r="T105" s="278"/>
    </row>
    <row r="106" spans="3:20" ht="15" customHeight="1" x14ac:dyDescent="0.25">
      <c r="C106" s="275"/>
      <c r="D106" s="95" t="s">
        <v>151</v>
      </c>
      <c r="E106" s="95" t="s">
        <v>167</v>
      </c>
      <c r="F106" s="79">
        <f>40+118+532+65+312+30+90+50+580+1000+220+75+30+430+80+310+30+201+49+40+40+120</f>
        <v>4442</v>
      </c>
      <c r="G106" s="78"/>
      <c r="H106" s="78">
        <f>105+694+105+95+208+340+120+700</f>
        <v>2367</v>
      </c>
      <c r="I106" s="79">
        <f>10+684+68+226+54+25+128+150+55+160+59+116+108+290+60+465+157+0+118+50</f>
        <v>2983</v>
      </c>
      <c r="J106" s="78">
        <v>2310</v>
      </c>
      <c r="K106" s="79"/>
      <c r="L106" s="79"/>
      <c r="M106" s="149"/>
      <c r="N106" s="79"/>
      <c r="O106" s="79">
        <v>500</v>
      </c>
      <c r="P106" s="79"/>
      <c r="Q106" s="79">
        <f>2600+2000+2000+2000</f>
        <v>8600</v>
      </c>
      <c r="R106" s="79"/>
      <c r="S106" s="80">
        <f t="shared" si="27"/>
        <v>21202</v>
      </c>
      <c r="T106" s="278"/>
    </row>
    <row r="107" spans="3:20" ht="15" customHeight="1" x14ac:dyDescent="0.25">
      <c r="C107" s="275"/>
      <c r="D107" s="95" t="s">
        <v>151</v>
      </c>
      <c r="E107" s="95" t="s">
        <v>209</v>
      </c>
      <c r="F107" s="79"/>
      <c r="G107" s="78"/>
      <c r="H107" s="78"/>
      <c r="I107" s="79"/>
      <c r="J107" s="78"/>
      <c r="K107" s="79"/>
      <c r="L107" s="79"/>
      <c r="M107" s="149"/>
      <c r="N107" s="79"/>
      <c r="O107" s="79"/>
      <c r="P107" s="79"/>
      <c r="Q107" s="79"/>
      <c r="R107" s="79"/>
      <c r="S107" s="80">
        <f t="shared" si="27"/>
        <v>0</v>
      </c>
      <c r="T107" s="278"/>
    </row>
    <row r="108" spans="3:20" ht="15" customHeight="1" x14ac:dyDescent="0.25">
      <c r="C108" s="275"/>
      <c r="D108" s="96" t="s">
        <v>151</v>
      </c>
      <c r="E108" s="95" t="s">
        <v>175</v>
      </c>
      <c r="F108" s="79"/>
      <c r="G108" s="78"/>
      <c r="H108" s="78"/>
      <c r="I108" s="78">
        <v>1190</v>
      </c>
      <c r="J108" s="78"/>
      <c r="K108" s="79"/>
      <c r="L108" s="79"/>
      <c r="M108" s="149"/>
      <c r="N108" s="79"/>
      <c r="O108" s="79"/>
      <c r="P108" s="79"/>
      <c r="Q108" s="79"/>
      <c r="R108" s="79"/>
      <c r="S108" s="80">
        <f t="shared" si="27"/>
        <v>1190</v>
      </c>
      <c r="T108" s="278"/>
    </row>
    <row r="109" spans="3:20" ht="15" customHeight="1" x14ac:dyDescent="0.25">
      <c r="C109" s="275"/>
      <c r="D109" s="95" t="s">
        <v>151</v>
      </c>
      <c r="E109" s="95" t="s">
        <v>234</v>
      </c>
      <c r="F109" s="79">
        <f>150+100+150+150+150+150+340</f>
        <v>1190</v>
      </c>
      <c r="G109" s="78"/>
      <c r="H109" s="78">
        <f>650+200+210</f>
        <v>1060</v>
      </c>
      <c r="I109" s="79">
        <f>679+199+594+0</f>
        <v>1472</v>
      </c>
      <c r="J109" s="78"/>
      <c r="K109" s="79"/>
      <c r="L109" s="79"/>
      <c r="M109" s="149"/>
      <c r="N109" s="79"/>
      <c r="O109" s="79"/>
      <c r="P109" s="79"/>
      <c r="Q109" s="79"/>
      <c r="R109" s="79"/>
      <c r="S109" s="80">
        <f t="shared" si="27"/>
        <v>3722</v>
      </c>
      <c r="T109" s="278"/>
    </row>
    <row r="110" spans="3:20" ht="15" customHeight="1" x14ac:dyDescent="0.25">
      <c r="C110" s="275"/>
      <c r="D110" s="95" t="s">
        <v>151</v>
      </c>
      <c r="E110" s="95" t="s">
        <v>169</v>
      </c>
      <c r="F110" s="78">
        <f>10000+3500+16800+40+5000+9251+5000+3000+3150+8302-2950</f>
        <v>61093</v>
      </c>
      <c r="G110" s="78"/>
      <c r="H110" s="78"/>
      <c r="I110" s="79">
        <v>300</v>
      </c>
      <c r="J110" s="78"/>
      <c r="K110" s="79"/>
      <c r="L110" s="79"/>
      <c r="M110" s="149"/>
      <c r="N110" s="79"/>
      <c r="O110" s="79"/>
      <c r="P110" s="79"/>
      <c r="Q110" s="79"/>
      <c r="R110" s="79"/>
      <c r="S110" s="80">
        <f>SUM(F110:R110)</f>
        <v>61393</v>
      </c>
      <c r="T110" s="279"/>
    </row>
    <row r="111" spans="3:20" ht="15" customHeight="1" x14ac:dyDescent="0.25">
      <c r="C111" s="275"/>
      <c r="D111" s="97" t="s">
        <v>152</v>
      </c>
      <c r="E111" s="97" t="s">
        <v>144</v>
      </c>
      <c r="F111" s="85"/>
      <c r="G111" s="46"/>
      <c r="H111" s="85"/>
      <c r="I111" s="46"/>
      <c r="J111" s="46"/>
      <c r="K111" s="46"/>
      <c r="L111" s="46"/>
      <c r="M111" s="152"/>
      <c r="N111" s="46"/>
      <c r="O111" s="89">
        <v>4800</v>
      </c>
      <c r="P111" s="46"/>
      <c r="Q111" s="46"/>
      <c r="R111" s="46"/>
      <c r="S111" s="83">
        <f t="shared" si="27"/>
        <v>4800</v>
      </c>
      <c r="T111" s="280">
        <f>SUM(S111:S115)</f>
        <v>16479</v>
      </c>
    </row>
    <row r="112" spans="3:20" ht="15" customHeight="1" x14ac:dyDescent="0.25">
      <c r="C112" s="275"/>
      <c r="D112" s="97" t="s">
        <v>152</v>
      </c>
      <c r="E112" s="97" t="s">
        <v>145</v>
      </c>
      <c r="F112" s="85"/>
      <c r="G112" s="46"/>
      <c r="H112" s="85">
        <v>54</v>
      </c>
      <c r="I112" s="46"/>
      <c r="J112" s="46"/>
      <c r="K112" s="46"/>
      <c r="L112" s="46"/>
      <c r="M112" s="152"/>
      <c r="N112" s="46"/>
      <c r="O112" s="89">
        <f>5000+6000</f>
        <v>11000</v>
      </c>
      <c r="P112" s="46"/>
      <c r="Q112" s="46"/>
      <c r="R112" s="46"/>
      <c r="S112" s="83">
        <f t="shared" si="27"/>
        <v>11054</v>
      </c>
      <c r="T112" s="281"/>
    </row>
    <row r="113" spans="3:21" ht="15" customHeight="1" x14ac:dyDescent="0.25">
      <c r="C113" s="275"/>
      <c r="D113" s="97" t="s">
        <v>152</v>
      </c>
      <c r="E113" s="97" t="s">
        <v>146</v>
      </c>
      <c r="F113" s="86"/>
      <c r="G113" s="46"/>
      <c r="H113" s="87"/>
      <c r="I113" s="89">
        <v>625</v>
      </c>
      <c r="J113" s="46"/>
      <c r="K113" s="46"/>
      <c r="L113" s="46"/>
      <c r="M113" s="152"/>
      <c r="N113" s="46"/>
      <c r="O113" s="46"/>
      <c r="P113" s="46"/>
      <c r="Q113" s="46"/>
      <c r="R113" s="46"/>
      <c r="S113" s="83">
        <f t="shared" si="27"/>
        <v>625</v>
      </c>
      <c r="T113" s="281"/>
    </row>
    <row r="114" spans="3:21" ht="15" customHeight="1" x14ac:dyDescent="0.25">
      <c r="C114" s="275"/>
      <c r="D114" s="97" t="s">
        <v>152</v>
      </c>
      <c r="E114" s="97" t="s">
        <v>147</v>
      </c>
      <c r="F114" s="85"/>
      <c r="G114" s="46"/>
      <c r="H114" s="87"/>
      <c r="I114" s="46"/>
      <c r="J114" s="46"/>
      <c r="K114" s="46"/>
      <c r="L114" s="46"/>
      <c r="M114" s="152"/>
      <c r="N114" s="46"/>
      <c r="O114" s="46"/>
      <c r="P114" s="46"/>
      <c r="Q114" s="46"/>
      <c r="R114" s="46"/>
      <c r="S114" s="83">
        <f t="shared" si="27"/>
        <v>0</v>
      </c>
      <c r="T114" s="281"/>
    </row>
    <row r="115" spans="3:21" ht="15" customHeight="1" x14ac:dyDescent="0.25">
      <c r="C115" s="275"/>
      <c r="D115" s="97" t="s">
        <v>152</v>
      </c>
      <c r="E115" s="97" t="s">
        <v>168</v>
      </c>
      <c r="F115" s="85"/>
      <c r="G115" s="46"/>
      <c r="H115" s="46"/>
      <c r="I115" s="46"/>
      <c r="J115" s="46"/>
      <c r="K115" s="46"/>
      <c r="L115" s="46"/>
      <c r="M115" s="152"/>
      <c r="N115" s="46"/>
      <c r="O115" s="46"/>
      <c r="P115" s="46"/>
      <c r="Q115" s="46"/>
      <c r="R115" s="46"/>
      <c r="S115" s="83">
        <f t="shared" si="27"/>
        <v>0</v>
      </c>
      <c r="T115" s="281"/>
    </row>
    <row r="116" spans="3:21" ht="15" customHeight="1" x14ac:dyDescent="0.25">
      <c r="C116" s="275"/>
      <c r="D116" s="98" t="s">
        <v>153</v>
      </c>
      <c r="E116" s="98" t="s">
        <v>170</v>
      </c>
      <c r="F116" s="81">
        <f>340+80+1350+1150+1100+40+20+100+60+50+1950+200+85+40+120+100+50+60+60+30+30+700+135+60+850+228</f>
        <v>8988</v>
      </c>
      <c r="G116" s="81"/>
      <c r="H116" s="81">
        <f>8630+78+56+420+1142+229+189+65</f>
        <v>10809</v>
      </c>
      <c r="I116" s="81">
        <f>400+85+1142+1307+400</f>
        <v>3334</v>
      </c>
      <c r="J116" s="81">
        <v>3289</v>
      </c>
      <c r="K116" s="81"/>
      <c r="L116" s="81"/>
      <c r="M116" s="91"/>
      <c r="N116" s="81"/>
      <c r="O116" s="81">
        <v>11360</v>
      </c>
      <c r="P116" s="81"/>
      <c r="Q116" s="81"/>
      <c r="R116" s="81"/>
      <c r="S116" s="81">
        <f t="shared" si="27"/>
        <v>37780</v>
      </c>
      <c r="T116" s="282">
        <f>SUM(S116:S120)</f>
        <v>75658</v>
      </c>
    </row>
    <row r="117" spans="3:21" ht="15" customHeight="1" x14ac:dyDescent="0.25">
      <c r="C117" s="275"/>
      <c r="D117" s="99" t="s">
        <v>153</v>
      </c>
      <c r="E117" s="99" t="s">
        <v>171</v>
      </c>
      <c r="F117" s="82"/>
      <c r="G117" s="82"/>
      <c r="H117" s="82"/>
      <c r="I117" s="82"/>
      <c r="J117" s="82"/>
      <c r="K117" s="82"/>
      <c r="L117" s="82"/>
      <c r="M117" s="140"/>
      <c r="N117" s="82"/>
      <c r="O117" s="82"/>
      <c r="P117" s="82"/>
      <c r="Q117" s="82"/>
      <c r="R117" s="82"/>
      <c r="S117" s="82">
        <f t="shared" si="27"/>
        <v>0</v>
      </c>
      <c r="T117" s="283"/>
    </row>
    <row r="118" spans="3:21" ht="15" customHeight="1" x14ac:dyDescent="0.25">
      <c r="C118" s="275"/>
      <c r="D118" s="99" t="s">
        <v>153</v>
      </c>
      <c r="E118" s="99" t="s">
        <v>172</v>
      </c>
      <c r="F118" s="82">
        <v>27778</v>
      </c>
      <c r="G118" s="82"/>
      <c r="H118" s="82"/>
      <c r="I118" s="82"/>
      <c r="J118" s="82"/>
      <c r="K118" s="82"/>
      <c r="L118" s="82"/>
      <c r="M118" s="140"/>
      <c r="N118" s="82"/>
      <c r="O118" s="82"/>
      <c r="P118" s="82"/>
      <c r="Q118" s="82"/>
      <c r="R118" s="82"/>
      <c r="S118" s="82">
        <f t="shared" si="27"/>
        <v>27778</v>
      </c>
      <c r="T118" s="283"/>
    </row>
    <row r="119" spans="3:21" s="41" customFormat="1" ht="15" customHeight="1" x14ac:dyDescent="0.25">
      <c r="C119" s="276"/>
      <c r="D119" s="99" t="s">
        <v>153</v>
      </c>
      <c r="E119" s="99" t="s">
        <v>173</v>
      </c>
      <c r="F119" s="82"/>
      <c r="G119" s="82"/>
      <c r="H119" s="82"/>
      <c r="I119" s="82"/>
      <c r="J119" s="82"/>
      <c r="K119" s="82"/>
      <c r="L119" s="82"/>
      <c r="M119" s="140"/>
      <c r="N119" s="82"/>
      <c r="O119" s="82"/>
      <c r="P119" s="82"/>
      <c r="Q119" s="82"/>
      <c r="R119" s="82"/>
      <c r="S119" s="82">
        <f t="shared" si="27"/>
        <v>0</v>
      </c>
      <c r="T119" s="283"/>
    </row>
    <row r="120" spans="3:21" ht="15.75" customHeight="1" thickBot="1" x14ac:dyDescent="0.3">
      <c r="C120" s="276"/>
      <c r="D120" s="100" t="s">
        <v>153</v>
      </c>
      <c r="E120" s="100" t="s">
        <v>168</v>
      </c>
      <c r="F120" s="48">
        <f>600</f>
        <v>600</v>
      </c>
      <c r="G120" s="48"/>
      <c r="H120" s="48"/>
      <c r="I120" s="48"/>
      <c r="J120" s="48"/>
      <c r="K120" s="48"/>
      <c r="L120" s="48"/>
      <c r="M120" s="141"/>
      <c r="N120" s="48"/>
      <c r="O120" s="48">
        <v>2500</v>
      </c>
      <c r="P120" s="48"/>
      <c r="Q120" s="48">
        <v>7000</v>
      </c>
      <c r="R120" s="48"/>
      <c r="S120" s="48">
        <f t="shared" si="27"/>
        <v>10100</v>
      </c>
      <c r="T120" s="283"/>
    </row>
    <row r="121" spans="3:21" ht="15" customHeight="1" x14ac:dyDescent="0.25">
      <c r="D121" s="101" t="s">
        <v>120</v>
      </c>
      <c r="E121" s="101" t="s">
        <v>120</v>
      </c>
      <c r="F121" s="64">
        <f>SUM(F104:F120)</f>
        <v>107179</v>
      </c>
      <c r="G121" s="64">
        <f>SUM(G104:G120)</f>
        <v>0</v>
      </c>
      <c r="H121" s="64">
        <f>SUM(H104:H120)</f>
        <v>21185</v>
      </c>
      <c r="I121" s="64">
        <f t="shared" ref="I121:P121" si="28">SUM(I104:I120)</f>
        <v>9904</v>
      </c>
      <c r="J121" s="64">
        <f t="shared" si="28"/>
        <v>5599</v>
      </c>
      <c r="K121" s="64">
        <f t="shared" si="28"/>
        <v>0</v>
      </c>
      <c r="L121" s="64">
        <f t="shared" si="28"/>
        <v>0</v>
      </c>
      <c r="M121" s="150">
        <f t="shared" si="28"/>
        <v>0</v>
      </c>
      <c r="N121" s="64">
        <f t="shared" si="28"/>
        <v>0</v>
      </c>
      <c r="O121" s="64">
        <f t="shared" si="28"/>
        <v>30160</v>
      </c>
      <c r="P121" s="64">
        <f t="shared" si="28"/>
        <v>0</v>
      </c>
      <c r="Q121" s="64">
        <f>SUM(Q104:Q120)</f>
        <v>21892</v>
      </c>
      <c r="R121" s="64">
        <f>SUM(R104:R120)</f>
        <v>0</v>
      </c>
      <c r="S121" s="54">
        <f>SUM(S104:S120)</f>
        <v>195919</v>
      </c>
      <c r="T121" s="52"/>
      <c r="U121" s="52"/>
    </row>
    <row r="122" spans="3:21" ht="15.75" customHeight="1" thickBot="1" x14ac:dyDescent="0.3">
      <c r="M122" s="151"/>
    </row>
    <row r="123" spans="3:21" ht="17.25" x14ac:dyDescent="0.25">
      <c r="C123" s="275">
        <v>202207</v>
      </c>
      <c r="D123" s="94" t="s">
        <v>151</v>
      </c>
      <c r="E123" s="94" t="s">
        <v>165</v>
      </c>
      <c r="F123" s="60">
        <f>3028</f>
        <v>3028</v>
      </c>
      <c r="G123" s="59"/>
      <c r="H123" s="59">
        <f>416+66+598</f>
        <v>1080</v>
      </c>
      <c r="I123" s="60"/>
      <c r="J123" s="59"/>
      <c r="K123" s="60"/>
      <c r="L123" s="60"/>
      <c r="M123" s="148"/>
      <c r="N123" s="60"/>
      <c r="O123" s="60"/>
      <c r="P123" s="60"/>
      <c r="Q123" s="60">
        <f>3079+8500+452-6000+1500+1111</f>
        <v>8642</v>
      </c>
      <c r="R123" s="60"/>
      <c r="S123" s="44">
        <f t="shared" ref="S123:S139" si="29">SUM(F123:R123)</f>
        <v>12750</v>
      </c>
      <c r="T123" s="277">
        <f>SUM(S123:S129)</f>
        <v>92502</v>
      </c>
    </row>
    <row r="124" spans="3:21" ht="15" customHeight="1" x14ac:dyDescent="0.25">
      <c r="C124" s="275"/>
      <c r="D124" s="95" t="s">
        <v>151</v>
      </c>
      <c r="E124" s="95" t="s">
        <v>166</v>
      </c>
      <c r="F124" s="79">
        <f>15+80+15+40+80+32+80+90</f>
        <v>432</v>
      </c>
      <c r="G124" s="78"/>
      <c r="H124" s="78">
        <f>1341+118+58+130+50+32+0+80</f>
        <v>1809</v>
      </c>
      <c r="I124" s="79">
        <f>80+1463</f>
        <v>1543</v>
      </c>
      <c r="J124" s="78"/>
      <c r="K124" s="79"/>
      <c r="L124" s="79"/>
      <c r="M124" s="149"/>
      <c r="N124" s="79"/>
      <c r="O124" s="79"/>
      <c r="P124" s="79"/>
      <c r="Q124" s="79"/>
      <c r="R124" s="79"/>
      <c r="S124" s="80">
        <f t="shared" si="29"/>
        <v>3784</v>
      </c>
      <c r="T124" s="278"/>
    </row>
    <row r="125" spans="3:21" ht="15" customHeight="1" x14ac:dyDescent="0.25">
      <c r="C125" s="275"/>
      <c r="D125" s="95" t="s">
        <v>151</v>
      </c>
      <c r="E125" s="95" t="s">
        <v>167</v>
      </c>
      <c r="F125" s="79">
        <f>413+90+100+700+30+30+87+560+268+60+1176+120+42+120+325+120+260+79+70+260+310+262+120+310+55+70+25+68+360+680+100+255+145+160+498+580+500</f>
        <v>9408</v>
      </c>
      <c r="G125" s="78"/>
      <c r="H125" s="78">
        <f>1000+78+990+590+2412+90+45+86+646+150+55+150+30+140+120+120+150+35+39+58+500+68</f>
        <v>7552</v>
      </c>
      <c r="I125" s="79">
        <f>1286+45+268+55+30+268+160+30+540</f>
        <v>2682</v>
      </c>
      <c r="J125" s="78">
        <v>825</v>
      </c>
      <c r="K125" s="79"/>
      <c r="L125" s="79"/>
      <c r="M125" s="149"/>
      <c r="N125" s="79"/>
      <c r="O125" s="79">
        <f>350+39+350+2409+2598+320+327+940</f>
        <v>7333</v>
      </c>
      <c r="P125" s="79"/>
      <c r="Q125" s="79">
        <f>2000+2000+2000+2000</f>
        <v>8000</v>
      </c>
      <c r="R125" s="79"/>
      <c r="S125" s="80">
        <f t="shared" si="29"/>
        <v>35800</v>
      </c>
      <c r="T125" s="278"/>
    </row>
    <row r="126" spans="3:21" ht="15" customHeight="1" x14ac:dyDescent="0.25">
      <c r="C126" s="275"/>
      <c r="D126" s="95" t="s">
        <v>151</v>
      </c>
      <c r="E126" s="95" t="s">
        <v>209</v>
      </c>
      <c r="F126" s="79"/>
      <c r="G126" s="78"/>
      <c r="H126" s="78"/>
      <c r="I126" s="79"/>
      <c r="J126" s="78"/>
      <c r="K126" s="79"/>
      <c r="L126" s="79"/>
      <c r="M126" s="149"/>
      <c r="N126" s="79"/>
      <c r="O126" s="79"/>
      <c r="P126" s="79"/>
      <c r="Q126" s="79"/>
      <c r="R126" s="79"/>
      <c r="S126" s="80">
        <f t="shared" si="29"/>
        <v>0</v>
      </c>
      <c r="T126" s="278"/>
    </row>
    <row r="127" spans="3:21" ht="15" customHeight="1" x14ac:dyDescent="0.25">
      <c r="C127" s="275"/>
      <c r="D127" s="96" t="s">
        <v>151</v>
      </c>
      <c r="E127" s="95" t="s">
        <v>175</v>
      </c>
      <c r="F127" s="79"/>
      <c r="G127" s="78"/>
      <c r="H127" s="78"/>
      <c r="I127" s="78"/>
      <c r="J127" s="78"/>
      <c r="K127" s="79"/>
      <c r="L127" s="79"/>
      <c r="M127" s="149"/>
      <c r="N127" s="79"/>
      <c r="O127" s="79"/>
      <c r="P127" s="79"/>
      <c r="Q127" s="79"/>
      <c r="R127" s="79"/>
      <c r="S127" s="80">
        <f t="shared" si="29"/>
        <v>0</v>
      </c>
      <c r="T127" s="278"/>
    </row>
    <row r="128" spans="3:21" ht="15" customHeight="1" x14ac:dyDescent="0.25">
      <c r="C128" s="275"/>
      <c r="D128" s="95" t="s">
        <v>151</v>
      </c>
      <c r="E128" s="95" t="s">
        <v>234</v>
      </c>
      <c r="F128" s="79">
        <f>300+30+300+150+150+200+200+30</f>
        <v>1360</v>
      </c>
      <c r="G128" s="78"/>
      <c r="H128" s="78">
        <f>875+1547+885+0+1749+150</f>
        <v>5206</v>
      </c>
      <c r="I128" s="79"/>
      <c r="J128" s="78"/>
      <c r="K128" s="79"/>
      <c r="L128" s="79"/>
      <c r="M128" s="149"/>
      <c r="N128" s="79"/>
      <c r="O128" s="79">
        <f>1426+58+190+290</f>
        <v>1964</v>
      </c>
      <c r="P128" s="79"/>
      <c r="Q128" s="79">
        <f>1200+600+2500</f>
        <v>4300</v>
      </c>
      <c r="R128" s="79"/>
      <c r="S128" s="80">
        <f t="shared" si="29"/>
        <v>12830</v>
      </c>
      <c r="T128" s="278"/>
    </row>
    <row r="129" spans="3:20" ht="15" customHeight="1" x14ac:dyDescent="0.25">
      <c r="C129" s="275"/>
      <c r="D129" s="95" t="s">
        <v>151</v>
      </c>
      <c r="E129" s="95" t="s">
        <v>169</v>
      </c>
      <c r="F129" s="78">
        <f>8756+4680+5600+8302</f>
        <v>27338</v>
      </c>
      <c r="G129" s="78"/>
      <c r="H129" s="78"/>
      <c r="I129" s="79"/>
      <c r="J129" s="78"/>
      <c r="K129" s="79"/>
      <c r="L129" s="79"/>
      <c r="M129" s="149"/>
      <c r="N129" s="79"/>
      <c r="O129" s="79"/>
      <c r="P129" s="79"/>
      <c r="Q129" s="79"/>
      <c r="R129" s="79"/>
      <c r="S129" s="80">
        <f t="shared" si="29"/>
        <v>27338</v>
      </c>
      <c r="T129" s="279"/>
    </row>
    <row r="130" spans="3:20" ht="15" customHeight="1" x14ac:dyDescent="0.25">
      <c r="C130" s="275"/>
      <c r="D130" s="97" t="s">
        <v>152</v>
      </c>
      <c r="E130" s="97" t="s">
        <v>144</v>
      </c>
      <c r="F130" s="85"/>
      <c r="G130" s="46"/>
      <c r="H130" s="85">
        <f>1170</f>
        <v>1170</v>
      </c>
      <c r="I130" s="89">
        <v>399</v>
      </c>
      <c r="J130" s="46"/>
      <c r="K130" s="46"/>
      <c r="L130" s="46"/>
      <c r="M130" s="152"/>
      <c r="N130" s="46"/>
      <c r="O130" s="86">
        <v>16500</v>
      </c>
      <c r="P130" s="46"/>
      <c r="Q130" s="46"/>
      <c r="R130" s="46"/>
      <c r="S130" s="83">
        <f t="shared" si="29"/>
        <v>18069</v>
      </c>
      <c r="T130" s="280">
        <f>SUM(S130:S134)</f>
        <v>27978</v>
      </c>
    </row>
    <row r="131" spans="3:20" ht="15" customHeight="1" x14ac:dyDescent="0.25">
      <c r="C131" s="275"/>
      <c r="D131" s="97" t="s">
        <v>152</v>
      </c>
      <c r="E131" s="97" t="s">
        <v>145</v>
      </c>
      <c r="F131" s="85"/>
      <c r="G131" s="46"/>
      <c r="H131" s="85"/>
      <c r="I131" s="46"/>
      <c r="J131" s="46"/>
      <c r="K131" s="46"/>
      <c r="L131" s="46"/>
      <c r="M131" s="152"/>
      <c r="N131" s="46"/>
      <c r="O131" s="85">
        <v>8500</v>
      </c>
      <c r="P131" s="46"/>
      <c r="Q131" s="46"/>
      <c r="R131" s="46"/>
      <c r="S131" s="83">
        <f t="shared" si="29"/>
        <v>8500</v>
      </c>
      <c r="T131" s="281"/>
    </row>
    <row r="132" spans="3:20" ht="15" customHeight="1" x14ac:dyDescent="0.25">
      <c r="C132" s="275"/>
      <c r="D132" s="97" t="s">
        <v>152</v>
      </c>
      <c r="E132" s="97" t="s">
        <v>146</v>
      </c>
      <c r="F132" s="86"/>
      <c r="G132" s="46"/>
      <c r="H132" s="87">
        <v>875</v>
      </c>
      <c r="I132" s="46"/>
      <c r="J132" s="46"/>
      <c r="K132" s="46"/>
      <c r="L132" s="46"/>
      <c r="M132" s="152"/>
      <c r="N132" s="46"/>
      <c r="O132" s="46"/>
      <c r="P132" s="46"/>
      <c r="Q132" s="46"/>
      <c r="R132" s="46"/>
      <c r="S132" s="83">
        <f t="shared" si="29"/>
        <v>875</v>
      </c>
      <c r="T132" s="281"/>
    </row>
    <row r="133" spans="3:20" ht="15" customHeight="1" x14ac:dyDescent="0.25">
      <c r="C133" s="275"/>
      <c r="D133" s="97" t="s">
        <v>152</v>
      </c>
      <c r="E133" s="97" t="s">
        <v>147</v>
      </c>
      <c r="F133" s="85">
        <v>84</v>
      </c>
      <c r="G133" s="46"/>
      <c r="H133" s="87">
        <v>450</v>
      </c>
      <c r="I133" s="46"/>
      <c r="J133" s="46"/>
      <c r="K133" s="46"/>
      <c r="L133" s="46"/>
      <c r="M133" s="152"/>
      <c r="N133" s="46"/>
      <c r="O133" s="46"/>
      <c r="P133" s="46"/>
      <c r="Q133" s="46"/>
      <c r="R133" s="46"/>
      <c r="S133" s="83">
        <f t="shared" si="29"/>
        <v>534</v>
      </c>
      <c r="T133" s="281"/>
    </row>
    <row r="134" spans="3:20" ht="15" customHeight="1" x14ac:dyDescent="0.25">
      <c r="C134" s="275"/>
      <c r="D134" s="97" t="s">
        <v>152</v>
      </c>
      <c r="E134" s="97" t="s">
        <v>168</v>
      </c>
      <c r="F134" s="85"/>
      <c r="G134" s="46"/>
      <c r="H134" s="46"/>
      <c r="I134" s="46"/>
      <c r="J134" s="46"/>
      <c r="K134" s="46"/>
      <c r="L134" s="46"/>
      <c r="M134" s="152"/>
      <c r="N134" s="46"/>
      <c r="O134" s="46"/>
      <c r="P134" s="46"/>
      <c r="Q134" s="46"/>
      <c r="R134" s="46"/>
      <c r="S134" s="83">
        <f t="shared" si="29"/>
        <v>0</v>
      </c>
      <c r="T134" s="281"/>
    </row>
    <row r="135" spans="3:20" ht="15" customHeight="1" x14ac:dyDescent="0.25">
      <c r="C135" s="275"/>
      <c r="D135" s="98" t="s">
        <v>153</v>
      </c>
      <c r="E135" s="98" t="s">
        <v>170</v>
      </c>
      <c r="F135" s="81">
        <f>150</f>
        <v>150</v>
      </c>
      <c r="G135" s="81"/>
      <c r="H135" s="81"/>
      <c r="I135" s="81"/>
      <c r="J135" s="81"/>
      <c r="K135" s="81"/>
      <c r="L135" s="81"/>
      <c r="M135" s="91"/>
      <c r="N135" s="81"/>
      <c r="O135" s="81">
        <v>519</v>
      </c>
      <c r="P135" s="81"/>
      <c r="Q135" s="81"/>
      <c r="R135" s="81"/>
      <c r="S135" s="81">
        <f t="shared" si="29"/>
        <v>669</v>
      </c>
      <c r="T135" s="282">
        <f>SUM(S135:S139)</f>
        <v>37260</v>
      </c>
    </row>
    <row r="136" spans="3:20" ht="15" customHeight="1" x14ac:dyDescent="0.25">
      <c r="C136" s="275"/>
      <c r="D136" s="99" t="s">
        <v>153</v>
      </c>
      <c r="E136" s="99" t="s">
        <v>171</v>
      </c>
      <c r="F136" s="82"/>
      <c r="G136" s="82"/>
      <c r="H136" s="82"/>
      <c r="I136" s="82"/>
      <c r="J136" s="82"/>
      <c r="K136" s="82"/>
      <c r="L136" s="82"/>
      <c r="M136" s="140"/>
      <c r="N136" s="82"/>
      <c r="O136" s="82"/>
      <c r="P136" s="82"/>
      <c r="Q136" s="82"/>
      <c r="R136" s="82"/>
      <c r="S136" s="82">
        <f t="shared" si="29"/>
        <v>0</v>
      </c>
      <c r="T136" s="283"/>
    </row>
    <row r="137" spans="3:20" ht="15" customHeight="1" x14ac:dyDescent="0.25">
      <c r="C137" s="275"/>
      <c r="D137" s="99" t="s">
        <v>153</v>
      </c>
      <c r="E137" s="99" t="s">
        <v>172</v>
      </c>
      <c r="F137" s="82">
        <f>27778+6180</f>
        <v>33958</v>
      </c>
      <c r="G137" s="82"/>
      <c r="H137" s="82">
        <v>443</v>
      </c>
      <c r="I137" s="82"/>
      <c r="J137" s="82"/>
      <c r="K137" s="82"/>
      <c r="L137" s="82"/>
      <c r="M137" s="140"/>
      <c r="N137" s="82"/>
      <c r="O137" s="82"/>
      <c r="P137" s="82"/>
      <c r="Q137" s="82"/>
      <c r="R137" s="82"/>
      <c r="S137" s="82">
        <f t="shared" si="29"/>
        <v>34401</v>
      </c>
      <c r="T137" s="283"/>
    </row>
    <row r="138" spans="3:20" s="41" customFormat="1" ht="15" customHeight="1" x14ac:dyDescent="0.25">
      <c r="C138" s="276"/>
      <c r="D138" s="99" t="s">
        <v>153</v>
      </c>
      <c r="E138" s="99" t="s">
        <v>173</v>
      </c>
      <c r="F138" s="82"/>
      <c r="G138" s="82"/>
      <c r="H138" s="82"/>
      <c r="I138" s="82"/>
      <c r="J138" s="82"/>
      <c r="K138" s="82"/>
      <c r="L138" s="82"/>
      <c r="M138" s="140"/>
      <c r="N138" s="82"/>
      <c r="O138" s="82"/>
      <c r="P138" s="82"/>
      <c r="Q138" s="82"/>
      <c r="R138" s="82"/>
      <c r="S138" s="82">
        <f t="shared" si="29"/>
        <v>0</v>
      </c>
      <c r="T138" s="283"/>
    </row>
    <row r="139" spans="3:20" ht="15.75" customHeight="1" thickBot="1" x14ac:dyDescent="0.3">
      <c r="C139" s="276"/>
      <c r="D139" s="100" t="s">
        <v>153</v>
      </c>
      <c r="E139" s="100" t="s">
        <v>168</v>
      </c>
      <c r="F139" s="48"/>
      <c r="G139" s="48"/>
      <c r="H139" s="48"/>
      <c r="I139" s="48"/>
      <c r="J139" s="48"/>
      <c r="K139" s="48"/>
      <c r="L139" s="48"/>
      <c r="M139" s="141">
        <f>1600</f>
        <v>1600</v>
      </c>
      <c r="N139" s="48"/>
      <c r="O139" s="48">
        <v>590</v>
      </c>
      <c r="P139" s="48"/>
      <c r="Q139" s="48"/>
      <c r="R139" s="48"/>
      <c r="S139" s="48">
        <f t="shared" si="29"/>
        <v>2190</v>
      </c>
      <c r="T139" s="283"/>
    </row>
    <row r="140" spans="3:20" ht="15" customHeight="1" x14ac:dyDescent="0.25">
      <c r="D140" s="101" t="s">
        <v>120</v>
      </c>
      <c r="E140" s="101" t="s">
        <v>120</v>
      </c>
      <c r="F140" s="64">
        <f>SUM(F123:F139)</f>
        <v>75758</v>
      </c>
      <c r="G140" s="64">
        <f>SUM(G123:G139)</f>
        <v>0</v>
      </c>
      <c r="H140" s="64">
        <f>SUM(H123:H139)</f>
        <v>18585</v>
      </c>
      <c r="I140" s="64">
        <f t="shared" ref="I140:P140" si="30">SUM(I123:I139)</f>
        <v>4624</v>
      </c>
      <c r="J140" s="64">
        <f t="shared" si="30"/>
        <v>825</v>
      </c>
      <c r="K140" s="64">
        <f t="shared" si="30"/>
        <v>0</v>
      </c>
      <c r="L140" s="64">
        <f t="shared" si="30"/>
        <v>0</v>
      </c>
      <c r="M140" s="150">
        <f t="shared" si="30"/>
        <v>1600</v>
      </c>
      <c r="N140" s="64">
        <f t="shared" si="30"/>
        <v>0</v>
      </c>
      <c r="O140" s="64">
        <f t="shared" si="30"/>
        <v>35406</v>
      </c>
      <c r="P140" s="64">
        <f t="shared" si="30"/>
        <v>0</v>
      </c>
      <c r="Q140" s="64">
        <f>SUM(Q123:Q139)</f>
        <v>20942</v>
      </c>
      <c r="R140" s="64">
        <f>SUM(R123:R139)</f>
        <v>0</v>
      </c>
      <c r="S140" s="54">
        <f>SUM(S123:S139)</f>
        <v>157740</v>
      </c>
    </row>
    <row r="141" spans="3:20" ht="15.75" customHeight="1" thickBot="1" x14ac:dyDescent="0.3">
      <c r="M141" s="151"/>
    </row>
    <row r="142" spans="3:20" ht="17.25" x14ac:dyDescent="0.25">
      <c r="C142" s="275">
        <v>202208</v>
      </c>
      <c r="D142" s="94" t="s">
        <v>151</v>
      </c>
      <c r="E142" s="94" t="s">
        <v>165</v>
      </c>
      <c r="F142" s="60">
        <f>3028</f>
        <v>3028</v>
      </c>
      <c r="G142" s="59"/>
      <c r="H142" s="59">
        <f>1875+51+424+595+399</f>
        <v>3344</v>
      </c>
      <c r="I142" s="60">
        <v>580</v>
      </c>
      <c r="J142" s="59"/>
      <c r="K142" s="60"/>
      <c r="L142" s="60"/>
      <c r="M142" s="148"/>
      <c r="N142" s="60"/>
      <c r="O142" s="60"/>
      <c r="P142" s="60"/>
      <c r="Q142" s="60">
        <f>3065+10500-6000+611+4000+465+800+235+1147</f>
        <v>14823</v>
      </c>
      <c r="R142" s="60"/>
      <c r="S142" s="44">
        <f t="shared" ref="S142:S158" si="31">SUM(F142:R142)</f>
        <v>21775</v>
      </c>
      <c r="T142" s="277">
        <f>SUM(S142:S148)</f>
        <v>107618</v>
      </c>
    </row>
    <row r="143" spans="3:20" ht="15" customHeight="1" x14ac:dyDescent="0.25">
      <c r="C143" s="275"/>
      <c r="D143" s="95" t="s">
        <v>151</v>
      </c>
      <c r="E143" s="95" t="s">
        <v>166</v>
      </c>
      <c r="F143" s="79">
        <f>100+100+50</f>
        <v>250</v>
      </c>
      <c r="G143" s="78"/>
      <c r="H143" s="78">
        <f>1361+99+1386+14+15+118</f>
        <v>2993</v>
      </c>
      <c r="I143" s="79"/>
      <c r="J143" s="78"/>
      <c r="K143" s="79"/>
      <c r="L143" s="79"/>
      <c r="M143" s="149"/>
      <c r="N143" s="79"/>
      <c r="O143" s="79">
        <v>80</v>
      </c>
      <c r="P143" s="79"/>
      <c r="Q143" s="79"/>
      <c r="R143" s="79"/>
      <c r="S143" s="80">
        <f t="shared" si="31"/>
        <v>3323</v>
      </c>
      <c r="T143" s="278"/>
    </row>
    <row r="144" spans="3:20" ht="15" customHeight="1" x14ac:dyDescent="0.25">
      <c r="C144" s="275"/>
      <c r="D144" s="95" t="s">
        <v>151</v>
      </c>
      <c r="E144" s="95" t="s">
        <v>167</v>
      </c>
      <c r="F144" s="79">
        <f>75+50+310+1176+200+317+216+65+85+250+120</f>
        <v>2864</v>
      </c>
      <c r="G144" s="78"/>
      <c r="H144" s="78">
        <f>55+61+35+230+410+45+39+500+128+67+60+3585+233+75+45+79+55+180+169+207</f>
        <v>6258</v>
      </c>
      <c r="I144" s="79">
        <f>260+138+65</f>
        <v>463</v>
      </c>
      <c r="J144" s="78"/>
      <c r="K144" s="79"/>
      <c r="L144" s="79"/>
      <c r="M144" s="149"/>
      <c r="N144" s="79"/>
      <c r="O144" s="79">
        <f>320+330+300+337+272+215+45+310+120+275+653+220+250+235+253+460+345+440+500+360+410+440+1345+100+210+240+50+270+210+630</f>
        <v>10145</v>
      </c>
      <c r="P144" s="79"/>
      <c r="Q144" s="79">
        <f>2000+2000+2000+2000</f>
        <v>8000</v>
      </c>
      <c r="R144" s="79"/>
      <c r="S144" s="80">
        <f t="shared" si="31"/>
        <v>27730</v>
      </c>
      <c r="T144" s="278"/>
    </row>
    <row r="145" spans="2:20" ht="15" customHeight="1" x14ac:dyDescent="0.25">
      <c r="C145" s="275"/>
      <c r="D145" s="95" t="s">
        <v>151</v>
      </c>
      <c r="E145" s="95" t="s">
        <v>209</v>
      </c>
      <c r="F145" s="79"/>
      <c r="G145" s="78"/>
      <c r="H145" s="78"/>
      <c r="I145" s="79"/>
      <c r="J145" s="78"/>
      <c r="K145" s="79"/>
      <c r="L145" s="79"/>
      <c r="M145" s="149"/>
      <c r="N145" s="79"/>
      <c r="O145" s="79"/>
      <c r="P145" s="79"/>
      <c r="Q145" s="79"/>
      <c r="R145" s="79"/>
      <c r="S145" s="80">
        <f t="shared" si="31"/>
        <v>0</v>
      </c>
      <c r="T145" s="278"/>
    </row>
    <row r="146" spans="2:20" ht="15" customHeight="1" x14ac:dyDescent="0.25">
      <c r="C146" s="275"/>
      <c r="D146" s="96" t="s">
        <v>151</v>
      </c>
      <c r="E146" s="95" t="s">
        <v>175</v>
      </c>
      <c r="F146" s="79"/>
      <c r="G146" s="78"/>
      <c r="H146" s="78"/>
      <c r="I146" s="78"/>
      <c r="J146" s="78"/>
      <c r="K146" s="79"/>
      <c r="L146" s="79"/>
      <c r="M146" s="149"/>
      <c r="N146" s="79"/>
      <c r="O146" s="79"/>
      <c r="P146" s="79"/>
      <c r="Q146" s="79"/>
      <c r="R146" s="79"/>
      <c r="S146" s="80">
        <f t="shared" si="31"/>
        <v>0</v>
      </c>
      <c r="T146" s="278"/>
    </row>
    <row r="147" spans="2:20" ht="15" customHeight="1" x14ac:dyDescent="0.25">
      <c r="C147" s="275"/>
      <c r="D147" s="95" t="s">
        <v>151</v>
      </c>
      <c r="E147" s="95" t="s">
        <v>234</v>
      </c>
      <c r="F147" s="79">
        <v>60</v>
      </c>
      <c r="G147" s="78"/>
      <c r="H147" s="78">
        <f>104+297</f>
        <v>401</v>
      </c>
      <c r="I147" s="79"/>
      <c r="J147" s="78"/>
      <c r="K147" s="79"/>
      <c r="L147" s="79"/>
      <c r="M147" s="149"/>
      <c r="N147" s="79"/>
      <c r="O147" s="79"/>
      <c r="P147" s="79"/>
      <c r="Q147" s="79"/>
      <c r="R147" s="79"/>
      <c r="S147" s="80">
        <f t="shared" si="31"/>
        <v>461</v>
      </c>
      <c r="T147" s="278"/>
    </row>
    <row r="148" spans="2:20" ht="15" customHeight="1" x14ac:dyDescent="0.25">
      <c r="C148" s="275"/>
      <c r="D148" s="95" t="s">
        <v>151</v>
      </c>
      <c r="E148" s="95" t="s">
        <v>169</v>
      </c>
      <c r="F148" s="78">
        <f>33000+11000+6290+175+2000-5000-1650-288+8302+500</f>
        <v>54329</v>
      </c>
      <c r="G148" s="78"/>
      <c r="H148" s="78"/>
      <c r="I148" s="79"/>
      <c r="J148" s="78"/>
      <c r="K148" s="79"/>
      <c r="L148" s="79"/>
      <c r="M148" s="149"/>
      <c r="N148" s="79"/>
      <c r="O148" s="79"/>
      <c r="P148" s="79"/>
      <c r="Q148" s="79"/>
      <c r="R148" s="79"/>
      <c r="S148" s="80">
        <f t="shared" si="31"/>
        <v>54329</v>
      </c>
      <c r="T148" s="279"/>
    </row>
    <row r="149" spans="2:20" ht="15" customHeight="1" x14ac:dyDescent="0.25">
      <c r="C149" s="275"/>
      <c r="D149" s="97" t="s">
        <v>152</v>
      </c>
      <c r="E149" s="97" t="s">
        <v>144</v>
      </c>
      <c r="F149" s="85"/>
      <c r="G149" s="46"/>
      <c r="H149" s="85">
        <f>778+199</f>
        <v>977</v>
      </c>
      <c r="I149" s="46"/>
      <c r="J149" s="46"/>
      <c r="K149" s="46"/>
      <c r="L149" s="46"/>
      <c r="M149" s="152"/>
      <c r="N149" s="46"/>
      <c r="O149" s="46"/>
      <c r="P149" s="46"/>
      <c r="Q149" s="46"/>
      <c r="R149" s="46"/>
      <c r="S149" s="83">
        <f t="shared" si="31"/>
        <v>977</v>
      </c>
      <c r="T149" s="280">
        <f>SUM(S149:S153)</f>
        <v>5477</v>
      </c>
    </row>
    <row r="150" spans="2:20" ht="15" customHeight="1" x14ac:dyDescent="0.25">
      <c r="C150" s="275"/>
      <c r="D150" s="97" t="s">
        <v>152</v>
      </c>
      <c r="E150" s="97" t="s">
        <v>145</v>
      </c>
      <c r="F150" s="85"/>
      <c r="G150" s="46"/>
      <c r="H150" s="85">
        <f>22+390</f>
        <v>412</v>
      </c>
      <c r="I150" s="46"/>
      <c r="J150" s="46"/>
      <c r="K150" s="46"/>
      <c r="L150" s="46"/>
      <c r="M150" s="152"/>
      <c r="N150" s="46"/>
      <c r="O150" s="46"/>
      <c r="P150" s="46"/>
      <c r="Q150" s="46"/>
      <c r="R150" s="46"/>
      <c r="S150" s="83">
        <f t="shared" si="31"/>
        <v>412</v>
      </c>
      <c r="T150" s="281"/>
    </row>
    <row r="151" spans="2:20" ht="15" customHeight="1" x14ac:dyDescent="0.25">
      <c r="C151" s="275"/>
      <c r="D151" s="97" t="s">
        <v>152</v>
      </c>
      <c r="E151" s="97" t="s">
        <v>146</v>
      </c>
      <c r="F151" s="86"/>
      <c r="G151" s="46"/>
      <c r="H151" s="87">
        <f>295+1144</f>
        <v>1439</v>
      </c>
      <c r="I151" s="46"/>
      <c r="J151" s="46"/>
      <c r="K151" s="46"/>
      <c r="L151" s="46"/>
      <c r="M151" s="152"/>
      <c r="N151" s="46"/>
      <c r="O151" s="46"/>
      <c r="P151" s="46"/>
      <c r="Q151" s="46"/>
      <c r="R151" s="46"/>
      <c r="S151" s="83">
        <f t="shared" si="31"/>
        <v>1439</v>
      </c>
      <c r="T151" s="281"/>
    </row>
    <row r="152" spans="2:20" ht="15" customHeight="1" x14ac:dyDescent="0.25">
      <c r="C152" s="275"/>
      <c r="D152" s="97" t="s">
        <v>152</v>
      </c>
      <c r="E152" s="97" t="s">
        <v>147</v>
      </c>
      <c r="F152" s="85"/>
      <c r="G152" s="46"/>
      <c r="H152" s="87">
        <f>245+1144+0+470+190</f>
        <v>2049</v>
      </c>
      <c r="I152" s="46"/>
      <c r="J152" s="46"/>
      <c r="K152" s="46"/>
      <c r="L152" s="46"/>
      <c r="M152" s="152"/>
      <c r="N152" s="46"/>
      <c r="O152" s="46"/>
      <c r="P152" s="46"/>
      <c r="Q152" s="46"/>
      <c r="R152" s="46"/>
      <c r="S152" s="83">
        <f t="shared" si="31"/>
        <v>2049</v>
      </c>
      <c r="T152" s="281"/>
    </row>
    <row r="153" spans="2:20" ht="15" customHeight="1" x14ac:dyDescent="0.25">
      <c r="C153" s="275"/>
      <c r="D153" s="97" t="s">
        <v>152</v>
      </c>
      <c r="E153" s="97" t="s">
        <v>168</v>
      </c>
      <c r="F153" s="85"/>
      <c r="G153" s="46"/>
      <c r="H153" s="46"/>
      <c r="I153" s="46"/>
      <c r="J153" s="46"/>
      <c r="K153" s="46"/>
      <c r="L153" s="46"/>
      <c r="M153" s="152"/>
      <c r="N153" s="46"/>
      <c r="O153" s="89">
        <f>300+300</f>
        <v>600</v>
      </c>
      <c r="P153" s="46"/>
      <c r="Q153" s="46"/>
      <c r="R153" s="46"/>
      <c r="S153" s="83">
        <f t="shared" si="31"/>
        <v>600</v>
      </c>
      <c r="T153" s="281"/>
    </row>
    <row r="154" spans="2:20" ht="15" customHeight="1" x14ac:dyDescent="0.25">
      <c r="C154" s="275"/>
      <c r="D154" s="98" t="s">
        <v>153</v>
      </c>
      <c r="E154" s="98" t="s">
        <v>170</v>
      </c>
      <c r="F154" s="81">
        <f>1448+95</f>
        <v>1543</v>
      </c>
      <c r="G154" s="81"/>
      <c r="H154" s="81">
        <f>420</f>
        <v>420</v>
      </c>
      <c r="I154" s="81">
        <v>525</v>
      </c>
      <c r="J154" s="81">
        <v>3063</v>
      </c>
      <c r="K154" s="81"/>
      <c r="L154" s="81"/>
      <c r="M154" s="91"/>
      <c r="N154" s="81"/>
      <c r="O154" s="81"/>
      <c r="P154" s="81"/>
      <c r="Q154" s="81">
        <f>3000-1500</f>
        <v>1500</v>
      </c>
      <c r="R154" s="81"/>
      <c r="S154" s="81">
        <f t="shared" si="31"/>
        <v>7051</v>
      </c>
      <c r="T154" s="282">
        <f>SUM(S154:S158)</f>
        <v>38795</v>
      </c>
    </row>
    <row r="155" spans="2:20" ht="15" customHeight="1" x14ac:dyDescent="0.25">
      <c r="C155" s="275"/>
      <c r="D155" s="99" t="s">
        <v>153</v>
      </c>
      <c r="E155" s="99" t="s">
        <v>171</v>
      </c>
      <c r="F155" s="82"/>
      <c r="G155" s="82"/>
      <c r="H155" s="82"/>
      <c r="I155" s="82"/>
      <c r="J155" s="82"/>
      <c r="K155" s="82"/>
      <c r="L155" s="82"/>
      <c r="M155" s="140"/>
      <c r="N155" s="82"/>
      <c r="O155" s="82"/>
      <c r="P155" s="82"/>
      <c r="Q155" s="82"/>
      <c r="R155" s="82"/>
      <c r="S155" s="82">
        <f t="shared" si="31"/>
        <v>0</v>
      </c>
      <c r="T155" s="283"/>
    </row>
    <row r="156" spans="2:20" ht="15" customHeight="1" x14ac:dyDescent="0.25">
      <c r="B156" s="52"/>
      <c r="C156" s="275"/>
      <c r="D156" s="99" t="s">
        <v>153</v>
      </c>
      <c r="E156" s="99" t="s">
        <v>172</v>
      </c>
      <c r="F156" s="82">
        <f>27778</f>
        <v>27778</v>
      </c>
      <c r="G156" s="82"/>
      <c r="H156" s="82"/>
      <c r="I156" s="82"/>
      <c r="J156" s="82"/>
      <c r="K156" s="82"/>
      <c r="L156" s="82"/>
      <c r="M156" s="140"/>
      <c r="N156" s="82"/>
      <c r="O156" s="82"/>
      <c r="P156" s="82"/>
      <c r="Q156" s="82"/>
      <c r="R156" s="82"/>
      <c r="S156" s="82">
        <f t="shared" si="31"/>
        <v>27778</v>
      </c>
      <c r="T156" s="283"/>
    </row>
    <row r="157" spans="2:20" s="41" customFormat="1" ht="15" customHeight="1" x14ac:dyDescent="0.25">
      <c r="B157" s="163"/>
      <c r="C157" s="276"/>
      <c r="D157" s="99" t="s">
        <v>153</v>
      </c>
      <c r="E157" s="99" t="s">
        <v>173</v>
      </c>
      <c r="F157" s="82"/>
      <c r="G157" s="82"/>
      <c r="H157" s="82">
        <v>1098</v>
      </c>
      <c r="I157" s="82"/>
      <c r="J157" s="82"/>
      <c r="K157" s="82"/>
      <c r="L157" s="82"/>
      <c r="M157" s="140">
        <v>1138</v>
      </c>
      <c r="N157" s="82"/>
      <c r="O157" s="82"/>
      <c r="P157" s="82"/>
      <c r="Q157" s="82"/>
      <c r="R157" s="82"/>
      <c r="S157" s="82">
        <f t="shared" si="31"/>
        <v>2236</v>
      </c>
      <c r="T157" s="283"/>
    </row>
    <row r="158" spans="2:20" ht="15.75" customHeight="1" thickBot="1" x14ac:dyDescent="0.3">
      <c r="C158" s="276"/>
      <c r="D158" s="100" t="s">
        <v>153</v>
      </c>
      <c r="E158" s="100" t="s">
        <v>168</v>
      </c>
      <c r="F158" s="48"/>
      <c r="G158" s="48"/>
      <c r="H158" s="48">
        <f>1140</f>
        <v>1140</v>
      </c>
      <c r="I158" s="48"/>
      <c r="J158" s="48"/>
      <c r="K158" s="48"/>
      <c r="L158" s="48">
        <v>200</v>
      </c>
      <c r="M158" s="141"/>
      <c r="N158" s="48"/>
      <c r="O158" s="48"/>
      <c r="P158" s="48"/>
      <c r="Q158" s="48">
        <f>390</f>
        <v>390</v>
      </c>
      <c r="R158" s="48"/>
      <c r="S158" s="48">
        <f t="shared" si="31"/>
        <v>1730</v>
      </c>
      <c r="T158" s="283"/>
    </row>
    <row r="159" spans="2:20" ht="15" customHeight="1" x14ac:dyDescent="0.25">
      <c r="D159" s="101" t="s">
        <v>120</v>
      </c>
      <c r="E159" s="101" t="s">
        <v>120</v>
      </c>
      <c r="F159" s="64">
        <f>SUM(F142:F158)</f>
        <v>89852</v>
      </c>
      <c r="G159" s="64">
        <f>SUM(G142:G158)</f>
        <v>0</v>
      </c>
      <c r="H159" s="64">
        <f>SUM(H142:H158)</f>
        <v>20531</v>
      </c>
      <c r="I159" s="64">
        <f t="shared" ref="I159:P159" si="32">SUM(I142:I158)</f>
        <v>1568</v>
      </c>
      <c r="J159" s="64">
        <f t="shared" si="32"/>
        <v>3063</v>
      </c>
      <c r="K159" s="64">
        <f t="shared" si="32"/>
        <v>0</v>
      </c>
      <c r="L159" s="64">
        <f t="shared" si="32"/>
        <v>200</v>
      </c>
      <c r="M159" s="150">
        <f t="shared" si="32"/>
        <v>1138</v>
      </c>
      <c r="N159" s="64">
        <f t="shared" si="32"/>
        <v>0</v>
      </c>
      <c r="O159" s="64">
        <f t="shared" si="32"/>
        <v>10825</v>
      </c>
      <c r="P159" s="64">
        <f t="shared" si="32"/>
        <v>0</v>
      </c>
      <c r="Q159" s="64">
        <f>SUM(Q142:Q158)</f>
        <v>24713</v>
      </c>
      <c r="R159" s="64">
        <f>SUM(R142:R158)</f>
        <v>0</v>
      </c>
      <c r="S159" s="54">
        <f>SUM(S142:S158)</f>
        <v>151890</v>
      </c>
    </row>
    <row r="160" spans="2:20" ht="15.75" customHeight="1" thickBot="1" x14ac:dyDescent="0.3">
      <c r="M160" s="151"/>
    </row>
    <row r="161" spans="3:20" ht="17.25" x14ac:dyDescent="0.25">
      <c r="C161" s="275">
        <v>202209</v>
      </c>
      <c r="D161" s="94" t="s">
        <v>151</v>
      </c>
      <c r="E161" s="94" t="s">
        <v>165</v>
      </c>
      <c r="F161" s="60">
        <f>3028</f>
        <v>3028</v>
      </c>
      <c r="G161" s="59"/>
      <c r="H161" s="59">
        <f>1767+599+70+647</f>
        <v>3083</v>
      </c>
      <c r="I161" s="60"/>
      <c r="J161" s="59"/>
      <c r="K161" s="60"/>
      <c r="L161" s="60"/>
      <c r="M161" s="148"/>
      <c r="N161" s="60"/>
      <c r="O161" s="60"/>
      <c r="P161" s="60"/>
      <c r="Q161" s="60">
        <f>3065+10500-6000+446</f>
        <v>8011</v>
      </c>
      <c r="R161" s="60"/>
      <c r="S161" s="44">
        <f t="shared" ref="S161:S177" si="33">SUM(F161:R161)</f>
        <v>14122</v>
      </c>
      <c r="T161" s="277">
        <f>SUM(S161:S167)</f>
        <v>109508</v>
      </c>
    </row>
    <row r="162" spans="3:20" ht="15" customHeight="1" x14ac:dyDescent="0.25">
      <c r="C162" s="275"/>
      <c r="D162" s="95" t="s">
        <v>151</v>
      </c>
      <c r="E162" s="95" t="s">
        <v>166</v>
      </c>
      <c r="F162" s="79">
        <f>80+80+80+240+50+10+150+240+150+40</f>
        <v>1120</v>
      </c>
      <c r="G162" s="78"/>
      <c r="H162" s="78">
        <f>1453+138+25+33</f>
        <v>1649</v>
      </c>
      <c r="I162" s="79"/>
      <c r="J162" s="78"/>
      <c r="K162" s="79"/>
      <c r="L162" s="79"/>
      <c r="M162" s="149"/>
      <c r="N162" s="79"/>
      <c r="O162" s="79"/>
      <c r="P162" s="79"/>
      <c r="Q162" s="79"/>
      <c r="R162" s="79"/>
      <c r="S162" s="80">
        <f t="shared" si="33"/>
        <v>2769</v>
      </c>
      <c r="T162" s="278"/>
    </row>
    <row r="163" spans="3:20" ht="15" customHeight="1" x14ac:dyDescent="0.25">
      <c r="C163" s="275"/>
      <c r="D163" s="95" t="s">
        <v>151</v>
      </c>
      <c r="E163" s="95" t="s">
        <v>167</v>
      </c>
      <c r="F163" s="79">
        <f>150+500+1067+45+65+109+115+120+100+574+10+55+880+490+10+90+37+135+185</f>
        <v>4737</v>
      </c>
      <c r="G163" s="78"/>
      <c r="H163" s="78">
        <f>135+110+17+170+180+55+55+1044+537+180+10+500+85+43+64+55+80+585+273+108+48+100+0+25+33</f>
        <v>4492</v>
      </c>
      <c r="I163" s="79">
        <f>190+300</f>
        <v>490</v>
      </c>
      <c r="J163" s="78">
        <v>1277</v>
      </c>
      <c r="K163" s="79"/>
      <c r="L163" s="79">
        <v>3600</v>
      </c>
      <c r="M163" s="149"/>
      <c r="N163" s="79"/>
      <c r="O163" s="79">
        <f>220+462+850+380+235+165</f>
        <v>2312</v>
      </c>
      <c r="P163" s="79"/>
      <c r="Q163" s="79">
        <f>2000+2000+2000+2000</f>
        <v>8000</v>
      </c>
      <c r="R163" s="79"/>
      <c r="S163" s="80">
        <f t="shared" si="33"/>
        <v>24908</v>
      </c>
      <c r="T163" s="278"/>
    </row>
    <row r="164" spans="3:20" ht="15" customHeight="1" x14ac:dyDescent="0.25">
      <c r="C164" s="275"/>
      <c r="D164" s="95" t="s">
        <v>151</v>
      </c>
      <c r="E164" s="95" t="s">
        <v>209</v>
      </c>
      <c r="F164" s="79"/>
      <c r="G164" s="78"/>
      <c r="H164" s="78"/>
      <c r="I164" s="79"/>
      <c r="J164" s="78"/>
      <c r="K164" s="79"/>
      <c r="L164" s="79"/>
      <c r="M164" s="149"/>
      <c r="N164" s="79"/>
      <c r="O164" s="79"/>
      <c r="P164" s="79"/>
      <c r="Q164" s="79"/>
      <c r="R164" s="79"/>
      <c r="S164" s="80">
        <f t="shared" si="33"/>
        <v>0</v>
      </c>
      <c r="T164" s="278"/>
    </row>
    <row r="165" spans="3:20" ht="15" customHeight="1" x14ac:dyDescent="0.25">
      <c r="C165" s="275"/>
      <c r="D165" s="96" t="s">
        <v>151</v>
      </c>
      <c r="E165" s="95" t="s">
        <v>175</v>
      </c>
      <c r="F165" s="79"/>
      <c r="G165" s="78"/>
      <c r="H165" s="78"/>
      <c r="I165" s="78"/>
      <c r="J165" s="78"/>
      <c r="K165" s="79"/>
      <c r="L165" s="79"/>
      <c r="M165" s="149"/>
      <c r="N165" s="79"/>
      <c r="O165" s="79"/>
      <c r="P165" s="79"/>
      <c r="Q165" s="79"/>
      <c r="R165" s="79"/>
      <c r="S165" s="80">
        <f t="shared" si="33"/>
        <v>0</v>
      </c>
      <c r="T165" s="278"/>
    </row>
    <row r="166" spans="3:20" ht="15" customHeight="1" x14ac:dyDescent="0.25">
      <c r="C166" s="275"/>
      <c r="D166" s="95" t="s">
        <v>151</v>
      </c>
      <c r="E166" s="95" t="s">
        <v>234</v>
      </c>
      <c r="F166" s="79">
        <f>150+150+150+400+200+150+150+150+150+300+200</f>
        <v>2150</v>
      </c>
      <c r="G166" s="78"/>
      <c r="H166" s="78">
        <f>249+232+364+310+136</f>
        <v>1291</v>
      </c>
      <c r="I166" s="79">
        <v>83</v>
      </c>
      <c r="J166" s="78"/>
      <c r="K166" s="79"/>
      <c r="L166" s="79"/>
      <c r="M166" s="149"/>
      <c r="N166" s="79"/>
      <c r="O166" s="79"/>
      <c r="P166" s="79"/>
      <c r="Q166" s="79"/>
      <c r="R166" s="79"/>
      <c r="S166" s="80">
        <f t="shared" si="33"/>
        <v>3524</v>
      </c>
      <c r="T166" s="278"/>
    </row>
    <row r="167" spans="3:20" ht="15" customHeight="1" x14ac:dyDescent="0.25">
      <c r="C167" s="275"/>
      <c r="D167" s="95" t="s">
        <v>151</v>
      </c>
      <c r="E167" s="95" t="s">
        <v>169</v>
      </c>
      <c r="F167" s="78">
        <f>11000+4500+2000-1200+30450+7000+9000</f>
        <v>62750</v>
      </c>
      <c r="G167" s="78"/>
      <c r="H167" s="78">
        <v>1435</v>
      </c>
      <c r="I167" s="79"/>
      <c r="J167" s="78"/>
      <c r="K167" s="79"/>
      <c r="L167" s="79"/>
      <c r="M167" s="149"/>
      <c r="N167" s="79"/>
      <c r="O167" s="79"/>
      <c r="P167" s="79"/>
      <c r="Q167" s="79"/>
      <c r="R167" s="79"/>
      <c r="S167" s="80">
        <f t="shared" si="33"/>
        <v>64185</v>
      </c>
      <c r="T167" s="279"/>
    </row>
    <row r="168" spans="3:20" ht="15" customHeight="1" x14ac:dyDescent="0.25">
      <c r="C168" s="275"/>
      <c r="D168" s="97" t="s">
        <v>152</v>
      </c>
      <c r="E168" s="97" t="s">
        <v>144</v>
      </c>
      <c r="F168" s="85"/>
      <c r="G168" s="46"/>
      <c r="H168" s="85"/>
      <c r="I168" s="46"/>
      <c r="J168" s="46"/>
      <c r="K168" s="46"/>
      <c r="L168" s="46"/>
      <c r="M168" s="152"/>
      <c r="N168" s="46"/>
      <c r="O168" s="89">
        <v>870</v>
      </c>
      <c r="P168" s="46"/>
      <c r="Q168" s="46"/>
      <c r="R168" s="46"/>
      <c r="S168" s="83">
        <f t="shared" si="33"/>
        <v>870</v>
      </c>
      <c r="T168" s="280">
        <f>SUM(S168:S172)</f>
        <v>6062</v>
      </c>
    </row>
    <row r="169" spans="3:20" ht="15" customHeight="1" x14ac:dyDescent="0.25">
      <c r="C169" s="275"/>
      <c r="D169" s="97" t="s">
        <v>152</v>
      </c>
      <c r="E169" s="97" t="s">
        <v>145</v>
      </c>
      <c r="F169" s="85">
        <v>2988</v>
      </c>
      <c r="G169" s="46"/>
      <c r="H169" s="85"/>
      <c r="I169" s="46"/>
      <c r="J169" s="46"/>
      <c r="K169" s="46"/>
      <c r="L169" s="46"/>
      <c r="M169" s="152"/>
      <c r="N169" s="46"/>
      <c r="O169" s="46"/>
      <c r="P169" s="46"/>
      <c r="Q169" s="46"/>
      <c r="R169" s="46"/>
      <c r="S169" s="83">
        <f t="shared" si="33"/>
        <v>2988</v>
      </c>
      <c r="T169" s="281"/>
    </row>
    <row r="170" spans="3:20" ht="15" customHeight="1" x14ac:dyDescent="0.25">
      <c r="C170" s="275"/>
      <c r="D170" s="97" t="s">
        <v>152</v>
      </c>
      <c r="E170" s="97" t="s">
        <v>146</v>
      </c>
      <c r="F170" s="85">
        <v>299</v>
      </c>
      <c r="G170" s="46"/>
      <c r="H170" s="87">
        <v>159</v>
      </c>
      <c r="I170" s="46"/>
      <c r="J170" s="46"/>
      <c r="K170" s="46"/>
      <c r="L170" s="46"/>
      <c r="M170" s="152"/>
      <c r="N170" s="46"/>
      <c r="O170" s="46"/>
      <c r="P170" s="46"/>
      <c r="Q170" s="46"/>
      <c r="R170" s="46"/>
      <c r="S170" s="83">
        <f t="shared" si="33"/>
        <v>458</v>
      </c>
      <c r="T170" s="281"/>
    </row>
    <row r="171" spans="3:20" ht="15" customHeight="1" x14ac:dyDescent="0.25">
      <c r="C171" s="275"/>
      <c r="D171" s="97" t="s">
        <v>152</v>
      </c>
      <c r="E171" s="97" t="s">
        <v>147</v>
      </c>
      <c r="F171" s="85">
        <v>188</v>
      </c>
      <c r="G171" s="46"/>
      <c r="H171" s="87">
        <f>159+1399</f>
        <v>1558</v>
      </c>
      <c r="I171" s="46"/>
      <c r="J171" s="46"/>
      <c r="K171" s="46"/>
      <c r="L171" s="46"/>
      <c r="M171" s="152"/>
      <c r="N171" s="46"/>
      <c r="O171" s="46"/>
      <c r="P171" s="46"/>
      <c r="Q171" s="46"/>
      <c r="R171" s="46"/>
      <c r="S171" s="83">
        <f t="shared" si="33"/>
        <v>1746</v>
      </c>
      <c r="T171" s="281"/>
    </row>
    <row r="172" spans="3:20" ht="15" customHeight="1" x14ac:dyDescent="0.25">
      <c r="C172" s="275"/>
      <c r="D172" s="97" t="s">
        <v>152</v>
      </c>
      <c r="E172" s="97" t="s">
        <v>168</v>
      </c>
      <c r="F172" s="85"/>
      <c r="G172" s="46"/>
      <c r="H172" s="46"/>
      <c r="I172" s="46"/>
      <c r="J172" s="46"/>
      <c r="K172" s="46"/>
      <c r="L172" s="46"/>
      <c r="M172" s="152"/>
      <c r="N172" s="46"/>
      <c r="O172" s="46"/>
      <c r="P172" s="46"/>
      <c r="Q172" s="46"/>
      <c r="R172" s="46"/>
      <c r="S172" s="83">
        <f t="shared" si="33"/>
        <v>0</v>
      </c>
      <c r="T172" s="281"/>
    </row>
    <row r="173" spans="3:20" ht="15" customHeight="1" x14ac:dyDescent="0.25">
      <c r="C173" s="275"/>
      <c r="D173" s="98" t="s">
        <v>153</v>
      </c>
      <c r="E173" s="98" t="s">
        <v>170</v>
      </c>
      <c r="F173" s="81">
        <f>700+215+140+600+139+50+25+130+45+85+50+186+54+120+120+800+25+100+150</f>
        <v>3734</v>
      </c>
      <c r="G173" s="81"/>
      <c r="H173" s="81">
        <f>75+390+35+35+200+35+0+1144</f>
        <v>1914</v>
      </c>
      <c r="I173" s="81"/>
      <c r="J173" s="81"/>
      <c r="K173" s="81"/>
      <c r="L173" s="81">
        <f>5558+500</f>
        <v>6058</v>
      </c>
      <c r="M173" s="91"/>
      <c r="N173" s="81"/>
      <c r="O173" s="81"/>
      <c r="P173" s="81"/>
      <c r="Q173" s="81"/>
      <c r="R173" s="81"/>
      <c r="S173" s="81">
        <f t="shared" si="33"/>
        <v>11706</v>
      </c>
      <c r="T173" s="282">
        <f>SUM(S173:S177)</f>
        <v>84963</v>
      </c>
    </row>
    <row r="174" spans="3:20" ht="15" customHeight="1" x14ac:dyDescent="0.25">
      <c r="C174" s="275"/>
      <c r="D174" s="99" t="s">
        <v>153</v>
      </c>
      <c r="E174" s="99" t="s">
        <v>171</v>
      </c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>
        <f t="shared" si="33"/>
        <v>0</v>
      </c>
      <c r="T174" s="283"/>
    </row>
    <row r="175" spans="3:20" ht="15" customHeight="1" x14ac:dyDescent="0.25">
      <c r="C175" s="275"/>
      <c r="D175" s="99" t="s">
        <v>153</v>
      </c>
      <c r="E175" s="99" t="s">
        <v>172</v>
      </c>
      <c r="F175" s="82">
        <v>27778</v>
      </c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>
        <f t="shared" si="33"/>
        <v>27778</v>
      </c>
      <c r="T175" s="283"/>
    </row>
    <row r="176" spans="3:20" s="41" customFormat="1" ht="15" customHeight="1" x14ac:dyDescent="0.25">
      <c r="C176" s="276"/>
      <c r="D176" s="99" t="s">
        <v>153</v>
      </c>
      <c r="E176" s="99" t="s">
        <v>173</v>
      </c>
      <c r="F176" s="82"/>
      <c r="G176" s="82"/>
      <c r="H176" s="82"/>
      <c r="I176" s="82"/>
      <c r="J176" s="82"/>
      <c r="K176" s="82"/>
      <c r="L176" s="82"/>
      <c r="M176" s="82">
        <v>24729</v>
      </c>
      <c r="N176" s="82"/>
      <c r="O176" s="82"/>
      <c r="P176" s="82"/>
      <c r="Q176" s="82"/>
      <c r="R176" s="82"/>
      <c r="S176" s="82">
        <f t="shared" si="33"/>
        <v>24729</v>
      </c>
      <c r="T176" s="283"/>
    </row>
    <row r="177" spans="3:20" ht="15.75" customHeight="1" thickBot="1" x14ac:dyDescent="0.3">
      <c r="C177" s="276"/>
      <c r="D177" s="100" t="s">
        <v>153</v>
      </c>
      <c r="E177" s="100" t="s">
        <v>168</v>
      </c>
      <c r="F177" s="48">
        <f>600+150</f>
        <v>750</v>
      </c>
      <c r="G177" s="48"/>
      <c r="H177" s="48"/>
      <c r="I177" s="48"/>
      <c r="J177" s="48"/>
      <c r="K177" s="48"/>
      <c r="L177" s="48"/>
      <c r="M177" s="48"/>
      <c r="N177" s="48"/>
      <c r="O177" s="48">
        <v>20000</v>
      </c>
      <c r="P177" s="48"/>
      <c r="Q177" s="48"/>
      <c r="R177" s="48"/>
      <c r="S177" s="48">
        <f t="shared" si="33"/>
        <v>20750</v>
      </c>
      <c r="T177" s="283"/>
    </row>
    <row r="178" spans="3:20" ht="15" customHeight="1" x14ac:dyDescent="0.25">
      <c r="D178" s="101" t="s">
        <v>120</v>
      </c>
      <c r="E178" s="101" t="s">
        <v>120</v>
      </c>
      <c r="F178" s="64">
        <f>SUM(F161:F177)</f>
        <v>109522</v>
      </c>
      <c r="G178" s="64">
        <f>SUM(G161:G177)</f>
        <v>0</v>
      </c>
      <c r="H178" s="64">
        <f>SUM(H161:H177)</f>
        <v>15581</v>
      </c>
      <c r="I178" s="64">
        <f t="shared" ref="I178:P178" si="34">SUM(I161:I177)</f>
        <v>573</v>
      </c>
      <c r="J178" s="64">
        <f t="shared" si="34"/>
        <v>1277</v>
      </c>
      <c r="K178" s="64">
        <f t="shared" si="34"/>
        <v>0</v>
      </c>
      <c r="L178" s="64">
        <f t="shared" si="34"/>
        <v>9658</v>
      </c>
      <c r="M178" s="64">
        <f t="shared" si="34"/>
        <v>24729</v>
      </c>
      <c r="N178" s="64">
        <f t="shared" si="34"/>
        <v>0</v>
      </c>
      <c r="O178" s="64">
        <f t="shared" si="34"/>
        <v>23182</v>
      </c>
      <c r="P178" s="64">
        <f t="shared" si="34"/>
        <v>0</v>
      </c>
      <c r="Q178" s="64">
        <f>SUM(Q161:Q177)</f>
        <v>16011</v>
      </c>
      <c r="R178" s="64">
        <f>SUM(R161:R177)</f>
        <v>0</v>
      </c>
      <c r="S178" s="54">
        <f>SUM(S161:S177)</f>
        <v>200533</v>
      </c>
    </row>
    <row r="179" spans="3:20" ht="15.75" customHeight="1" thickBot="1" x14ac:dyDescent="0.3"/>
    <row r="180" spans="3:20" ht="17.25" x14ac:dyDescent="0.25">
      <c r="C180" s="275">
        <v>202210</v>
      </c>
      <c r="D180" s="94" t="s">
        <v>151</v>
      </c>
      <c r="E180" s="94" t="s">
        <v>165</v>
      </c>
      <c r="F180" s="60">
        <f>3028</f>
        <v>3028</v>
      </c>
      <c r="G180" s="59"/>
      <c r="H180" s="59">
        <f>206+392</f>
        <v>598</v>
      </c>
      <c r="I180" s="60"/>
      <c r="J180" s="59"/>
      <c r="K180" s="60"/>
      <c r="L180" s="60"/>
      <c r="M180" s="60"/>
      <c r="N180" s="60"/>
      <c r="O180" s="60"/>
      <c r="P180" s="60"/>
      <c r="Q180" s="60">
        <f>3079+10500-6000+800-800+3500-3500+1500+643</f>
        <v>9722</v>
      </c>
      <c r="R180" s="60"/>
      <c r="S180" s="44">
        <f t="shared" ref="S180:S196" si="35">SUM(F180:R180)</f>
        <v>13348</v>
      </c>
      <c r="T180" s="277">
        <f>SUM(S180:S186)</f>
        <v>61882</v>
      </c>
    </row>
    <row r="181" spans="3:20" ht="15" customHeight="1" x14ac:dyDescent="0.25">
      <c r="C181" s="275"/>
      <c r="D181" s="95" t="s">
        <v>151</v>
      </c>
      <c r="E181" s="95" t="s">
        <v>166</v>
      </c>
      <c r="F181" s="79">
        <f>80+120+100+80+30+15+80</f>
        <v>505</v>
      </c>
      <c r="G181" s="78"/>
      <c r="H181" s="78">
        <f>132+19+80+240+1322+103+15</f>
        <v>1911</v>
      </c>
      <c r="I181" s="79"/>
      <c r="J181" s="78"/>
      <c r="K181" s="79"/>
      <c r="L181" s="79">
        <v>500</v>
      </c>
      <c r="M181" s="79"/>
      <c r="N181" s="79"/>
      <c r="O181" s="79">
        <v>100</v>
      </c>
      <c r="P181" s="79"/>
      <c r="Q181" s="79"/>
      <c r="R181" s="79"/>
      <c r="S181" s="80">
        <f t="shared" si="35"/>
        <v>3016</v>
      </c>
      <c r="T181" s="278"/>
    </row>
    <row r="182" spans="3:20" ht="15" customHeight="1" x14ac:dyDescent="0.25">
      <c r="C182" s="275"/>
      <c r="D182" s="95" t="s">
        <v>151</v>
      </c>
      <c r="E182" s="95" t="s">
        <v>167</v>
      </c>
      <c r="F182" s="79">
        <f>1000+38+1224+176+250+145+310+55+60+1550+50+280+100+120+65+223+55+90</f>
        <v>5791</v>
      </c>
      <c r="G182" s="78"/>
      <c r="H182" s="78">
        <f>365+180+55+153+49+199+45+78+18+265+60+110+161+80+125+70+165+267+25+55+700+160+68+199+1000+85+285+0</f>
        <v>5022</v>
      </c>
      <c r="I182" s="79">
        <f>80+80+98+20+49+93+225+5+355</f>
        <v>1005</v>
      </c>
      <c r="J182" s="78">
        <f>404+250+220</f>
        <v>874</v>
      </c>
      <c r="K182" s="79"/>
      <c r="L182" s="79"/>
      <c r="M182" s="79"/>
      <c r="N182" s="79">
        <f>38+180+30+348+160+50+360+216+63+65</f>
        <v>1510</v>
      </c>
      <c r="O182" s="79">
        <f>55+15+308+3222+213+288</f>
        <v>4101</v>
      </c>
      <c r="P182" s="79"/>
      <c r="Q182" s="79">
        <f>2000+2000+2000+15</f>
        <v>6015</v>
      </c>
      <c r="R182" s="79"/>
      <c r="S182" s="80">
        <f t="shared" si="35"/>
        <v>24318</v>
      </c>
      <c r="T182" s="278"/>
    </row>
    <row r="183" spans="3:20" ht="15" customHeight="1" x14ac:dyDescent="0.25">
      <c r="C183" s="275"/>
      <c r="D183" s="95" t="s">
        <v>151</v>
      </c>
      <c r="E183" s="95" t="s">
        <v>209</v>
      </c>
      <c r="F183" s="79"/>
      <c r="G183" s="78"/>
      <c r="H183" s="78"/>
      <c r="I183" s="79"/>
      <c r="J183" s="78"/>
      <c r="K183" s="79"/>
      <c r="L183" s="79"/>
      <c r="M183" s="79"/>
      <c r="N183" s="79"/>
      <c r="O183" s="79"/>
      <c r="P183" s="79"/>
      <c r="Q183" s="79"/>
      <c r="R183" s="79"/>
      <c r="S183" s="80">
        <f t="shared" si="35"/>
        <v>0</v>
      </c>
      <c r="T183" s="278"/>
    </row>
    <row r="184" spans="3:20" ht="15" customHeight="1" x14ac:dyDescent="0.25">
      <c r="C184" s="275"/>
      <c r="D184" s="96" t="s">
        <v>151</v>
      </c>
      <c r="E184" s="95" t="s">
        <v>175</v>
      </c>
      <c r="F184" s="79"/>
      <c r="G184" s="78"/>
      <c r="H184" s="78"/>
      <c r="I184" s="78"/>
      <c r="J184" s="78"/>
      <c r="K184" s="79"/>
      <c r="L184" s="79"/>
      <c r="M184" s="79"/>
      <c r="N184" s="79"/>
      <c r="O184" s="79"/>
      <c r="P184" s="79"/>
      <c r="Q184" s="79"/>
      <c r="R184" s="79"/>
      <c r="S184" s="80">
        <f t="shared" si="35"/>
        <v>0</v>
      </c>
      <c r="T184" s="278"/>
    </row>
    <row r="185" spans="3:20" ht="15" customHeight="1" x14ac:dyDescent="0.25">
      <c r="C185" s="275"/>
      <c r="D185" s="95" t="s">
        <v>151</v>
      </c>
      <c r="E185" s="95" t="s">
        <v>234</v>
      </c>
      <c r="F185" s="79">
        <f>250+250+150+100+80</f>
        <v>830</v>
      </c>
      <c r="G185" s="78"/>
      <c r="H185" s="78">
        <v>368</v>
      </c>
      <c r="I185" s="79"/>
      <c r="J185" s="78"/>
      <c r="K185" s="79"/>
      <c r="L185" s="79"/>
      <c r="M185" s="79"/>
      <c r="N185" s="79"/>
      <c r="O185" s="79"/>
      <c r="P185" s="79"/>
      <c r="Q185" s="79"/>
      <c r="R185" s="79"/>
      <c r="S185" s="80">
        <f t="shared" si="35"/>
        <v>1198</v>
      </c>
      <c r="T185" s="278"/>
    </row>
    <row r="186" spans="3:20" ht="15" customHeight="1" x14ac:dyDescent="0.25">
      <c r="C186" s="275"/>
      <c r="D186" s="95" t="s">
        <v>151</v>
      </c>
      <c r="E186" s="95" t="s">
        <v>169</v>
      </c>
      <c r="F186" s="78">
        <f>11500+4500+250</f>
        <v>16250</v>
      </c>
      <c r="G186" s="78"/>
      <c r="H186" s="78">
        <v>3752</v>
      </c>
      <c r="I186" s="79"/>
      <c r="J186" s="78"/>
      <c r="K186" s="79"/>
      <c r="L186" s="79"/>
      <c r="M186" s="79"/>
      <c r="N186" s="79"/>
      <c r="O186" s="79"/>
      <c r="P186" s="79"/>
      <c r="Q186" s="79"/>
      <c r="R186" s="79"/>
      <c r="S186" s="80">
        <f t="shared" si="35"/>
        <v>20002</v>
      </c>
      <c r="T186" s="279"/>
    </row>
    <row r="187" spans="3:20" ht="15" customHeight="1" x14ac:dyDescent="0.25">
      <c r="C187" s="275"/>
      <c r="D187" s="97" t="s">
        <v>152</v>
      </c>
      <c r="E187" s="97" t="s">
        <v>144</v>
      </c>
      <c r="F187" s="85"/>
      <c r="G187" s="46"/>
      <c r="H187" s="85"/>
      <c r="I187" s="85">
        <v>1095</v>
      </c>
      <c r="J187" s="46"/>
      <c r="K187" s="46"/>
      <c r="L187" s="46"/>
      <c r="M187" s="152"/>
      <c r="N187" s="46"/>
      <c r="O187" s="86">
        <f>15400</f>
        <v>15400</v>
      </c>
      <c r="P187" s="46"/>
      <c r="Q187" s="86">
        <v>1500</v>
      </c>
      <c r="R187" s="46"/>
      <c r="S187" s="83">
        <f t="shared" si="35"/>
        <v>17995</v>
      </c>
      <c r="T187" s="280">
        <f>SUM(S187:S191)</f>
        <v>37355</v>
      </c>
    </row>
    <row r="188" spans="3:20" ht="15" customHeight="1" x14ac:dyDescent="0.25">
      <c r="C188" s="275"/>
      <c r="D188" s="97" t="s">
        <v>152</v>
      </c>
      <c r="E188" s="97" t="s">
        <v>145</v>
      </c>
      <c r="F188" s="85"/>
      <c r="G188" s="46"/>
      <c r="H188" s="85"/>
      <c r="I188" s="46"/>
      <c r="J188" s="46"/>
      <c r="K188" s="46"/>
      <c r="L188" s="46"/>
      <c r="M188" s="152"/>
      <c r="N188" s="46"/>
      <c r="O188" s="86">
        <f>15400</f>
        <v>15400</v>
      </c>
      <c r="P188" s="46"/>
      <c r="Q188" s="46"/>
      <c r="R188" s="46"/>
      <c r="S188" s="83">
        <f t="shared" si="35"/>
        <v>15400</v>
      </c>
      <c r="T188" s="281"/>
    </row>
    <row r="189" spans="3:20" ht="15" customHeight="1" x14ac:dyDescent="0.25">
      <c r="C189" s="275"/>
      <c r="D189" s="97" t="s">
        <v>152</v>
      </c>
      <c r="E189" s="97" t="s">
        <v>146</v>
      </c>
      <c r="F189" s="86"/>
      <c r="G189" s="46"/>
      <c r="H189" s="87">
        <f>1940+40</f>
        <v>1980</v>
      </c>
      <c r="I189" s="46"/>
      <c r="J189" s="46"/>
      <c r="K189" s="46"/>
      <c r="L189" s="46"/>
      <c r="M189" s="152"/>
      <c r="N189" s="46"/>
      <c r="O189" s="46"/>
      <c r="P189" s="46"/>
      <c r="Q189" s="46"/>
      <c r="R189" s="46"/>
      <c r="S189" s="83">
        <f t="shared" si="35"/>
        <v>1980</v>
      </c>
      <c r="T189" s="281"/>
    </row>
    <row r="190" spans="3:20" ht="15" customHeight="1" x14ac:dyDescent="0.25">
      <c r="C190" s="275"/>
      <c r="D190" s="97" t="s">
        <v>152</v>
      </c>
      <c r="E190" s="97" t="s">
        <v>147</v>
      </c>
      <c r="F190" s="85"/>
      <c r="G190" s="46"/>
      <c r="H190" s="87">
        <f>1940+40</f>
        <v>1980</v>
      </c>
      <c r="I190" s="46"/>
      <c r="J190" s="46"/>
      <c r="K190" s="46"/>
      <c r="L190" s="46"/>
      <c r="M190" s="152"/>
      <c r="N190" s="46"/>
      <c r="O190" s="46"/>
      <c r="P190" s="46"/>
      <c r="Q190" s="46"/>
      <c r="R190" s="46"/>
      <c r="S190" s="83">
        <f t="shared" si="35"/>
        <v>1980</v>
      </c>
      <c r="T190" s="281"/>
    </row>
    <row r="191" spans="3:20" ht="15" customHeight="1" x14ac:dyDescent="0.25">
      <c r="C191" s="275"/>
      <c r="D191" s="97" t="s">
        <v>152</v>
      </c>
      <c r="E191" s="97" t="s">
        <v>168</v>
      </c>
      <c r="F191" s="85"/>
      <c r="G191" s="46"/>
      <c r="H191" s="89"/>
      <c r="I191" s="46"/>
      <c r="J191" s="46"/>
      <c r="K191" s="46"/>
      <c r="L191" s="46"/>
      <c r="M191" s="152"/>
      <c r="N191" s="46"/>
      <c r="O191" s="46"/>
      <c r="P191" s="46"/>
      <c r="Q191" s="46"/>
      <c r="R191" s="46"/>
      <c r="S191" s="83">
        <f t="shared" si="35"/>
        <v>0</v>
      </c>
      <c r="T191" s="281"/>
    </row>
    <row r="192" spans="3:20" ht="15" customHeight="1" x14ac:dyDescent="0.25">
      <c r="C192" s="275"/>
      <c r="D192" s="98" t="s">
        <v>153</v>
      </c>
      <c r="E192" s="98" t="s">
        <v>170</v>
      </c>
      <c r="F192" s="81">
        <f>345+610+120</f>
        <v>1075</v>
      </c>
      <c r="G192" s="81"/>
      <c r="H192" s="81">
        <f>1382+270+300+60+22+1362+149</f>
        <v>3545</v>
      </c>
      <c r="I192" s="81">
        <v>400</v>
      </c>
      <c r="J192" s="81"/>
      <c r="K192" s="81"/>
      <c r="L192" s="81"/>
      <c r="M192" s="81"/>
      <c r="N192" s="81"/>
      <c r="O192" s="81"/>
      <c r="P192" s="81"/>
      <c r="Q192" s="81"/>
      <c r="R192" s="81"/>
      <c r="S192" s="81">
        <f t="shared" si="35"/>
        <v>5020</v>
      </c>
      <c r="T192" s="282">
        <f>SUM(S192:S196)</f>
        <v>42192</v>
      </c>
    </row>
    <row r="193" spans="3:20" ht="15" customHeight="1" x14ac:dyDescent="0.25">
      <c r="C193" s="275"/>
      <c r="D193" s="99" t="s">
        <v>153</v>
      </c>
      <c r="E193" s="99" t="s">
        <v>171</v>
      </c>
      <c r="F193" s="82">
        <f>334+550</f>
        <v>884</v>
      </c>
      <c r="G193" s="82"/>
      <c r="H193" s="82"/>
      <c r="I193" s="82"/>
      <c r="J193" s="82">
        <v>1399</v>
      </c>
      <c r="K193" s="82"/>
      <c r="L193" s="82"/>
      <c r="M193" s="82"/>
      <c r="N193" s="82"/>
      <c r="O193" s="82"/>
      <c r="P193" s="82"/>
      <c r="Q193" s="82"/>
      <c r="R193" s="82"/>
      <c r="S193" s="82">
        <f t="shared" si="35"/>
        <v>2283</v>
      </c>
      <c r="T193" s="283"/>
    </row>
    <row r="194" spans="3:20" ht="15" customHeight="1" x14ac:dyDescent="0.25">
      <c r="C194" s="275"/>
      <c r="D194" s="99" t="s">
        <v>153</v>
      </c>
      <c r="E194" s="99" t="s">
        <v>172</v>
      </c>
      <c r="F194" s="82">
        <v>27778</v>
      </c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>
        <f t="shared" si="35"/>
        <v>27778</v>
      </c>
      <c r="T194" s="283"/>
    </row>
    <row r="195" spans="3:20" s="41" customFormat="1" ht="15" customHeight="1" x14ac:dyDescent="0.25">
      <c r="C195" s="276"/>
      <c r="D195" s="99" t="s">
        <v>153</v>
      </c>
      <c r="E195" s="99" t="s">
        <v>173</v>
      </c>
      <c r="F195" s="82"/>
      <c r="G195" s="82"/>
      <c r="H195" s="82">
        <f>2296*2</f>
        <v>4592</v>
      </c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>
        <f t="shared" si="35"/>
        <v>4592</v>
      </c>
      <c r="T195" s="283"/>
    </row>
    <row r="196" spans="3:20" ht="15.75" customHeight="1" thickBot="1" x14ac:dyDescent="0.3">
      <c r="C196" s="276"/>
      <c r="D196" s="100" t="s">
        <v>153</v>
      </c>
      <c r="E196" s="100" t="s">
        <v>168</v>
      </c>
      <c r="F196" s="48">
        <f>1019+600+900</f>
        <v>2519</v>
      </c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>
        <f t="shared" si="35"/>
        <v>2519</v>
      </c>
      <c r="T196" s="283"/>
    </row>
    <row r="197" spans="3:20" ht="15" customHeight="1" x14ac:dyDescent="0.25">
      <c r="D197" s="101" t="s">
        <v>120</v>
      </c>
      <c r="E197" s="101" t="s">
        <v>120</v>
      </c>
      <c r="F197" s="64">
        <f>SUM(F180:F196)</f>
        <v>58660</v>
      </c>
      <c r="G197" s="64">
        <f>SUM(G180:G196)</f>
        <v>0</v>
      </c>
      <c r="H197" s="64">
        <f>SUM(H180:H196)</f>
        <v>23748</v>
      </c>
      <c r="I197" s="64">
        <f t="shared" ref="I197:P197" si="36">SUM(I180:I196)</f>
        <v>2500</v>
      </c>
      <c r="J197" s="64">
        <f t="shared" si="36"/>
        <v>2273</v>
      </c>
      <c r="K197" s="64">
        <f t="shared" si="36"/>
        <v>0</v>
      </c>
      <c r="L197" s="64">
        <f t="shared" si="36"/>
        <v>500</v>
      </c>
      <c r="M197" s="64">
        <f t="shared" si="36"/>
        <v>0</v>
      </c>
      <c r="N197" s="64">
        <f t="shared" si="36"/>
        <v>1510</v>
      </c>
      <c r="O197" s="64">
        <f t="shared" si="36"/>
        <v>35001</v>
      </c>
      <c r="P197" s="64">
        <f t="shared" si="36"/>
        <v>0</v>
      </c>
      <c r="Q197" s="64">
        <f>SUM(Q180:Q196)</f>
        <v>17237</v>
      </c>
      <c r="R197" s="64">
        <f>SUM(R180:R196)</f>
        <v>0</v>
      </c>
      <c r="S197" s="54">
        <f>SUM(S180:S196)</f>
        <v>141429</v>
      </c>
    </row>
    <row r="198" spans="3:20" ht="15.75" customHeight="1" thickBot="1" x14ac:dyDescent="0.3"/>
    <row r="199" spans="3:20" ht="17.25" x14ac:dyDescent="0.25">
      <c r="C199" s="275">
        <v>202211</v>
      </c>
      <c r="D199" s="94" t="s">
        <v>151</v>
      </c>
      <c r="E199" s="94" t="s">
        <v>165</v>
      </c>
      <c r="F199" s="60">
        <f>3028</f>
        <v>3028</v>
      </c>
      <c r="G199" s="59"/>
      <c r="H199" s="59">
        <f>70+869+0+599+593+64</f>
        <v>2195</v>
      </c>
      <c r="I199" s="60"/>
      <c r="J199" s="59"/>
      <c r="K199" s="60"/>
      <c r="L199" s="60"/>
      <c r="M199" s="60"/>
      <c r="N199" s="60"/>
      <c r="O199" s="60"/>
      <c r="P199" s="60"/>
      <c r="Q199" s="60">
        <f>3079+10500-6000+939</f>
        <v>8518</v>
      </c>
      <c r="R199" s="60"/>
      <c r="S199" s="44">
        <f t="shared" ref="S199:S215" si="37">SUM(F199:R199)</f>
        <v>13741</v>
      </c>
      <c r="T199" s="277">
        <f>SUM(S199:S205)</f>
        <v>58832</v>
      </c>
    </row>
    <row r="200" spans="3:20" ht="15" customHeight="1" x14ac:dyDescent="0.25">
      <c r="C200" s="275"/>
      <c r="D200" s="95" t="s">
        <v>151</v>
      </c>
      <c r="E200" s="95" t="s">
        <v>166</v>
      </c>
      <c r="F200" s="79">
        <f>80+80+80+80+80+30</f>
        <v>430</v>
      </c>
      <c r="G200" s="78"/>
      <c r="H200" s="78">
        <f>124+874+500</f>
        <v>1498</v>
      </c>
      <c r="I200" s="79"/>
      <c r="J200" s="78"/>
      <c r="K200" s="79"/>
      <c r="L200" s="79"/>
      <c r="M200" s="79"/>
      <c r="N200" s="79">
        <v>45</v>
      </c>
      <c r="O200" s="79">
        <v>1296</v>
      </c>
      <c r="P200" s="79"/>
      <c r="Q200" s="79"/>
      <c r="R200" s="79"/>
      <c r="S200" s="80">
        <f t="shared" si="37"/>
        <v>3269</v>
      </c>
      <c r="T200" s="278"/>
    </row>
    <row r="201" spans="3:20" ht="15" customHeight="1" x14ac:dyDescent="0.25">
      <c r="C201" s="275"/>
      <c r="D201" s="95" t="s">
        <v>151</v>
      </c>
      <c r="E201" s="95" t="s">
        <v>167</v>
      </c>
      <c r="F201" s="79">
        <f>1224+60+355+50+50+50+310+125+65+65+80+55+178+69+470+90+260+105+607+43+310+75</f>
        <v>4696</v>
      </c>
      <c r="G201" s="78"/>
      <c r="H201" s="78">
        <f>98+180+113+397+(600-300)+190+65+70+(235-35)+28+55+70+35+199+604+40+520+45+65+140+165+91+40+250+276+686+68+170</f>
        <v>5160</v>
      </c>
      <c r="I201" s="79">
        <f>200+72+95+40+55+0+49+85+60+120+32</f>
        <v>808</v>
      </c>
      <c r="J201" s="78">
        <f>170</f>
        <v>170</v>
      </c>
      <c r="K201" s="79"/>
      <c r="L201" s="79"/>
      <c r="M201" s="79">
        <v>35</v>
      </c>
      <c r="N201" s="79">
        <f>312+168+86+50</f>
        <v>616</v>
      </c>
      <c r="O201" s="79">
        <f>213+27+28+155+41+30+45</f>
        <v>539</v>
      </c>
      <c r="P201" s="79"/>
      <c r="Q201" s="79">
        <f>2000+2000+2000+2000</f>
        <v>8000</v>
      </c>
      <c r="R201" s="79"/>
      <c r="S201" s="80">
        <f t="shared" si="37"/>
        <v>20024</v>
      </c>
      <c r="T201" s="278"/>
    </row>
    <row r="202" spans="3:20" ht="15" customHeight="1" x14ac:dyDescent="0.25">
      <c r="C202" s="275"/>
      <c r="D202" s="95" t="s">
        <v>151</v>
      </c>
      <c r="E202" s="95" t="s">
        <v>209</v>
      </c>
      <c r="F202" s="79"/>
      <c r="G202" s="78"/>
      <c r="H202" s="78"/>
      <c r="I202" s="79"/>
      <c r="J202" s="78"/>
      <c r="K202" s="79"/>
      <c r="L202" s="79"/>
      <c r="M202" s="79"/>
      <c r="N202" s="79"/>
      <c r="O202" s="79"/>
      <c r="P202" s="79"/>
      <c r="Q202" s="79"/>
      <c r="R202" s="79"/>
      <c r="S202" s="80">
        <f t="shared" si="37"/>
        <v>0</v>
      </c>
      <c r="T202" s="278"/>
    </row>
    <row r="203" spans="3:20" ht="15" customHeight="1" x14ac:dyDescent="0.25">
      <c r="C203" s="275"/>
      <c r="D203" s="96" t="s">
        <v>151</v>
      </c>
      <c r="E203" s="95" t="s">
        <v>175</v>
      </c>
      <c r="F203" s="79"/>
      <c r="G203" s="78"/>
      <c r="H203" s="78"/>
      <c r="I203" s="78"/>
      <c r="J203" s="78"/>
      <c r="K203" s="79"/>
      <c r="L203" s="79"/>
      <c r="M203" s="79"/>
      <c r="N203" s="79"/>
      <c r="O203" s="79"/>
      <c r="P203" s="79"/>
      <c r="Q203" s="79"/>
      <c r="R203" s="79"/>
      <c r="S203" s="80">
        <f t="shared" si="37"/>
        <v>0</v>
      </c>
      <c r="T203" s="278"/>
    </row>
    <row r="204" spans="3:20" ht="15" customHeight="1" x14ac:dyDescent="0.25">
      <c r="C204" s="275"/>
      <c r="D204" s="95" t="s">
        <v>151</v>
      </c>
      <c r="E204" s="95" t="s">
        <v>234</v>
      </c>
      <c r="F204" s="79">
        <f>50+80+100</f>
        <v>230</v>
      </c>
      <c r="G204" s="78">
        <v>100</v>
      </c>
      <c r="H204" s="78"/>
      <c r="I204" s="79"/>
      <c r="J204" s="78"/>
      <c r="K204" s="79"/>
      <c r="L204" s="79"/>
      <c r="M204" s="79"/>
      <c r="N204" s="79"/>
      <c r="O204" s="79"/>
      <c r="P204" s="79"/>
      <c r="Q204" s="79">
        <v>499</v>
      </c>
      <c r="R204" s="79"/>
      <c r="S204" s="80">
        <f t="shared" si="37"/>
        <v>829</v>
      </c>
      <c r="T204" s="278"/>
    </row>
    <row r="205" spans="3:20" ht="15" customHeight="1" x14ac:dyDescent="0.25">
      <c r="C205" s="275"/>
      <c r="D205" s="95" t="s">
        <v>151</v>
      </c>
      <c r="E205" s="95" t="s">
        <v>169</v>
      </c>
      <c r="F205" s="78">
        <f>11500+4500+4969</f>
        <v>20969</v>
      </c>
      <c r="G205" s="78"/>
      <c r="H205" s="78"/>
      <c r="I205" s="79"/>
      <c r="J205" s="78"/>
      <c r="K205" s="79"/>
      <c r="L205" s="79"/>
      <c r="M205" s="79"/>
      <c r="N205" s="79"/>
      <c r="O205" s="79"/>
      <c r="P205" s="79"/>
      <c r="Q205" s="79"/>
      <c r="R205" s="79"/>
      <c r="S205" s="80">
        <f t="shared" si="37"/>
        <v>20969</v>
      </c>
      <c r="T205" s="279"/>
    </row>
    <row r="206" spans="3:20" ht="15" customHeight="1" x14ac:dyDescent="0.25">
      <c r="C206" s="275"/>
      <c r="D206" s="97" t="s">
        <v>152</v>
      </c>
      <c r="E206" s="97" t="s">
        <v>144</v>
      </c>
      <c r="F206" s="89">
        <f>2746+15</f>
        <v>2761</v>
      </c>
      <c r="G206" s="46"/>
      <c r="H206" s="85"/>
      <c r="I206" s="46"/>
      <c r="J206" s="46"/>
      <c r="K206" s="46"/>
      <c r="L206" s="46"/>
      <c r="M206" s="152">
        <f>569+429</f>
        <v>998</v>
      </c>
      <c r="N206" s="46"/>
      <c r="O206" s="86">
        <v>1000</v>
      </c>
      <c r="P206" s="46"/>
      <c r="Q206" s="46"/>
      <c r="R206" s="46"/>
      <c r="S206" s="83">
        <f t="shared" si="37"/>
        <v>4759</v>
      </c>
      <c r="T206" s="280">
        <f>SUM(S206:S210)</f>
        <v>13608</v>
      </c>
    </row>
    <row r="207" spans="3:20" ht="15" customHeight="1" x14ac:dyDescent="0.25">
      <c r="C207" s="275"/>
      <c r="D207" s="97" t="s">
        <v>152</v>
      </c>
      <c r="E207" s="97" t="s">
        <v>145</v>
      </c>
      <c r="F207" s="85"/>
      <c r="G207" s="46"/>
      <c r="H207" s="85"/>
      <c r="I207" s="46"/>
      <c r="J207" s="46"/>
      <c r="K207" s="46"/>
      <c r="L207" s="46"/>
      <c r="M207" s="152"/>
      <c r="N207" s="46"/>
      <c r="O207" s="86">
        <f>1400+3600+750</f>
        <v>5750</v>
      </c>
      <c r="P207" s="46"/>
      <c r="Q207" s="46"/>
      <c r="R207" s="46"/>
      <c r="S207" s="83">
        <f t="shared" si="37"/>
        <v>5750</v>
      </c>
      <c r="T207" s="281"/>
    </row>
    <row r="208" spans="3:20" ht="15" customHeight="1" x14ac:dyDescent="0.25">
      <c r="C208" s="275"/>
      <c r="D208" s="97" t="s">
        <v>152</v>
      </c>
      <c r="E208" s="97" t="s">
        <v>146</v>
      </c>
      <c r="F208" s="86"/>
      <c r="G208" s="46"/>
      <c r="H208" s="87">
        <f>60+738</f>
        <v>798</v>
      </c>
      <c r="I208" s="46"/>
      <c r="J208" s="89">
        <v>329</v>
      </c>
      <c r="K208" s="46"/>
      <c r="L208" s="46"/>
      <c r="M208" s="152"/>
      <c r="N208" s="46"/>
      <c r="O208" s="85">
        <v>860</v>
      </c>
      <c r="P208" s="46"/>
      <c r="Q208" s="46"/>
      <c r="R208" s="46"/>
      <c r="S208" s="83">
        <f t="shared" si="37"/>
        <v>1987</v>
      </c>
      <c r="T208" s="281"/>
    </row>
    <row r="209" spans="1:20" ht="15" customHeight="1" x14ac:dyDescent="0.25">
      <c r="C209" s="275"/>
      <c r="D209" s="97" t="s">
        <v>152</v>
      </c>
      <c r="E209" s="97" t="s">
        <v>147</v>
      </c>
      <c r="F209" s="85"/>
      <c r="G209" s="46"/>
      <c r="H209" s="87">
        <f>60+400</f>
        <v>460</v>
      </c>
      <c r="I209" s="46"/>
      <c r="J209" s="89">
        <v>329</v>
      </c>
      <c r="K209" s="46"/>
      <c r="L209" s="46"/>
      <c r="M209" s="152"/>
      <c r="N209" s="46"/>
      <c r="O209" s="46"/>
      <c r="P209" s="46"/>
      <c r="Q209" s="46"/>
      <c r="R209" s="46"/>
      <c r="S209" s="83">
        <f t="shared" si="37"/>
        <v>789</v>
      </c>
      <c r="T209" s="281"/>
    </row>
    <row r="210" spans="1:20" ht="15" customHeight="1" x14ac:dyDescent="0.25">
      <c r="C210" s="275"/>
      <c r="D210" s="97" t="s">
        <v>152</v>
      </c>
      <c r="E210" s="97" t="s">
        <v>168</v>
      </c>
      <c r="F210" s="85"/>
      <c r="G210" s="46"/>
      <c r="H210" s="89">
        <v>323</v>
      </c>
      <c r="I210" s="46"/>
      <c r="J210" s="46"/>
      <c r="K210" s="46"/>
      <c r="L210" s="46"/>
      <c r="M210" s="152"/>
      <c r="N210" s="46"/>
      <c r="O210" s="46"/>
      <c r="P210" s="46"/>
      <c r="Q210" s="46"/>
      <c r="R210" s="46"/>
      <c r="S210" s="83">
        <f t="shared" si="37"/>
        <v>323</v>
      </c>
      <c r="T210" s="281"/>
    </row>
    <row r="211" spans="1:20" ht="15" customHeight="1" x14ac:dyDescent="0.25">
      <c r="C211" s="275"/>
      <c r="D211" s="98" t="s">
        <v>153</v>
      </c>
      <c r="E211" s="98" t="s">
        <v>170</v>
      </c>
      <c r="F211" s="81">
        <f>4000+105+175+50+131+350+36+405+409+1400+210+100+640+25+435</f>
        <v>8471</v>
      </c>
      <c r="G211" s="81"/>
      <c r="H211" s="81">
        <f>474+370+200+0-227+300+90+200+711+0+500+344+0</f>
        <v>2962</v>
      </c>
      <c r="I211" s="81"/>
      <c r="J211" s="81">
        <v>900</v>
      </c>
      <c r="K211" s="81"/>
      <c r="L211" s="81"/>
      <c r="M211" s="81">
        <f>489+100+7210</f>
        <v>7799</v>
      </c>
      <c r="N211" s="81"/>
      <c r="O211" s="81"/>
      <c r="P211" s="81"/>
      <c r="Q211" s="81">
        <v>1100</v>
      </c>
      <c r="R211" s="81"/>
      <c r="S211" s="81">
        <f t="shared" si="37"/>
        <v>21232</v>
      </c>
      <c r="T211" s="282">
        <f>SUM(S211:S215)</f>
        <v>62317</v>
      </c>
    </row>
    <row r="212" spans="1:20" ht="15" customHeight="1" x14ac:dyDescent="0.25">
      <c r="C212" s="275"/>
      <c r="D212" s="99" t="s">
        <v>153</v>
      </c>
      <c r="E212" s="99" t="s">
        <v>171</v>
      </c>
      <c r="F212" s="82">
        <v>720</v>
      </c>
      <c r="G212" s="82"/>
      <c r="H212" s="82">
        <f>273+2020</f>
        <v>2293</v>
      </c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>
        <f t="shared" si="37"/>
        <v>3013</v>
      </c>
      <c r="T212" s="283"/>
    </row>
    <row r="213" spans="1:20" ht="15" customHeight="1" x14ac:dyDescent="0.25">
      <c r="C213" s="275"/>
      <c r="D213" s="99" t="s">
        <v>153</v>
      </c>
      <c r="E213" s="99" t="s">
        <v>172</v>
      </c>
      <c r="F213" s="82">
        <v>27778</v>
      </c>
      <c r="G213" s="82"/>
      <c r="H213" s="82">
        <f>1975</f>
        <v>1975</v>
      </c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>
        <f t="shared" si="37"/>
        <v>29753</v>
      </c>
      <c r="T213" s="283"/>
    </row>
    <row r="214" spans="1:20" s="41" customFormat="1" ht="15" customHeight="1" x14ac:dyDescent="0.25">
      <c r="C214" s="276"/>
      <c r="D214" s="99" t="s">
        <v>153</v>
      </c>
      <c r="E214" s="99" t="s">
        <v>173</v>
      </c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>
        <f t="shared" si="37"/>
        <v>0</v>
      </c>
      <c r="T214" s="283"/>
    </row>
    <row r="215" spans="1:20" ht="15.75" customHeight="1" thickBot="1" x14ac:dyDescent="0.3">
      <c r="C215" s="276"/>
      <c r="D215" s="100" t="s">
        <v>153</v>
      </c>
      <c r="E215" s="100" t="s">
        <v>168</v>
      </c>
      <c r="F215" s="48"/>
      <c r="G215" s="48"/>
      <c r="H215" s="48">
        <f>1684</f>
        <v>1684</v>
      </c>
      <c r="I215" s="48"/>
      <c r="J215" s="48"/>
      <c r="K215" s="48"/>
      <c r="L215" s="48"/>
      <c r="M215" s="48"/>
      <c r="N215" s="48">
        <v>3300</v>
      </c>
      <c r="O215" s="48">
        <v>1320</v>
      </c>
      <c r="P215" s="48"/>
      <c r="Q215" s="48">
        <v>2015</v>
      </c>
      <c r="R215" s="48"/>
      <c r="S215" s="48">
        <f t="shared" si="37"/>
        <v>8319</v>
      </c>
      <c r="T215" s="283"/>
    </row>
    <row r="216" spans="1:20" ht="15" customHeight="1" x14ac:dyDescent="0.25">
      <c r="D216" s="101" t="s">
        <v>120</v>
      </c>
      <c r="E216" s="101" t="s">
        <v>120</v>
      </c>
      <c r="F216" s="64">
        <f>SUM(F199:F215)</f>
        <v>69083</v>
      </c>
      <c r="G216" s="64">
        <f>SUM(G199:G215)</f>
        <v>100</v>
      </c>
      <c r="H216" s="64">
        <f>SUM(H199:H215)</f>
        <v>19348</v>
      </c>
      <c r="I216" s="64">
        <f t="shared" ref="I216:P216" si="38">SUM(I199:I215)</f>
        <v>808</v>
      </c>
      <c r="J216" s="64">
        <f t="shared" si="38"/>
        <v>1728</v>
      </c>
      <c r="K216" s="64">
        <f t="shared" si="38"/>
        <v>0</v>
      </c>
      <c r="L216" s="64">
        <f t="shared" si="38"/>
        <v>0</v>
      </c>
      <c r="M216" s="64">
        <f t="shared" si="38"/>
        <v>8832</v>
      </c>
      <c r="N216" s="64">
        <f t="shared" si="38"/>
        <v>3961</v>
      </c>
      <c r="O216" s="64">
        <f t="shared" si="38"/>
        <v>10765</v>
      </c>
      <c r="P216" s="64">
        <f t="shared" si="38"/>
        <v>0</v>
      </c>
      <c r="Q216" s="64">
        <f>SUM(Q199:Q215)</f>
        <v>20132</v>
      </c>
      <c r="R216" s="64">
        <f>SUM(R199:R215)</f>
        <v>0</v>
      </c>
      <c r="S216" s="54">
        <f>SUM(S199:S215)</f>
        <v>134757</v>
      </c>
    </row>
    <row r="217" spans="1:20" ht="15.75" customHeight="1" thickBot="1" x14ac:dyDescent="0.3"/>
    <row r="218" spans="1:20" ht="17.25" x14ac:dyDescent="0.25">
      <c r="C218" s="275">
        <v>202212</v>
      </c>
      <c r="D218" s="94" t="s">
        <v>151</v>
      </c>
      <c r="E218" s="94" t="s">
        <v>165</v>
      </c>
      <c r="F218" s="60">
        <f>3028</f>
        <v>3028</v>
      </c>
      <c r="G218" s="59"/>
      <c r="H218" s="59">
        <f>336+70+883+1760</f>
        <v>3049</v>
      </c>
      <c r="I218" s="60">
        <f>599+267</f>
        <v>866</v>
      </c>
      <c r="J218" s="59"/>
      <c r="K218" s="60"/>
      <c r="L218" s="60"/>
      <c r="M218" s="60"/>
      <c r="N218" s="60"/>
      <c r="O218" s="60"/>
      <c r="P218" s="60"/>
      <c r="Q218" s="60">
        <f>6753+10500-6000+596+0+741</f>
        <v>12590</v>
      </c>
      <c r="R218" s="60"/>
      <c r="S218" s="44">
        <f t="shared" ref="S218:S234" si="39">SUM(F218:R218)</f>
        <v>19533</v>
      </c>
      <c r="T218" s="277">
        <f>SUM(S218:S224)</f>
        <v>93862</v>
      </c>
    </row>
    <row r="219" spans="1:20" ht="15" customHeight="1" x14ac:dyDescent="0.25">
      <c r="C219" s="275"/>
      <c r="D219" s="95" t="s">
        <v>151</v>
      </c>
      <c r="E219" s="95" t="s">
        <v>166</v>
      </c>
      <c r="F219" s="79">
        <f>80+200+90+60+40+80</f>
        <v>550</v>
      </c>
      <c r="G219" s="78"/>
      <c r="H219" s="78">
        <f>1389+49+0</f>
        <v>1438</v>
      </c>
      <c r="I219" s="79">
        <f>1375+30</f>
        <v>1405</v>
      </c>
      <c r="J219" s="78"/>
      <c r="K219" s="79"/>
      <c r="L219" s="79">
        <v>500</v>
      </c>
      <c r="M219" s="79"/>
      <c r="N219" s="79">
        <f>43+25</f>
        <v>68</v>
      </c>
      <c r="O219" s="79">
        <v>500</v>
      </c>
      <c r="P219" s="79"/>
      <c r="Q219" s="79"/>
      <c r="R219" s="79"/>
      <c r="S219" s="80">
        <f t="shared" si="39"/>
        <v>4461</v>
      </c>
      <c r="T219" s="278"/>
    </row>
    <row r="220" spans="1:20" ht="15" customHeight="1" x14ac:dyDescent="0.25">
      <c r="A220" s="166" t="s">
        <v>248</v>
      </c>
      <c r="B220" s="167">
        <v>202212</v>
      </c>
      <c r="C220" s="275"/>
      <c r="D220" s="95" t="s">
        <v>151</v>
      </c>
      <c r="E220" s="95" t="s">
        <v>167</v>
      </c>
      <c r="F220" s="79">
        <f>640+60+200+90+145+60+75+200+160+60+100+120+152+680+181</f>
        <v>2923</v>
      </c>
      <c r="G220" s="78"/>
      <c r="H220" s="78">
        <f>80+276+174+128+27+45+80+68+245-185+32+110+199+100+50+0+70+247+199+116+145+270+230+80+80+870+425+211+630+560</f>
        <v>5562</v>
      </c>
      <c r="I220" s="79">
        <f>580+150+500+260+95+105+240+189+219</f>
        <v>2338</v>
      </c>
      <c r="J220" s="78">
        <f>1779-1779+633-633+611</f>
        <v>611</v>
      </c>
      <c r="K220" s="79"/>
      <c r="L220" s="79"/>
      <c r="M220" s="79">
        <f>799</f>
        <v>799</v>
      </c>
      <c r="N220" s="79">
        <f>50+360+311+95+59+254+50+40+77+50</f>
        <v>1346</v>
      </c>
      <c r="O220" s="79">
        <f>443+35+250+660+50+100+289+475+10+750+66+160+90</f>
        <v>3378</v>
      </c>
      <c r="P220" s="79"/>
      <c r="Q220" s="79">
        <f>2000+240+2000+2000+2000</f>
        <v>8240</v>
      </c>
      <c r="R220" s="79"/>
      <c r="S220" s="80">
        <f t="shared" si="39"/>
        <v>25197</v>
      </c>
      <c r="T220" s="278"/>
    </row>
    <row r="221" spans="1:20" ht="15" customHeight="1" thickBot="1" x14ac:dyDescent="0.3">
      <c r="A221" s="164" t="s">
        <v>247</v>
      </c>
      <c r="B221" s="175">
        <f>J2</f>
        <v>130000</v>
      </c>
      <c r="C221" s="275"/>
      <c r="D221" s="95" t="s">
        <v>151</v>
      </c>
      <c r="E221" s="95" t="s">
        <v>209</v>
      </c>
      <c r="F221" s="79"/>
      <c r="G221" s="78"/>
      <c r="H221" s="78"/>
      <c r="I221" s="79"/>
      <c r="J221" s="78"/>
      <c r="K221" s="79"/>
      <c r="L221" s="79"/>
      <c r="M221" s="79"/>
      <c r="N221" s="79"/>
      <c r="O221" s="79"/>
      <c r="P221" s="79"/>
      <c r="Q221" s="79"/>
      <c r="R221" s="79"/>
      <c r="S221" s="80">
        <f t="shared" si="39"/>
        <v>0</v>
      </c>
      <c r="T221" s="278"/>
    </row>
    <row r="222" spans="1:20" ht="15" customHeight="1" thickTop="1" x14ac:dyDescent="0.25">
      <c r="A222" s="165" t="s">
        <v>237</v>
      </c>
      <c r="B222" s="155">
        <f>SUMPRODUCT(((V10:V21)&lt;=VALUE(B220))*(Z10:Z21))</f>
        <v>1918708</v>
      </c>
      <c r="C222" s="275"/>
      <c r="D222" s="96" t="s">
        <v>151</v>
      </c>
      <c r="E222" s="95" t="s">
        <v>175</v>
      </c>
      <c r="F222" s="79"/>
      <c r="G222" s="78"/>
      <c r="H222" s="78"/>
      <c r="I222" s="78"/>
      <c r="J222" s="78"/>
      <c r="K222" s="79"/>
      <c r="L222" s="79"/>
      <c r="M222" s="79"/>
      <c r="N222" s="79"/>
      <c r="O222" s="79"/>
      <c r="P222" s="79"/>
      <c r="Q222" s="79"/>
      <c r="R222" s="79"/>
      <c r="S222" s="80">
        <f t="shared" si="39"/>
        <v>0</v>
      </c>
      <c r="T222" s="278"/>
    </row>
    <row r="223" spans="1:20" ht="15" customHeight="1" x14ac:dyDescent="0.25">
      <c r="A223" s="165" t="s">
        <v>236</v>
      </c>
      <c r="B223" s="153">
        <f>B222-L2*VALUE(RIGHT(B220,2))/12</f>
        <v>1573541</v>
      </c>
      <c r="C223" s="275"/>
      <c r="D223" s="95" t="s">
        <v>151</v>
      </c>
      <c r="E223" s="95" t="s">
        <v>234</v>
      </c>
      <c r="F223" s="79">
        <f>570+400+199+72+290</f>
        <v>1531</v>
      </c>
      <c r="G223" s="78"/>
      <c r="H223" s="78">
        <f>369+960+989+180</f>
        <v>2498</v>
      </c>
      <c r="I223" s="79">
        <v>92</v>
      </c>
      <c r="J223" s="78"/>
      <c r="K223" s="79"/>
      <c r="L223" s="79"/>
      <c r="M223" s="79"/>
      <c r="N223" s="79"/>
      <c r="O223" s="79"/>
      <c r="P223" s="79"/>
      <c r="Q223" s="79"/>
      <c r="R223" s="79"/>
      <c r="S223" s="80">
        <f t="shared" si="39"/>
        <v>4121</v>
      </c>
      <c r="T223" s="278"/>
    </row>
    <row r="224" spans="1:20" ht="15" customHeight="1" x14ac:dyDescent="0.25">
      <c r="A224" s="164" t="s">
        <v>242</v>
      </c>
      <c r="B224" s="157">
        <f>B223/(J2*12)</f>
        <v>1.0086801282051283</v>
      </c>
      <c r="C224" s="275"/>
      <c r="D224" s="95" t="s">
        <v>151</v>
      </c>
      <c r="E224" s="95" t="s">
        <v>169</v>
      </c>
      <c r="F224" s="78">
        <f>11500+4500+1750+5000+5000+100+600+2600+9500</f>
        <v>40550</v>
      </c>
      <c r="G224" s="78"/>
      <c r="H224" s="78"/>
      <c r="I224" s="79"/>
      <c r="J224" s="78"/>
      <c r="K224" s="79"/>
      <c r="L224" s="79"/>
      <c r="M224" s="79"/>
      <c r="N224" s="79"/>
      <c r="O224" s="79"/>
      <c r="P224" s="79"/>
      <c r="Q224" s="79"/>
      <c r="R224" s="79"/>
      <c r="S224" s="80">
        <f t="shared" si="39"/>
        <v>40550</v>
      </c>
      <c r="T224" s="279"/>
    </row>
    <row r="225" spans="1:20" ht="15" customHeight="1" x14ac:dyDescent="0.25">
      <c r="A225" s="164" t="s">
        <v>241</v>
      </c>
      <c r="B225" s="126">
        <f>VALUE(RIGHT(B220,2))/12</f>
        <v>1</v>
      </c>
      <c r="C225" s="275"/>
      <c r="D225" s="97" t="s">
        <v>152</v>
      </c>
      <c r="E225" s="97" t="s">
        <v>144</v>
      </c>
      <c r="F225" s="85">
        <f>1915+250</f>
        <v>2165</v>
      </c>
      <c r="G225" s="46"/>
      <c r="H225" s="85">
        <f>2952+1800+12000</f>
        <v>16752</v>
      </c>
      <c r="I225" s="46"/>
      <c r="J225" s="46"/>
      <c r="K225" s="46"/>
      <c r="L225" s="46"/>
      <c r="M225" s="152"/>
      <c r="N225" s="46"/>
      <c r="O225" s="89">
        <v>490</v>
      </c>
      <c r="P225" s="46"/>
      <c r="Q225" s="46"/>
      <c r="R225" s="46"/>
      <c r="S225" s="83">
        <f t="shared" si="39"/>
        <v>19407</v>
      </c>
      <c r="T225" s="280">
        <f>SUM(S225:S229)</f>
        <v>30324</v>
      </c>
    </row>
    <row r="226" spans="1:20" ht="15" customHeight="1" x14ac:dyDescent="0.25">
      <c r="A226" s="164" t="s">
        <v>243</v>
      </c>
      <c r="B226" s="161">
        <f>VALUE(RIGHT(B220,2))*J2-B223</f>
        <v>-13541</v>
      </c>
      <c r="C226" s="275"/>
      <c r="D226" s="97" t="s">
        <v>152</v>
      </c>
      <c r="E226" s="97" t="s">
        <v>145</v>
      </c>
      <c r="F226" s="85"/>
      <c r="G226" s="46"/>
      <c r="H226" s="85">
        <f>2952</f>
        <v>2952</v>
      </c>
      <c r="I226" s="46"/>
      <c r="J226" s="46"/>
      <c r="K226" s="46"/>
      <c r="L226" s="46"/>
      <c r="M226" s="152"/>
      <c r="N226" s="46"/>
      <c r="O226" s="89">
        <f>360+840</f>
        <v>1200</v>
      </c>
      <c r="P226" s="46"/>
      <c r="Q226" s="46"/>
      <c r="R226" s="46"/>
      <c r="S226" s="83">
        <f t="shared" si="39"/>
        <v>4152</v>
      </c>
      <c r="T226" s="281"/>
    </row>
    <row r="227" spans="1:20" ht="15" customHeight="1" x14ac:dyDescent="0.25">
      <c r="C227" s="275"/>
      <c r="D227" s="97" t="s">
        <v>152</v>
      </c>
      <c r="E227" s="97" t="s">
        <v>146</v>
      </c>
      <c r="F227" s="85">
        <v>110</v>
      </c>
      <c r="G227" s="46"/>
      <c r="H227" s="87"/>
      <c r="I227" s="87">
        <v>94</v>
      </c>
      <c r="J227" s="46"/>
      <c r="K227" s="46"/>
      <c r="L227" s="46"/>
      <c r="M227" s="152"/>
      <c r="N227" s="46"/>
      <c r="O227" s="89">
        <f>390+590+290+190</f>
        <v>1460</v>
      </c>
      <c r="P227" s="46"/>
      <c r="Q227" s="46"/>
      <c r="R227" s="46"/>
      <c r="S227" s="83">
        <f t="shared" si="39"/>
        <v>1664</v>
      </c>
      <c r="T227" s="281"/>
    </row>
    <row r="228" spans="1:20" ht="15" customHeight="1" x14ac:dyDescent="0.25">
      <c r="C228" s="275"/>
      <c r="D228" s="97" t="s">
        <v>152</v>
      </c>
      <c r="E228" s="97" t="s">
        <v>147</v>
      </c>
      <c r="F228" s="85"/>
      <c r="G228" s="46"/>
      <c r="H228" s="87"/>
      <c r="I228" s="87">
        <v>21</v>
      </c>
      <c r="J228" s="46"/>
      <c r="K228" s="46"/>
      <c r="L228" s="46"/>
      <c r="M228" s="152"/>
      <c r="N228" s="46"/>
      <c r="O228" s="89">
        <f>780+590+290+90</f>
        <v>1750</v>
      </c>
      <c r="P228" s="46"/>
      <c r="Q228" s="46"/>
      <c r="R228" s="46"/>
      <c r="S228" s="83">
        <f t="shared" si="39"/>
        <v>1771</v>
      </c>
      <c r="T228" s="281"/>
    </row>
    <row r="229" spans="1:20" ht="15" customHeight="1" x14ac:dyDescent="0.25">
      <c r="C229" s="275"/>
      <c r="D229" s="97" t="s">
        <v>152</v>
      </c>
      <c r="E229" s="97" t="s">
        <v>168</v>
      </c>
      <c r="F229" s="85"/>
      <c r="G229" s="46"/>
      <c r="H229" s="86">
        <v>570</v>
      </c>
      <c r="I229" s="46"/>
      <c r="J229" s="46"/>
      <c r="K229" s="46"/>
      <c r="L229" s="46"/>
      <c r="M229" s="152"/>
      <c r="N229" s="46"/>
      <c r="O229" s="46"/>
      <c r="P229" s="46"/>
      <c r="Q229" s="89">
        <v>2760</v>
      </c>
      <c r="R229" s="46"/>
      <c r="S229" s="83">
        <f t="shared" si="39"/>
        <v>3330</v>
      </c>
      <c r="T229" s="281"/>
    </row>
    <row r="230" spans="1:20" ht="15" customHeight="1" x14ac:dyDescent="0.25">
      <c r="C230" s="275"/>
      <c r="D230" s="98" t="s">
        <v>153</v>
      </c>
      <c r="E230" s="98" t="s">
        <v>170</v>
      </c>
      <c r="F230" s="81">
        <v>100</v>
      </c>
      <c r="G230" s="81"/>
      <c r="H230" s="81">
        <f>875+1044+98+1080-500+99+832</f>
        <v>3528</v>
      </c>
      <c r="I230" s="81"/>
      <c r="J230" s="81"/>
      <c r="K230" s="81"/>
      <c r="L230" s="81"/>
      <c r="M230" s="81">
        <v>836</v>
      </c>
      <c r="N230" s="81"/>
      <c r="O230" s="81"/>
      <c r="P230" s="81"/>
      <c r="Q230" s="81"/>
      <c r="R230" s="81"/>
      <c r="S230" s="81">
        <f t="shared" si="39"/>
        <v>4464</v>
      </c>
      <c r="T230" s="282">
        <f>SUM(S230:S234)</f>
        <v>58252</v>
      </c>
    </row>
    <row r="231" spans="1:20" ht="15" customHeight="1" x14ac:dyDescent="0.25">
      <c r="C231" s="275"/>
      <c r="D231" s="99" t="s">
        <v>153</v>
      </c>
      <c r="E231" s="99" t="s">
        <v>171</v>
      </c>
      <c r="F231" s="82"/>
      <c r="G231" s="82"/>
      <c r="H231" s="82"/>
      <c r="I231" s="82"/>
      <c r="J231" s="82"/>
      <c r="K231" s="82"/>
      <c r="L231" s="82"/>
      <c r="M231" s="82"/>
      <c r="N231" s="82"/>
      <c r="O231" s="82">
        <f>450</f>
        <v>450</v>
      </c>
      <c r="P231" s="82"/>
      <c r="Q231" s="82"/>
      <c r="R231" s="82"/>
      <c r="S231" s="82">
        <f t="shared" si="39"/>
        <v>450</v>
      </c>
      <c r="T231" s="283"/>
    </row>
    <row r="232" spans="1:20" ht="15" customHeight="1" x14ac:dyDescent="0.25">
      <c r="C232" s="275"/>
      <c r="D232" s="99" t="s">
        <v>153</v>
      </c>
      <c r="E232" s="99" t="s">
        <v>172</v>
      </c>
      <c r="F232" s="82">
        <v>27778</v>
      </c>
      <c r="G232" s="82"/>
      <c r="H232" s="82">
        <f>900+11831</f>
        <v>12731</v>
      </c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>
        <f t="shared" si="39"/>
        <v>40509</v>
      </c>
      <c r="T232" s="283"/>
    </row>
    <row r="233" spans="1:20" s="41" customFormat="1" ht="15" customHeight="1" x14ac:dyDescent="0.25">
      <c r="C233" s="276"/>
      <c r="D233" s="99" t="s">
        <v>153</v>
      </c>
      <c r="E233" s="99" t="s">
        <v>173</v>
      </c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>
        <f t="shared" si="39"/>
        <v>0</v>
      </c>
      <c r="T233" s="283"/>
    </row>
    <row r="234" spans="1:20" ht="15.75" customHeight="1" thickBot="1" x14ac:dyDescent="0.3">
      <c r="C234" s="276"/>
      <c r="D234" s="100" t="s">
        <v>153</v>
      </c>
      <c r="E234" s="100" t="s">
        <v>168</v>
      </c>
      <c r="F234" s="48"/>
      <c r="G234" s="48"/>
      <c r="H234" s="48">
        <v>11829</v>
      </c>
      <c r="I234" s="48"/>
      <c r="J234" s="48"/>
      <c r="K234" s="48"/>
      <c r="L234" s="48"/>
      <c r="M234" s="48"/>
      <c r="N234" s="48"/>
      <c r="O234" s="48"/>
      <c r="P234" s="48"/>
      <c r="Q234" s="48">
        <f>1000</f>
        <v>1000</v>
      </c>
      <c r="R234" s="48"/>
      <c r="S234" s="48">
        <f t="shared" si="39"/>
        <v>12829</v>
      </c>
      <c r="T234" s="283"/>
    </row>
    <row r="235" spans="1:20" ht="15" customHeight="1" x14ac:dyDescent="0.25">
      <c r="D235" s="101" t="s">
        <v>120</v>
      </c>
      <c r="E235" s="101" t="s">
        <v>120</v>
      </c>
      <c r="F235" s="64">
        <f>SUM(F218:F234)</f>
        <v>78735</v>
      </c>
      <c r="G235" s="64">
        <f>SUM(G218:G234)</f>
        <v>0</v>
      </c>
      <c r="H235" s="64">
        <f>SUM(H218:H234)</f>
        <v>60909</v>
      </c>
      <c r="I235" s="64">
        <f t="shared" ref="I235:P235" si="40">SUM(I218:I234)</f>
        <v>4816</v>
      </c>
      <c r="J235" s="64">
        <f t="shared" si="40"/>
        <v>611</v>
      </c>
      <c r="K235" s="64">
        <f t="shared" si="40"/>
        <v>0</v>
      </c>
      <c r="L235" s="64">
        <f t="shared" si="40"/>
        <v>500</v>
      </c>
      <c r="M235" s="64">
        <f t="shared" si="40"/>
        <v>1635</v>
      </c>
      <c r="N235" s="64">
        <f t="shared" si="40"/>
        <v>1414</v>
      </c>
      <c r="O235" s="64">
        <f t="shared" si="40"/>
        <v>9228</v>
      </c>
      <c r="P235" s="64">
        <f t="shared" si="40"/>
        <v>0</v>
      </c>
      <c r="Q235" s="64">
        <f>SUM(Q218:Q234)</f>
        <v>24590</v>
      </c>
      <c r="R235" s="64">
        <f>SUM(R218:R234)</f>
        <v>0</v>
      </c>
      <c r="S235" s="54">
        <f>SUM(S218:S234)</f>
        <v>182438</v>
      </c>
    </row>
    <row r="240" spans="1:20" x14ac:dyDescent="0.25">
      <c r="E240" s="129">
        <f>SUM(G240:P240)</f>
        <v>0.2002143622722401</v>
      </c>
      <c r="F240" s="130" t="s">
        <v>223</v>
      </c>
      <c r="G240" s="131">
        <f t="shared" ref="G240:L240" si="41">G242/$E$243</f>
        <v>6.4308681672025723E-3</v>
      </c>
      <c r="H240" s="131">
        <f t="shared" si="41"/>
        <v>2.3579849946409433E-2</v>
      </c>
      <c r="I240" s="131">
        <f t="shared" si="41"/>
        <v>1.5005359056806002E-2</v>
      </c>
      <c r="J240" s="131">
        <f t="shared" si="41"/>
        <v>5.5091103965702035E-2</v>
      </c>
      <c r="K240" s="131">
        <f t="shared" si="41"/>
        <v>5.0160771704180061E-2</v>
      </c>
      <c r="L240" s="131">
        <f t="shared" si="41"/>
        <v>4.9946409431939981E-2</v>
      </c>
      <c r="M240" s="131"/>
      <c r="N240" s="143"/>
      <c r="O240" s="143"/>
    </row>
    <row r="241" spans="5:15" ht="16.5" x14ac:dyDescent="0.25">
      <c r="F241" s="132" t="s">
        <v>97</v>
      </c>
      <c r="G241" s="133">
        <v>44478</v>
      </c>
      <c r="H241" s="133">
        <v>44482</v>
      </c>
      <c r="I241" s="133">
        <v>44487</v>
      </c>
      <c r="J241" s="133">
        <v>44501</v>
      </c>
      <c r="K241" s="133">
        <v>44526</v>
      </c>
      <c r="L241" s="133">
        <v>44725</v>
      </c>
      <c r="M241" s="133">
        <v>45016</v>
      </c>
      <c r="N241" s="133">
        <v>45473</v>
      </c>
      <c r="O241" s="133"/>
    </row>
    <row r="242" spans="5:15" ht="16.5" x14ac:dyDescent="0.25">
      <c r="E242" s="128">
        <f>SUM(G242:P242)</f>
        <v>9340000</v>
      </c>
      <c r="F242" s="132" t="s">
        <v>96</v>
      </c>
      <c r="G242" s="134">
        <v>300000</v>
      </c>
      <c r="H242" s="134">
        <v>1100000</v>
      </c>
      <c r="I242" s="134">
        <v>700000</v>
      </c>
      <c r="J242" s="134">
        <v>2570000</v>
      </c>
      <c r="K242" s="134">
        <v>2340000</v>
      </c>
      <c r="L242" s="134">
        <v>2330000</v>
      </c>
      <c r="M242" s="134"/>
      <c r="N242" s="143"/>
      <c r="O242" s="143"/>
    </row>
    <row r="243" spans="5:15" ht="19.5" x14ac:dyDescent="0.25">
      <c r="E243" s="127">
        <v>46650000</v>
      </c>
      <c r="F243" s="132" t="s">
        <v>57</v>
      </c>
      <c r="G243" s="132" t="s">
        <v>218</v>
      </c>
      <c r="H243" s="132" t="s">
        <v>218</v>
      </c>
      <c r="I243" s="132" t="s">
        <v>219</v>
      </c>
      <c r="J243" s="132" t="s">
        <v>219</v>
      </c>
      <c r="K243" s="132" t="s">
        <v>225</v>
      </c>
      <c r="L243" s="132" t="s">
        <v>226</v>
      </c>
      <c r="M243" s="132" t="s">
        <v>227</v>
      </c>
      <c r="N243" s="132" t="s">
        <v>228</v>
      </c>
      <c r="O243" s="130" t="s">
        <v>229</v>
      </c>
    </row>
  </sheetData>
  <mergeCells count="51">
    <mergeCell ref="AE8:AK8"/>
    <mergeCell ref="AL8:AP8"/>
    <mergeCell ref="AQ8:AU8"/>
    <mergeCell ref="C9:C25"/>
    <mergeCell ref="T9:T15"/>
    <mergeCell ref="T16:T20"/>
    <mergeCell ref="T21:T25"/>
    <mergeCell ref="C28:C44"/>
    <mergeCell ref="T28:T34"/>
    <mergeCell ref="T35:T39"/>
    <mergeCell ref="T40:T44"/>
    <mergeCell ref="C47:C63"/>
    <mergeCell ref="T47:T53"/>
    <mergeCell ref="T54:T58"/>
    <mergeCell ref="T59:T63"/>
    <mergeCell ref="C66:C82"/>
    <mergeCell ref="T66:T72"/>
    <mergeCell ref="T73:T77"/>
    <mergeCell ref="T78:T82"/>
    <mergeCell ref="C85:C101"/>
    <mergeCell ref="T85:T91"/>
    <mergeCell ref="T92:T96"/>
    <mergeCell ref="T97:T101"/>
    <mergeCell ref="C104:C120"/>
    <mergeCell ref="T104:T110"/>
    <mergeCell ref="T111:T115"/>
    <mergeCell ref="T116:T120"/>
    <mergeCell ref="C123:C139"/>
    <mergeCell ref="T123:T129"/>
    <mergeCell ref="T130:T134"/>
    <mergeCell ref="T135:T139"/>
    <mergeCell ref="C142:C158"/>
    <mergeCell ref="T142:T148"/>
    <mergeCell ref="T149:T153"/>
    <mergeCell ref="T154:T158"/>
    <mergeCell ref="C161:C177"/>
    <mergeCell ref="T161:T167"/>
    <mergeCell ref="T168:T172"/>
    <mergeCell ref="T173:T177"/>
    <mergeCell ref="C218:C234"/>
    <mergeCell ref="T218:T224"/>
    <mergeCell ref="T225:T229"/>
    <mergeCell ref="T230:T234"/>
    <mergeCell ref="C180:C196"/>
    <mergeCell ref="T180:T186"/>
    <mergeCell ref="T187:T191"/>
    <mergeCell ref="T192:T196"/>
    <mergeCell ref="C199:C215"/>
    <mergeCell ref="T199:T205"/>
    <mergeCell ref="T206:T210"/>
    <mergeCell ref="T211:T215"/>
  </mergeCells>
  <phoneticPr fontId="1" type="noConversion"/>
  <conditionalFormatting sqref="J6:R6 F6:H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:AK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:AP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:AU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scale="65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4"/>
  <dimension ref="A1:AU243"/>
  <sheetViews>
    <sheetView zoomScale="70" zoomScaleNormal="70" workbookViewId="0">
      <pane ySplit="8" topLeftCell="A9" activePane="bottomLeft" state="frozen"/>
      <selection pane="bottomLeft" activeCell="Q97" sqref="Q92:AK101"/>
    </sheetView>
  </sheetViews>
  <sheetFormatPr defaultColWidth="9" defaultRowHeight="15" x14ac:dyDescent="0.25"/>
  <cols>
    <col min="1" max="1" width="13.375" style="45" bestFit="1" customWidth="1"/>
    <col min="2" max="2" width="14.25" style="45" bestFit="1" customWidth="1"/>
    <col min="3" max="3" width="10.25" style="45" bestFit="1" customWidth="1"/>
    <col min="4" max="4" width="13.625" style="92" bestFit="1" customWidth="1"/>
    <col min="5" max="5" width="18" style="92" bestFit="1" customWidth="1"/>
    <col min="6" max="6" width="16.125" style="45" bestFit="1" customWidth="1"/>
    <col min="7" max="7" width="17.375" style="45" bestFit="1" customWidth="1"/>
    <col min="8" max="8" width="12.625" style="45" bestFit="1" customWidth="1"/>
    <col min="9" max="9" width="15.125" style="45" bestFit="1" customWidth="1"/>
    <col min="10" max="10" width="12.875" style="45" bestFit="1" customWidth="1"/>
    <col min="11" max="11" width="16.125" style="45" bestFit="1" customWidth="1"/>
    <col min="12" max="12" width="20.125" style="45" customWidth="1"/>
    <col min="13" max="13" width="14.25" style="45" bestFit="1" customWidth="1"/>
    <col min="14" max="14" width="16.125" style="45" bestFit="1" customWidth="1"/>
    <col min="15" max="15" width="17.5" style="45" bestFit="1" customWidth="1"/>
    <col min="16" max="16" width="16.125" style="45" bestFit="1" customWidth="1"/>
    <col min="17" max="18" width="15" style="45" customWidth="1"/>
    <col min="19" max="19" width="13.5" style="45" bestFit="1" customWidth="1"/>
    <col min="20" max="20" width="12.625" style="45" bestFit="1" customWidth="1"/>
    <col min="21" max="21" width="9" style="45"/>
    <col min="22" max="22" width="10.875" style="45" bestFit="1" customWidth="1"/>
    <col min="23" max="23" width="12.125" style="45" bestFit="1" customWidth="1"/>
    <col min="24" max="24" width="13.75" style="45" bestFit="1" customWidth="1"/>
    <col min="25" max="25" width="14.25" style="45" bestFit="1" customWidth="1"/>
    <col min="26" max="26" width="10.875" style="45" bestFit="1" customWidth="1"/>
    <col min="27" max="27" width="12.625" style="45" customWidth="1"/>
    <col min="28" max="28" width="10.875" style="45" bestFit="1" customWidth="1"/>
    <col min="29" max="29" width="9" style="45"/>
    <col min="30" max="30" width="12.875" style="45" bestFit="1" customWidth="1"/>
    <col min="31" max="33" width="10.875" style="45" bestFit="1" customWidth="1"/>
    <col min="34" max="34" width="8.5" style="45" bestFit="1" customWidth="1"/>
    <col min="35" max="35" width="9.625" style="45" bestFit="1" customWidth="1"/>
    <col min="36" max="37" width="10.875" style="45" bestFit="1" customWidth="1"/>
    <col min="38" max="43" width="9.625" style="45" bestFit="1" customWidth="1"/>
    <col min="44" max="44" width="10" style="45" bestFit="1" customWidth="1"/>
    <col min="45" max="45" width="10.875" style="45" bestFit="1" customWidth="1"/>
    <col min="46" max="47" width="9.625" style="45" bestFit="1" customWidth="1"/>
    <col min="48" max="16384" width="9" style="45"/>
  </cols>
  <sheetData>
    <row r="1" spans="1:47" ht="17.25" x14ac:dyDescent="0.25">
      <c r="A1" s="45" t="s">
        <v>151</v>
      </c>
      <c r="B1" s="51">
        <f>SUMIF(D:D,A1,S:S)</f>
        <v>1081951</v>
      </c>
      <c r="C1" s="57">
        <f>B1/$B$4</f>
        <v>0.60263601141606937</v>
      </c>
      <c r="K1" s="53" t="s">
        <v>191</v>
      </c>
      <c r="L1" s="136" t="s">
        <v>224</v>
      </c>
      <c r="M1" s="126"/>
      <c r="N1" s="126"/>
      <c r="O1" s="126"/>
      <c r="P1" s="126"/>
    </row>
    <row r="2" spans="1:47" ht="17.25" x14ac:dyDescent="0.25">
      <c r="A2" s="45" t="s">
        <v>152</v>
      </c>
      <c r="B2" s="51">
        <f>SUMIF(D:D,A2,S:S)</f>
        <v>160490</v>
      </c>
      <c r="C2" s="57">
        <f>B2/$B$4</f>
        <v>8.9391343482435867E-2</v>
      </c>
      <c r="K2" s="107">
        <f>SUMIF(E:E,E15,S:S)</f>
        <v>375731</v>
      </c>
      <c r="L2" s="51">
        <f>27778*12</f>
        <v>333336</v>
      </c>
      <c r="M2" s="69"/>
      <c r="N2" s="69"/>
      <c r="O2" s="69"/>
      <c r="P2" s="125"/>
      <c r="S2" s="51"/>
    </row>
    <row r="3" spans="1:47" ht="18" thickBot="1" x14ac:dyDescent="0.3">
      <c r="A3" s="45" t="s">
        <v>153</v>
      </c>
      <c r="B3" s="51">
        <f>SUMIF(D:D,A3,S:S)</f>
        <v>552923</v>
      </c>
      <c r="C3" s="57">
        <f>B3/$B$4</f>
        <v>0.30797264510149475</v>
      </c>
      <c r="K3" s="74"/>
      <c r="M3" s="51"/>
      <c r="N3" s="51"/>
      <c r="O3" s="51"/>
      <c r="P3" s="51"/>
      <c r="Q3" s="67"/>
      <c r="S3" s="51"/>
    </row>
    <row r="4" spans="1:47" ht="15" customHeight="1" x14ac:dyDescent="0.25">
      <c r="A4" s="56" t="s">
        <v>131</v>
      </c>
      <c r="B4" s="72">
        <f>SUMIF(D:D,A4,S:S)</f>
        <v>1795364</v>
      </c>
      <c r="M4" s="53"/>
      <c r="N4" s="53"/>
      <c r="O4" s="53"/>
    </row>
    <row r="5" spans="1:47" x14ac:dyDescent="0.25">
      <c r="AE5" s="52">
        <f>AVERAGE(AE10:AE21)</f>
        <v>20576.083333333332</v>
      </c>
      <c r="AF5" s="52">
        <f t="shared" ref="AF5:AU5" si="0">AVERAGE(AF10:AF21)</f>
        <v>2859.75</v>
      </c>
      <c r="AG5" s="52">
        <f t="shared" si="0"/>
        <v>31173.25</v>
      </c>
      <c r="AH5" s="52">
        <f t="shared" si="0"/>
        <v>425.25</v>
      </c>
      <c r="AI5" s="52">
        <f t="shared" si="0"/>
        <v>1825.4166666666667</v>
      </c>
      <c r="AJ5" s="52">
        <f t="shared" si="0"/>
        <v>1991.9166666666667</v>
      </c>
      <c r="AK5" s="52">
        <f t="shared" si="0"/>
        <v>31310.916666666668</v>
      </c>
      <c r="AL5" s="52">
        <f t="shared" si="0"/>
        <v>5298.333333333333</v>
      </c>
      <c r="AM5" s="52">
        <f t="shared" si="0"/>
        <v>3467.75</v>
      </c>
      <c r="AN5" s="52">
        <f t="shared" si="0"/>
        <v>1778.4166666666667</v>
      </c>
      <c r="AO5" s="52">
        <f t="shared" si="0"/>
        <v>1111.8333333333333</v>
      </c>
      <c r="AP5" s="52">
        <f t="shared" si="0"/>
        <v>1717.8333333333333</v>
      </c>
      <c r="AQ5" s="52">
        <f t="shared" si="0"/>
        <v>5790.75</v>
      </c>
      <c r="AR5" s="52">
        <f t="shared" si="0"/>
        <v>1516.6666666666667</v>
      </c>
      <c r="AS5" s="52">
        <f t="shared" si="0"/>
        <v>29480.5</v>
      </c>
      <c r="AT5" s="52">
        <f t="shared" si="0"/>
        <v>4526.166666666667</v>
      </c>
      <c r="AU5" s="52">
        <f t="shared" si="0"/>
        <v>4762.833333333333</v>
      </c>
    </row>
    <row r="6" spans="1:47" ht="15" customHeight="1" x14ac:dyDescent="0.25">
      <c r="A6" s="45" t="s">
        <v>231</v>
      </c>
      <c r="B6" s="52">
        <f>B4-L2</f>
        <v>1462028</v>
      </c>
      <c r="F6" s="73">
        <f t="shared" ref="F6:O6" si="1">F7/$S$7</f>
        <v>0.55056411958800555</v>
      </c>
      <c r="G6" s="73">
        <f t="shared" si="1"/>
        <v>6.1759063900133897E-3</v>
      </c>
      <c r="H6" s="73">
        <f t="shared" si="1"/>
        <v>8.7729284980650163E-2</v>
      </c>
      <c r="I6" s="73">
        <f t="shared" si="1"/>
        <v>4.9574348154468956E-2</v>
      </c>
      <c r="J6" s="73">
        <f t="shared" si="1"/>
        <v>3.2446345142266415E-2</v>
      </c>
      <c r="K6" s="73">
        <f t="shared" si="1"/>
        <v>1.2420879554229671E-3</v>
      </c>
      <c r="L6" s="73">
        <f t="shared" si="1"/>
        <v>1.7452171258864498E-2</v>
      </c>
      <c r="M6" s="73">
        <f t="shared" si="1"/>
        <v>3.796890212792503E-2</v>
      </c>
      <c r="N6" s="73">
        <f t="shared" si="1"/>
        <v>0</v>
      </c>
      <c r="O6" s="73">
        <f t="shared" si="1"/>
        <v>4.7009965667129338E-4</v>
      </c>
      <c r="P6" s="73">
        <f>P7/$S$7</f>
        <v>2.5900040326084291E-4</v>
      </c>
      <c r="Q6" s="73">
        <f>Q7/$S$7</f>
        <v>0.21611773434245088</v>
      </c>
      <c r="R6" s="73">
        <f>R7/$S$7</f>
        <v>0</v>
      </c>
      <c r="AG6" s="45" t="s">
        <v>230</v>
      </c>
      <c r="AK6" s="45" t="s">
        <v>210</v>
      </c>
      <c r="AS6" s="45" t="s">
        <v>210</v>
      </c>
    </row>
    <row r="7" spans="1:47" ht="15.75" customHeight="1" thickBot="1" x14ac:dyDescent="0.3">
      <c r="F7" s="70">
        <f t="shared" ref="F7:O7" si="2">SUMIF($D$9:$D$1012,"Total",F9:F1012)</f>
        <v>988463</v>
      </c>
      <c r="G7" s="70">
        <f t="shared" si="2"/>
        <v>11088</v>
      </c>
      <c r="H7" s="70">
        <f t="shared" si="2"/>
        <v>157506</v>
      </c>
      <c r="I7" s="70">
        <f t="shared" si="2"/>
        <v>89004</v>
      </c>
      <c r="J7" s="70">
        <f t="shared" si="2"/>
        <v>58253</v>
      </c>
      <c r="K7" s="70">
        <f t="shared" si="2"/>
        <v>2230</v>
      </c>
      <c r="L7" s="70">
        <f t="shared" si="2"/>
        <v>31333</v>
      </c>
      <c r="M7" s="70">
        <f t="shared" si="2"/>
        <v>68168</v>
      </c>
      <c r="N7" s="70">
        <f t="shared" si="2"/>
        <v>0</v>
      </c>
      <c r="O7" s="70">
        <f t="shared" si="2"/>
        <v>844</v>
      </c>
      <c r="P7" s="70">
        <f>SUMIF($D$9:$D$1012,"Total",P9:P1012)</f>
        <v>465</v>
      </c>
      <c r="Q7" s="70">
        <f>SUMIF($D$9:$D$1012,"Total",Q9:Q1012)</f>
        <v>388010</v>
      </c>
      <c r="R7" s="70">
        <f>SUMIF($D$9:$D$1012,"Total",R9:R1012)</f>
        <v>0</v>
      </c>
      <c r="S7" s="71">
        <f>SUM(F7:R7)</f>
        <v>1795364</v>
      </c>
      <c r="Y7" s="51"/>
      <c r="AD7" s="52">
        <f>SUM(AE7:AU7)</f>
        <v>1795364</v>
      </c>
      <c r="AE7" s="52">
        <f>SUM(AE10:AE21)</f>
        <v>246913</v>
      </c>
      <c r="AF7" s="52">
        <f t="shared" ref="AF7:AU7" si="3">SUM(AF10:AF21)</f>
        <v>34317</v>
      </c>
      <c r="AG7" s="52">
        <f t="shared" si="3"/>
        <v>374079</v>
      </c>
      <c r="AH7" s="52">
        <f t="shared" si="3"/>
        <v>5103</v>
      </c>
      <c r="AI7" s="52">
        <f t="shared" si="3"/>
        <v>21905</v>
      </c>
      <c r="AJ7" s="52">
        <f t="shared" si="3"/>
        <v>23903</v>
      </c>
      <c r="AK7" s="52">
        <f t="shared" si="3"/>
        <v>375731</v>
      </c>
      <c r="AL7" s="52">
        <f t="shared" si="3"/>
        <v>63580</v>
      </c>
      <c r="AM7" s="52">
        <f t="shared" si="3"/>
        <v>41613</v>
      </c>
      <c r="AN7" s="52">
        <f t="shared" si="3"/>
        <v>21341</v>
      </c>
      <c r="AO7" s="52">
        <f t="shared" si="3"/>
        <v>13342</v>
      </c>
      <c r="AP7" s="52">
        <f t="shared" si="3"/>
        <v>20614</v>
      </c>
      <c r="AQ7" s="52">
        <f t="shared" si="3"/>
        <v>69489</v>
      </c>
      <c r="AR7" s="52">
        <f t="shared" si="3"/>
        <v>18200</v>
      </c>
      <c r="AS7" s="52">
        <f t="shared" si="3"/>
        <v>353766</v>
      </c>
      <c r="AT7" s="52">
        <f t="shared" si="3"/>
        <v>54314</v>
      </c>
      <c r="AU7" s="52">
        <f t="shared" si="3"/>
        <v>57154</v>
      </c>
    </row>
    <row r="8" spans="1:47" ht="18.75" thickTop="1" thickBot="1" x14ac:dyDescent="0.3">
      <c r="C8" s="41" t="s">
        <v>154</v>
      </c>
      <c r="D8" s="93"/>
      <c r="E8" s="93"/>
      <c r="F8" s="41" t="s">
        <v>155</v>
      </c>
      <c r="G8" s="41" t="s">
        <v>156</v>
      </c>
      <c r="H8" s="41" t="s">
        <v>157</v>
      </c>
      <c r="I8" s="41" t="s">
        <v>158</v>
      </c>
      <c r="J8" s="41" t="s">
        <v>159</v>
      </c>
      <c r="K8" s="41" t="s">
        <v>160</v>
      </c>
      <c r="L8" s="41" t="s">
        <v>161</v>
      </c>
      <c r="M8" s="53" t="s">
        <v>190</v>
      </c>
      <c r="N8" s="41" t="s">
        <v>162</v>
      </c>
      <c r="O8" s="41" t="s">
        <v>163</v>
      </c>
      <c r="P8" s="41" t="s">
        <v>192</v>
      </c>
      <c r="Q8" s="41" t="s">
        <v>164</v>
      </c>
      <c r="R8" s="41"/>
      <c r="S8" s="84" t="s">
        <v>120</v>
      </c>
      <c r="W8" s="52">
        <f>SUM(W10:W21)</f>
        <v>1081951</v>
      </c>
      <c r="X8" s="52">
        <f>SUM(X10:X21)</f>
        <v>160490</v>
      </c>
      <c r="Y8" s="52">
        <f>SUM(Y10:Y21)</f>
        <v>552923</v>
      </c>
      <c r="Z8" s="51"/>
      <c r="AA8" s="74"/>
      <c r="AE8" s="303" t="str">
        <f>W9</f>
        <v>生活</v>
      </c>
      <c r="AF8" s="304"/>
      <c r="AG8" s="304"/>
      <c r="AH8" s="304"/>
      <c r="AI8" s="304"/>
      <c r="AJ8" s="304"/>
      <c r="AK8" s="305"/>
      <c r="AL8" s="303" t="str">
        <f>X9</f>
        <v>想要&amp;奢侈品</v>
      </c>
      <c r="AM8" s="306"/>
      <c r="AN8" s="306"/>
      <c r="AO8" s="306"/>
      <c r="AP8" s="307"/>
      <c r="AQ8" s="303" t="str">
        <f>Y9</f>
        <v>一次性支出</v>
      </c>
      <c r="AR8" s="306"/>
      <c r="AS8" s="306"/>
      <c r="AT8" s="306"/>
      <c r="AU8" s="307"/>
    </row>
    <row r="9" spans="1:47" ht="17.25" x14ac:dyDescent="0.25">
      <c r="C9" s="275">
        <v>202101</v>
      </c>
      <c r="D9" s="94" t="s">
        <v>151</v>
      </c>
      <c r="E9" s="94" t="s">
        <v>165</v>
      </c>
      <c r="F9" s="60">
        <f>3028+50</f>
        <v>3078</v>
      </c>
      <c r="G9" s="59"/>
      <c r="H9" s="59">
        <f>1054+687+70+757</f>
        <v>2568</v>
      </c>
      <c r="I9" s="60">
        <f>400+799</f>
        <v>1199</v>
      </c>
      <c r="J9" s="59"/>
      <c r="K9" s="60"/>
      <c r="L9" s="60">
        <f>0+500</f>
        <v>500</v>
      </c>
      <c r="M9" s="60"/>
      <c r="N9" s="60"/>
      <c r="O9" s="60"/>
      <c r="P9" s="60"/>
      <c r="Q9" s="60">
        <f>3079+8500+1500+847</f>
        <v>13926</v>
      </c>
      <c r="R9" s="60"/>
      <c r="S9" s="44">
        <f t="shared" ref="S9:S25" si="4">SUM(F9:R9)</f>
        <v>21271</v>
      </c>
      <c r="T9" s="277">
        <f>SUM(S9:S15)</f>
        <v>112901</v>
      </c>
      <c r="V9" s="41" t="s">
        <v>188</v>
      </c>
      <c r="W9" s="41" t="str">
        <f>A1</f>
        <v>生活</v>
      </c>
      <c r="X9" s="41" t="s">
        <v>152</v>
      </c>
      <c r="Y9" s="41" t="str">
        <f>A3</f>
        <v>一次性支出</v>
      </c>
      <c r="Z9" s="41" t="s">
        <v>120</v>
      </c>
      <c r="AD9" s="41" t="s">
        <v>208</v>
      </c>
      <c r="AE9" s="119" t="s">
        <v>193</v>
      </c>
      <c r="AF9" s="120" t="s">
        <v>194</v>
      </c>
      <c r="AG9" s="120" t="s">
        <v>195</v>
      </c>
      <c r="AH9" s="120" t="s">
        <v>196</v>
      </c>
      <c r="AI9" s="120" t="s">
        <v>197</v>
      </c>
      <c r="AJ9" s="120" t="s">
        <v>198</v>
      </c>
      <c r="AK9" s="121" t="s">
        <v>199</v>
      </c>
      <c r="AL9" s="122" t="s">
        <v>200</v>
      </c>
      <c r="AM9" s="123" t="s">
        <v>201</v>
      </c>
      <c r="AN9" s="123" t="s">
        <v>202</v>
      </c>
      <c r="AO9" s="123" t="s">
        <v>203</v>
      </c>
      <c r="AP9" s="124" t="s">
        <v>198</v>
      </c>
      <c r="AQ9" s="122" t="s">
        <v>204</v>
      </c>
      <c r="AR9" s="123" t="s">
        <v>205</v>
      </c>
      <c r="AS9" s="123" t="s">
        <v>206</v>
      </c>
      <c r="AT9" s="123" t="s">
        <v>207</v>
      </c>
      <c r="AU9" s="124" t="s">
        <v>198</v>
      </c>
    </row>
    <row r="10" spans="1:47" ht="15" customHeight="1" x14ac:dyDescent="0.25">
      <c r="B10" s="74"/>
      <c r="C10" s="275"/>
      <c r="D10" s="95" t="s">
        <v>151</v>
      </c>
      <c r="E10" s="95" t="s">
        <v>166</v>
      </c>
      <c r="F10" s="79"/>
      <c r="G10" s="78"/>
      <c r="H10" s="78"/>
      <c r="I10" s="79">
        <f>1235</f>
        <v>1235</v>
      </c>
      <c r="J10" s="78">
        <f>859+711</f>
        <v>1570</v>
      </c>
      <c r="K10" s="79"/>
      <c r="L10" s="79"/>
      <c r="M10" s="79"/>
      <c r="N10" s="79"/>
      <c r="O10" s="79"/>
      <c r="P10" s="79"/>
      <c r="Q10" s="79"/>
      <c r="R10" s="79"/>
      <c r="S10" s="80">
        <f t="shared" si="4"/>
        <v>2805</v>
      </c>
      <c r="T10" s="278"/>
      <c r="V10" s="90">
        <f>$C$9</f>
        <v>202101</v>
      </c>
      <c r="W10" s="52">
        <f>T9</f>
        <v>112901</v>
      </c>
      <c r="X10" s="52">
        <f>T16</f>
        <v>21475</v>
      </c>
      <c r="Y10" s="52">
        <f>T21</f>
        <v>45143</v>
      </c>
      <c r="Z10" s="52">
        <f>W10+X10+Y10</f>
        <v>179519</v>
      </c>
      <c r="AA10" s="51">
        <f>'2022'!Z10</f>
        <v>154757</v>
      </c>
      <c r="AB10" s="52">
        <f>AA10-Z10</f>
        <v>-24762</v>
      </c>
      <c r="AD10" s="90">
        <v>202101</v>
      </c>
      <c r="AE10" s="116">
        <f>SUMPRODUCT(($D$9:$D$25=$AE$8)*($E$9:$E$25=$AE$9)*$S$9:$S$25)</f>
        <v>21271</v>
      </c>
      <c r="AF10" s="117">
        <f>SUMPRODUCT(($D$9:$D$25=$AE$8)*($E$9:$E$25=$AF$9)*$S$9:$S$25)</f>
        <v>2805</v>
      </c>
      <c r="AG10" s="117">
        <f>SUMPRODUCT(($D$9:$D$25=$AE$8)*($E$9:$E$25=$AG$9)*$S$9:$S$25)</f>
        <v>31191</v>
      </c>
      <c r="AH10" s="117">
        <f>SUMPRODUCT(($D$9:$D$25=$AE$8)*($E$9:$E$25=$AH$9)*$S$9:$S$25)</f>
        <v>1179</v>
      </c>
      <c r="AI10" s="117">
        <f>SUMPRODUCT(($D$9:$D$25=$AE$8)*($E$9:$E$25=$AI$9)*$S$9:$S$25)</f>
        <v>5972</v>
      </c>
      <c r="AJ10" s="117">
        <f>SUMPRODUCT(($D$9:$D$25=$AE$8)*($E$9:$E$25=$AJ$9)*$S$9:$S$25)</f>
        <v>1370</v>
      </c>
      <c r="AK10" s="118">
        <f>SUMPRODUCT(($D$9:$D$25=$AE$8)*($E$9:$E$25=$AK$9)*$S$9:$S$25)</f>
        <v>49113</v>
      </c>
      <c r="AL10" s="116">
        <f>SUMPRODUCT(($D$9:$D$25=$AL$8)*($E$9:$E$25=$AL$9)*$S$9:$S$25)</f>
        <v>2619</v>
      </c>
      <c r="AM10" s="117">
        <f>SUMPRODUCT(($D$9:$D$25=$AL$8)*($E$9:$E$25=$AM$9)*$S$9:$S$25)</f>
        <v>783</v>
      </c>
      <c r="AN10" s="117">
        <f>SUMPRODUCT(($D$9:$D$25=$AL$8)*($E$9:$E$25=$AN$9)*$S$9:$S$25)</f>
        <v>3392</v>
      </c>
      <c r="AO10" s="117">
        <f>SUMPRODUCT(($D$9:$D$25=$AL$8)*($E$9:$E$25=$AO$9)*$S$9:$S$25)</f>
        <v>176</v>
      </c>
      <c r="AP10" s="118">
        <f>SUMPRODUCT(($D$9:$D$25=$AL$8)*($E$9:$E$25=$AP$9)*$S$9:$S$25)</f>
        <v>14505</v>
      </c>
      <c r="AQ10" s="116">
        <f>SUMPRODUCT(($D$9:$D$25=$AQ$8)*($E$9:$E$25=$AQ$9)*$S$9:$S$25)</f>
        <v>10856</v>
      </c>
      <c r="AR10" s="117">
        <f>SUMPRODUCT(($D$9:$D$25=$AQ$8)*($E$9:$E$25=$AR$9)*$S$9:$S$25)</f>
        <v>4099</v>
      </c>
      <c r="AS10" s="117">
        <f>SUMPRODUCT(($D$9:$D$25=$AQ$8)*($E$9:$E$25=$AS$9)*$S$9:$S$25)</f>
        <v>27778</v>
      </c>
      <c r="AT10" s="117">
        <f>SUMPRODUCT(($D$9:$D$25=$AQ$8)*($E$9:$E$25=$AT$9)*$S$9:$S$25)</f>
        <v>0</v>
      </c>
      <c r="AU10" s="118">
        <f>SUMPRODUCT(($D$9:$D$25=$AQ$8)*($E$9:$E$25=$AU$9)*$S$9:$S$25)</f>
        <v>2410</v>
      </c>
    </row>
    <row r="11" spans="1:47" ht="15" customHeight="1" x14ac:dyDescent="0.25">
      <c r="C11" s="275"/>
      <c r="D11" s="95" t="s">
        <v>151</v>
      </c>
      <c r="E11" s="95" t="s">
        <v>167</v>
      </c>
      <c r="F11" s="79">
        <f>1470+175+130+500+230+160+40+230+145+100+120</f>
        <v>3300</v>
      </c>
      <c r="G11" s="78">
        <v>368</v>
      </c>
      <c r="H11" s="78">
        <f>31+262+200+118+129+100+58+249+123+143+1100+1000+271+40+30+30+300+60+62+216+150+315+340+65+136+390+30+175+45+200+651+59</f>
        <v>7078</v>
      </c>
      <c r="I11" s="79">
        <f>25+106+42+39+139</f>
        <v>351</v>
      </c>
      <c r="J11" s="78">
        <f>790+304</f>
        <v>1094</v>
      </c>
      <c r="K11" s="79"/>
      <c r="L11" s="79"/>
      <c r="M11" s="79"/>
      <c r="N11" s="79"/>
      <c r="O11" s="79"/>
      <c r="P11" s="79"/>
      <c r="Q11" s="79">
        <f>10000+2000+2000+2500+2500</f>
        <v>19000</v>
      </c>
      <c r="R11" s="79"/>
      <c r="S11" s="80">
        <f t="shared" si="4"/>
        <v>31191</v>
      </c>
      <c r="T11" s="278"/>
      <c r="V11" s="90">
        <f>$C$28</f>
        <v>202102</v>
      </c>
      <c r="W11" s="52">
        <f>T28</f>
        <v>132209</v>
      </c>
      <c r="X11" s="52">
        <f>T35</f>
        <v>4357</v>
      </c>
      <c r="Y11" s="52">
        <f>T40</f>
        <v>56099</v>
      </c>
      <c r="Z11" s="52">
        <f t="shared" ref="Z11:Z21" si="5">W11+X11+Y11</f>
        <v>192665</v>
      </c>
      <c r="AA11" s="51">
        <f>'2022'!Z11</f>
        <v>180017</v>
      </c>
      <c r="AB11" s="52">
        <f t="shared" ref="AB11:AB18" si="6">AA11-Z11</f>
        <v>-12648</v>
      </c>
      <c r="AD11" s="90">
        <v>202102</v>
      </c>
      <c r="AE11" s="116">
        <f>SUMPRODUCT(($D$28:$D$44=$AE$8)*($E$28:$E$44=AE$9)*$S$28:$S$44)</f>
        <v>20852</v>
      </c>
      <c r="AF11" s="117">
        <f t="shared" ref="AF11:AK11" si="7">SUMPRODUCT(($D$28:$D$44=$AE$8)*($E$28:$E$44=AF$9)*$S$28:$S$44)</f>
        <v>5835</v>
      </c>
      <c r="AG11" s="117">
        <f t="shared" si="7"/>
        <v>24347</v>
      </c>
      <c r="AH11" s="117">
        <f t="shared" si="7"/>
        <v>1335</v>
      </c>
      <c r="AI11" s="117">
        <f t="shared" si="7"/>
        <v>2280</v>
      </c>
      <c r="AJ11" s="117">
        <f t="shared" si="7"/>
        <v>1160</v>
      </c>
      <c r="AK11" s="118">
        <f t="shared" si="7"/>
        <v>76400</v>
      </c>
      <c r="AL11" s="116">
        <f>SUMPRODUCT(($D$28:$D$44=$AL$8)*($E$28:$E$44=AL$9)*$S$28:$S$44)</f>
        <v>1088</v>
      </c>
      <c r="AM11" s="117">
        <f>SUMPRODUCT(($D$28:$D$44=$AL$8)*($E$28:$E$44=AM$9)*$S$28:$S$44)</f>
        <v>500</v>
      </c>
      <c r="AN11" s="117">
        <f>SUMPRODUCT(($D$28:$D$44=$AL$8)*($E$28:$E$44=AN$9)*$S$28:$S$44)</f>
        <v>130</v>
      </c>
      <c r="AO11" s="117">
        <f>SUMPRODUCT(($D$28:$D$44=$AL$8)*($E$28:$E$44=AO$9)*$S$28:$S$44)</f>
        <v>130</v>
      </c>
      <c r="AP11" s="118">
        <f>SUMPRODUCT(($D$28:$D$44=$AL$8)*($E$28:$E$44=AP$9)*$S$28:$S$44)</f>
        <v>2509</v>
      </c>
      <c r="AQ11" s="116">
        <f>SUMPRODUCT(($D$28:$D$44=$AQ$8)*($E$28:$E$44=AQ$9)*$S$28:$S$44)</f>
        <v>8321</v>
      </c>
      <c r="AR11" s="117">
        <f>SUMPRODUCT(($D$28:$D$44=$AQ$8)*($E$28:$E$44=AR$9)*$S$28:$S$44)</f>
        <v>0</v>
      </c>
      <c r="AS11" s="117">
        <f>SUMPRODUCT(($D$28:$D$44=$AQ$8)*($E$28:$E$44=AS$9)*$S$28:$S$44)</f>
        <v>27778</v>
      </c>
      <c r="AT11" s="117">
        <f>SUMPRODUCT(($D$28:$D$44=$AQ$8)*($E$28:$E$44=AT$9)*$S$28:$S$44)</f>
        <v>0</v>
      </c>
      <c r="AU11" s="118">
        <f>SUMPRODUCT(($D$28:$D$44=$AQ$8)*($E$28:$E$44=AU$9)*$S$28:$S$44)</f>
        <v>20000</v>
      </c>
    </row>
    <row r="12" spans="1:47" ht="15" customHeight="1" x14ac:dyDescent="0.25">
      <c r="C12" s="275"/>
      <c r="D12" s="95" t="s">
        <v>151</v>
      </c>
      <c r="E12" s="95" t="s">
        <v>209</v>
      </c>
      <c r="F12" s="79">
        <v>1179</v>
      </c>
      <c r="G12" s="78"/>
      <c r="H12" s="78"/>
      <c r="I12" s="79"/>
      <c r="J12" s="78"/>
      <c r="K12" s="79"/>
      <c r="L12" s="79"/>
      <c r="M12" s="79"/>
      <c r="N12" s="79"/>
      <c r="O12" s="79"/>
      <c r="P12" s="79"/>
      <c r="Q12" s="79"/>
      <c r="R12" s="79"/>
      <c r="S12" s="80">
        <f t="shared" si="4"/>
        <v>1179</v>
      </c>
      <c r="T12" s="278"/>
      <c r="V12" s="90">
        <f>$C$47</f>
        <v>202103</v>
      </c>
      <c r="W12" s="52">
        <f>T47</f>
        <v>81258</v>
      </c>
      <c r="X12" s="52">
        <f>T54</f>
        <v>2494</v>
      </c>
      <c r="Y12" s="52">
        <f>T59</f>
        <v>38779</v>
      </c>
      <c r="Z12" s="52">
        <f t="shared" si="5"/>
        <v>122531</v>
      </c>
      <c r="AA12" s="51">
        <f>'2022'!Z12</f>
        <v>143569</v>
      </c>
      <c r="AB12" s="52">
        <f t="shared" si="6"/>
        <v>21038</v>
      </c>
      <c r="AD12" s="90">
        <v>202103</v>
      </c>
      <c r="AE12" s="116">
        <f>SUMPRODUCT(($D$47:$D$63=$AE$8)*($E$47:$E$63=AE$9)*$S$47:$S$63)</f>
        <v>22981</v>
      </c>
      <c r="AF12" s="117">
        <f t="shared" ref="AF12:AK12" si="8">SUMPRODUCT(($D$47:$D$63=$AE$8)*($E$47:$E$63=AF$9)*$S$47:$S$63)</f>
        <v>3793</v>
      </c>
      <c r="AG12" s="117">
        <f t="shared" si="8"/>
        <v>27705</v>
      </c>
      <c r="AH12" s="117">
        <f t="shared" si="8"/>
        <v>1270</v>
      </c>
      <c r="AI12" s="117">
        <f>SUMPRODUCT(($D$47:$D$63=$AE$8)*($E$47:$E$63=AI$9)*$S$47:$S$63)</f>
        <v>0</v>
      </c>
      <c r="AJ12" s="117">
        <f t="shared" si="8"/>
        <v>3000</v>
      </c>
      <c r="AK12" s="118">
        <f t="shared" si="8"/>
        <v>22509</v>
      </c>
      <c r="AL12" s="116">
        <f>SUMPRODUCT(($D$47:$D$63=$AL$8)*($E$47:$E$63=AL$9)*$S$47:$S$63)</f>
        <v>60</v>
      </c>
      <c r="AM12" s="117">
        <f>SUMPRODUCT(($D$47:$D$63=$AL$8)*($E$47:$E$63=AM$9)*$S$47:$S$63)</f>
        <v>1024</v>
      </c>
      <c r="AN12" s="117">
        <f>SUMPRODUCT(($D$47:$D$63=$AL$8)*($E$47:$E$63=AN$9)*$S$47:$S$63)</f>
        <v>150</v>
      </c>
      <c r="AO12" s="117">
        <f>SUMPRODUCT(($D$47:$D$63=$AL$8)*($E$47:$E$63=AO$9)*$S$47:$S$63)</f>
        <v>60</v>
      </c>
      <c r="AP12" s="118">
        <f>SUMPRODUCT(($D$47:$D$63=$AL$8)*($E$47:$E$63=AP$9)*$S$47:$S$63)</f>
        <v>1200</v>
      </c>
      <c r="AQ12" s="116">
        <f>SUMPRODUCT(($D$47:$D$63=$AQ$8)*($E$47:$E$63=AQ$9)*$S$47:$S$63)</f>
        <v>3727</v>
      </c>
      <c r="AR12" s="117">
        <f>SUMPRODUCT(($D$47:$D$63=$AQ$8)*($E$47:$E$63=AR$9)*$S$47:$S$63)</f>
        <v>2926</v>
      </c>
      <c r="AS12" s="117">
        <f>SUMPRODUCT(($D$47:$D$63=$AQ$8)*($E$47:$E$63=AS$9)*$S$47:$S$63)</f>
        <v>27778</v>
      </c>
      <c r="AT12" s="117">
        <f>SUMPRODUCT(($D$47:$D$63=$AQ$8)*($E$47:$E$63=AT$9)*$S$47:$S$63)</f>
        <v>0</v>
      </c>
      <c r="AU12" s="118">
        <f>SUMPRODUCT(($D$47:$D$63=$AQ$8)*($E$47:$E$63=AU$9)*$S$47:$S$63)</f>
        <v>4348</v>
      </c>
    </row>
    <row r="13" spans="1:47" ht="15" customHeight="1" x14ac:dyDescent="0.25">
      <c r="C13" s="275"/>
      <c r="D13" s="96" t="s">
        <v>151</v>
      </c>
      <c r="E13" s="95" t="s">
        <v>175</v>
      </c>
      <c r="F13" s="79">
        <v>2140</v>
      </c>
      <c r="G13" s="78"/>
      <c r="H13" s="78"/>
      <c r="I13" s="78">
        <v>504</v>
      </c>
      <c r="J13" s="78"/>
      <c r="K13" s="79"/>
      <c r="L13" s="79">
        <v>3328</v>
      </c>
      <c r="M13" s="79"/>
      <c r="N13" s="79"/>
      <c r="O13" s="79"/>
      <c r="P13" s="79"/>
      <c r="Q13" s="79"/>
      <c r="R13" s="79"/>
      <c r="S13" s="80">
        <f t="shared" si="4"/>
        <v>5972</v>
      </c>
      <c r="T13" s="278"/>
      <c r="V13" s="90">
        <f>$C$66</f>
        <v>202104</v>
      </c>
      <c r="W13" s="52">
        <f>T66</f>
        <v>70618</v>
      </c>
      <c r="X13" s="52">
        <f>T73</f>
        <v>5160</v>
      </c>
      <c r="Y13" s="52">
        <f>T78</f>
        <v>63697</v>
      </c>
      <c r="Z13" s="52">
        <f t="shared" si="5"/>
        <v>139475</v>
      </c>
      <c r="AA13" s="51">
        <f>'2022'!Z13</f>
        <v>130290</v>
      </c>
      <c r="AB13" s="52">
        <f t="shared" si="6"/>
        <v>-9185</v>
      </c>
      <c r="AD13" s="90">
        <v>202104</v>
      </c>
      <c r="AE13" s="116">
        <f t="shared" ref="AE13:AK13" si="9">SUMPRODUCT(($D$66:$D$82=$AE$8)*($E$66:$E$82=AE$9)*$S$66:$S$82)</f>
        <v>17635</v>
      </c>
      <c r="AF13" s="117">
        <f t="shared" si="9"/>
        <v>1520</v>
      </c>
      <c r="AG13" s="117">
        <f t="shared" si="9"/>
        <v>29089</v>
      </c>
      <c r="AH13" s="117">
        <f t="shared" si="9"/>
        <v>0</v>
      </c>
      <c r="AI13" s="117">
        <f t="shared" si="9"/>
        <v>1078</v>
      </c>
      <c r="AJ13" s="117">
        <f t="shared" si="9"/>
        <v>3296</v>
      </c>
      <c r="AK13" s="118">
        <f t="shared" si="9"/>
        <v>18000</v>
      </c>
      <c r="AL13" s="116">
        <f>SUMPRODUCT(($D$66:$D$82=$AL$8)*($E$66:$E$82=AL$9)*$S$66:$S$82)</f>
        <v>1630</v>
      </c>
      <c r="AM13" s="117">
        <f>SUMPRODUCT(($D$66:$D$82=$AL$8)*($E$66:$E$82=AM$9)*$S$66:$S$82)</f>
        <v>350</v>
      </c>
      <c r="AN13" s="117">
        <f>SUMPRODUCT(($D$66:$D$82=$AL$8)*($E$66:$E$82=AN$9)*$S$66:$S$82)</f>
        <v>640</v>
      </c>
      <c r="AO13" s="117">
        <f>SUMPRODUCT(($D$66:$D$82=$AL$8)*($E$66:$E$82=AO$9)*$S$66:$S$82)</f>
        <v>140</v>
      </c>
      <c r="AP13" s="118">
        <f>SUMPRODUCT(($D$66:$D$82=$AL$8)*($E$66:$E$82=AP$9)*$S$66:$S$82)</f>
        <v>2400</v>
      </c>
      <c r="AQ13" s="116">
        <f>SUMPRODUCT(($D$66:$D$82=$AQ$8)*($E$66:$E$82=AQ$9)*$S$66:$S$82)</f>
        <v>19699</v>
      </c>
      <c r="AR13" s="117">
        <f>SUMPRODUCT(($D$66:$D$82=$AQ$8)*($E$66:$E$82=AR$9)*$S$66:$S$82)</f>
        <v>0</v>
      </c>
      <c r="AS13" s="117">
        <f>SUMPRODUCT(($D$66:$D$82=$AQ$8)*($E$66:$E$82=AS$9)*$S$66:$S$82)</f>
        <v>39008</v>
      </c>
      <c r="AT13" s="117">
        <f>SUMPRODUCT(($D$66:$D$82=$AQ$8)*($E$66:$E$82=AT$9)*$S$66:$S$82)</f>
        <v>0</v>
      </c>
      <c r="AU13" s="118">
        <f>SUMPRODUCT(($D$66:$D$82=$AQ$8)*($E$66:$E$82=AU$9)*$S$66:$S$82)</f>
        <v>4990</v>
      </c>
    </row>
    <row r="14" spans="1:47" ht="15" customHeight="1" x14ac:dyDescent="0.25">
      <c r="C14" s="275"/>
      <c r="D14" s="95" t="s">
        <v>151</v>
      </c>
      <c r="E14" s="95" t="s">
        <v>168</v>
      </c>
      <c r="F14" s="79">
        <f>150+30+6+150</f>
        <v>336</v>
      </c>
      <c r="G14" s="78"/>
      <c r="H14" s="78">
        <v>940</v>
      </c>
      <c r="I14" s="79">
        <v>94</v>
      </c>
      <c r="J14" s="78"/>
      <c r="K14" s="79"/>
      <c r="L14" s="79"/>
      <c r="M14" s="79"/>
      <c r="N14" s="79"/>
      <c r="O14" s="79"/>
      <c r="P14" s="79"/>
      <c r="Q14" s="79"/>
      <c r="R14" s="79"/>
      <c r="S14" s="80">
        <f>SUM(F14:R14)</f>
        <v>1370</v>
      </c>
      <c r="T14" s="278"/>
      <c r="V14" s="90">
        <f>C85</f>
        <v>202105</v>
      </c>
      <c r="W14" s="52">
        <f>T85</f>
        <v>85442</v>
      </c>
      <c r="X14" s="52">
        <f>T92</f>
        <v>2983</v>
      </c>
      <c r="Y14" s="52">
        <f>T97</f>
        <v>47724</v>
      </c>
      <c r="Z14" s="52">
        <f t="shared" si="5"/>
        <v>136149</v>
      </c>
      <c r="AA14" s="51">
        <f>'2022'!Z14</f>
        <v>145369</v>
      </c>
      <c r="AB14" s="52">
        <f t="shared" si="6"/>
        <v>9220</v>
      </c>
      <c r="AD14" s="90">
        <v>202105</v>
      </c>
      <c r="AE14" s="116">
        <f>SUMPRODUCT(($D$85:$D$101=$AE$8)*($E$85:$E$101=AE$9)*$S$85:$S$101)</f>
        <v>19288</v>
      </c>
      <c r="AF14" s="117">
        <f t="shared" ref="AF14:AK14" si="10">SUMPRODUCT(($D$85:$D$101=$AE$8)*($E$85:$E$101=AF$9)*$S$85:$S$101)</f>
        <v>3217</v>
      </c>
      <c r="AG14" s="117">
        <f t="shared" si="10"/>
        <v>33527</v>
      </c>
      <c r="AH14" s="117">
        <f t="shared" si="10"/>
        <v>0</v>
      </c>
      <c r="AI14" s="117">
        <f t="shared" si="10"/>
        <v>2436</v>
      </c>
      <c r="AJ14" s="117">
        <f t="shared" si="10"/>
        <v>874</v>
      </c>
      <c r="AK14" s="118">
        <f t="shared" si="10"/>
        <v>26100</v>
      </c>
      <c r="AL14" s="116">
        <f>SUMPRODUCT(($D$85:$D$101=$AL$8)*($E$85:$E$101=AL$9)*$S$85:$S$101)</f>
        <v>0</v>
      </c>
      <c r="AM14" s="117">
        <f>SUMPRODUCT(($D$85:$D$101=$AL$8)*($E$85:$E$101=AM$9)*$S$85:$S$101)</f>
        <v>0</v>
      </c>
      <c r="AN14" s="117">
        <f>SUMPRODUCT(($D$85:$D$101=$AL$8)*($E$85:$E$101=AN$9)*$S$85:$S$101)</f>
        <v>1319</v>
      </c>
      <c r="AO14" s="117">
        <f>SUMPRODUCT(($D$85:$D$101=$AL$8)*($E$85:$E$101=AO$9)*$S$85:$S$101)</f>
        <v>1664</v>
      </c>
      <c r="AP14" s="118">
        <f>SUMPRODUCT(($D$85:$D$101=$AL$8)*($E$85:$E$101=AP$9)*$S$85:$S$101)</f>
        <v>0</v>
      </c>
      <c r="AQ14" s="116">
        <f>SUMPRODUCT(($D$85:$D$101=$AQ$8)*($E$85:$E$101=AQ$9)*$S$85:$S$101)</f>
        <v>0</v>
      </c>
      <c r="AR14" s="117">
        <f>SUMPRODUCT(($D$85:$D$101=$AQ$8)*($E$85:$E$101=AR$9)*$S$85:$S$101)</f>
        <v>8197</v>
      </c>
      <c r="AS14" s="117">
        <f>SUMPRODUCT(($D$85:$D$101=$AQ$8)*($E$85:$E$101=AS$9)*$S$85:$S$101)</f>
        <v>35047</v>
      </c>
      <c r="AT14" s="117">
        <f>SUMPRODUCT(($D$85:$D$101=$AQ$8)*($E$85:$E$101=AT$9)*$S$85:$S$101)</f>
        <v>0</v>
      </c>
      <c r="AU14" s="118">
        <f>SUMPRODUCT(($D$85:$D$101=$AQ$8)*($E$85:$E$101=AU$9)*$S$85:$S$101)</f>
        <v>4480</v>
      </c>
    </row>
    <row r="15" spans="1:47" ht="15" customHeight="1" x14ac:dyDescent="0.25">
      <c r="C15" s="275"/>
      <c r="D15" s="95" t="s">
        <v>151</v>
      </c>
      <c r="E15" s="95" t="s">
        <v>169</v>
      </c>
      <c r="F15" s="78">
        <f>18000+4300+6600+5551+2714+3000+5000+4800-852</f>
        <v>49113</v>
      </c>
      <c r="G15" s="78"/>
      <c r="H15" s="78"/>
      <c r="I15" s="79"/>
      <c r="J15" s="78"/>
      <c r="K15" s="79"/>
      <c r="L15" s="79"/>
      <c r="M15" s="79"/>
      <c r="N15" s="79"/>
      <c r="O15" s="79"/>
      <c r="P15" s="79"/>
      <c r="Q15" s="79"/>
      <c r="R15" s="79"/>
      <c r="S15" s="80">
        <f>SUM(F15:R15)</f>
        <v>49113</v>
      </c>
      <c r="T15" s="278"/>
      <c r="V15" s="90">
        <f>C104</f>
        <v>202106</v>
      </c>
      <c r="W15" s="52">
        <f>T104</f>
        <v>59111</v>
      </c>
      <c r="X15" s="52">
        <f>T111</f>
        <v>475</v>
      </c>
      <c r="Y15" s="52">
        <f>T116</f>
        <v>27778</v>
      </c>
      <c r="Z15" s="52">
        <f t="shared" si="5"/>
        <v>87364</v>
      </c>
      <c r="AA15" s="51">
        <f>'2022'!Z15</f>
        <v>195919</v>
      </c>
      <c r="AB15" s="52">
        <f t="shared" si="6"/>
        <v>108555</v>
      </c>
      <c r="AD15" s="90">
        <v>202106</v>
      </c>
      <c r="AE15" s="116">
        <f>SUMPRODUCT(($D$104:$D$120=$AE$8)*($E$104:$E$120=AE$9)*$S$104:$S$120)</f>
        <v>17986</v>
      </c>
      <c r="AF15" s="117">
        <f t="shared" ref="AF15:AK15" si="11">SUMPRODUCT(($D$104:$D$120=$AE$8)*($E$104:$E$120=AF$9)*$S$104:$S$120)</f>
        <v>97</v>
      </c>
      <c r="AG15" s="117">
        <f t="shared" si="11"/>
        <v>34928</v>
      </c>
      <c r="AH15" s="117">
        <f t="shared" si="11"/>
        <v>0</v>
      </c>
      <c r="AI15" s="117">
        <f t="shared" si="11"/>
        <v>2500</v>
      </c>
      <c r="AJ15" s="117">
        <f t="shared" si="11"/>
        <v>0</v>
      </c>
      <c r="AK15" s="118">
        <f t="shared" si="11"/>
        <v>3600</v>
      </c>
      <c r="AL15" s="116">
        <f>SUMPRODUCT(($D$104:$D$120=$AL$8)*($E$104:$E$120=AL$9)*$S$104:$S$120)</f>
        <v>325</v>
      </c>
      <c r="AM15" s="117">
        <f>SUMPRODUCT(($D$104:$D$120=$AL$8)*($E$104:$E$120=AM$9)*$S$104:$S$120)</f>
        <v>0</v>
      </c>
      <c r="AN15" s="117">
        <f>SUMPRODUCT(($D$104:$D$120=$AL$8)*($E$104:$E$120=AN$9)*$S$104:$S$120)</f>
        <v>0</v>
      </c>
      <c r="AO15" s="117">
        <f>SUMPRODUCT(($D$104:$D$120=$AL$8)*($E$104:$E$120=AO$9)*$S$104:$S$120)</f>
        <v>150</v>
      </c>
      <c r="AP15" s="118">
        <f>SUMPRODUCT(($D$104:$D$120=$AL$8)*($E$104:$E$120=AP$9)*$S$104:$S$120)</f>
        <v>0</v>
      </c>
      <c r="AQ15" s="116">
        <f>SUMPRODUCT(($D$104:$D$120=$AQ$8)*($E$104:$E$120=AQ$9)*$S$104:$S$120)</f>
        <v>0</v>
      </c>
      <c r="AR15" s="117">
        <f>SUMPRODUCT(($D$104:$D$120=$AQ$8)*($E$104:$E$120=AR$9)*$S$104:$S$120)</f>
        <v>0</v>
      </c>
      <c r="AS15" s="117">
        <f>SUMPRODUCT(($D$104:$D$120=$AQ$8)*($E$104:$E$120=AS$9)*$S$104:$S$120)</f>
        <v>27778</v>
      </c>
      <c r="AT15" s="117">
        <f>SUMPRODUCT(($D$104:$D$120=$AQ$8)*($E$104:$E$120=AT$9)*$S$104:$S$120)</f>
        <v>0</v>
      </c>
      <c r="AU15" s="118">
        <f>SUMPRODUCT(($D$104:$D$120=$AQ$8)*($E$104:$E$120=AU$9)*$S$104:$S$120)</f>
        <v>0</v>
      </c>
    </row>
    <row r="16" spans="1:47" ht="15" customHeight="1" x14ac:dyDescent="0.25">
      <c r="C16" s="275"/>
      <c r="D16" s="97" t="s">
        <v>152</v>
      </c>
      <c r="E16" s="97" t="s">
        <v>144</v>
      </c>
      <c r="F16" s="85">
        <f>1710</f>
        <v>1710</v>
      </c>
      <c r="G16" s="46"/>
      <c r="H16" s="85">
        <v>909</v>
      </c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83">
        <f t="shared" si="4"/>
        <v>2619</v>
      </c>
      <c r="T16" s="280">
        <f>SUM(S16:S20)</f>
        <v>21475</v>
      </c>
      <c r="V16" s="90">
        <f>C123</f>
        <v>202107</v>
      </c>
      <c r="W16" s="52">
        <f>T123</f>
        <v>71560</v>
      </c>
      <c r="X16" s="52">
        <f>T130</f>
        <v>4810</v>
      </c>
      <c r="Y16" s="52">
        <f>T135</f>
        <v>77218</v>
      </c>
      <c r="Z16" s="52">
        <f t="shared" si="5"/>
        <v>153588</v>
      </c>
      <c r="AA16" s="51">
        <f>'2022'!Z16</f>
        <v>157740</v>
      </c>
      <c r="AB16" s="52">
        <f t="shared" si="6"/>
        <v>4152</v>
      </c>
      <c r="AD16" s="90">
        <v>202107</v>
      </c>
      <c r="AE16" s="116">
        <f>SUMPRODUCT(($D$123:$D$139=$AE$8)*($E$123:$E$139=AE$9)*$S$123:$S$139)</f>
        <v>22204</v>
      </c>
      <c r="AF16" s="117">
        <f t="shared" ref="AF16:AK16" si="12">SUMPRODUCT(($D$123:$D$139=$AE$8)*($E$123:$E$139=AF$9)*$S$123:$S$139)</f>
        <v>1650</v>
      </c>
      <c r="AG16" s="117">
        <f t="shared" si="12"/>
        <v>38278</v>
      </c>
      <c r="AH16" s="117">
        <f t="shared" si="12"/>
        <v>1249</v>
      </c>
      <c r="AI16" s="117">
        <f t="shared" si="12"/>
        <v>2679</v>
      </c>
      <c r="AJ16" s="117">
        <f t="shared" si="12"/>
        <v>500</v>
      </c>
      <c r="AK16" s="118">
        <f t="shared" si="12"/>
        <v>5000</v>
      </c>
      <c r="AL16" s="116">
        <f>SUMPRODUCT(($D$123:$D$139=$AL$8)*($E$123:$E$139=AL$9)*$S$123:$S$139)</f>
        <v>297</v>
      </c>
      <c r="AM16" s="117">
        <f>SUMPRODUCT(($D$123:$D$139=$AL$8)*($E$123:$E$139=AM$9)*$S$123:$S$139)</f>
        <v>1250</v>
      </c>
      <c r="AN16" s="117">
        <f>SUMPRODUCT(($D$123:$D$139=$AL$8)*($E$123:$E$139=AN$9)*$S$123:$S$139)</f>
        <v>2963</v>
      </c>
      <c r="AO16" s="117">
        <f>SUMPRODUCT(($D$123:$D$139=$AL$8)*($E$123:$E$139=AO$9)*$S$123:$S$139)</f>
        <v>300</v>
      </c>
      <c r="AP16" s="118">
        <f>SUMPRODUCT(($D$123:$D$139=$AL$8)*($E$123:$E$139=AP$9)*$S$123:$S$139)</f>
        <v>0</v>
      </c>
      <c r="AQ16" s="116">
        <f>SUMPRODUCT(($D$123:$D$139=$AQ$8)*($E$123:$E$139=AQ$9)*$S$123:$S$139)</f>
        <v>0</v>
      </c>
      <c r="AR16" s="117">
        <f>SUMPRODUCT(($D$123:$D$139=$AQ$8)*($E$123:$E$139=AR$9)*$S$123:$S$139)</f>
        <v>0</v>
      </c>
      <c r="AS16" s="117">
        <f>SUMPRODUCT(($D$123:$D$139=$AQ$8)*($E$123:$E$139=AS$9)*$S$123:$S$139)</f>
        <v>27778</v>
      </c>
      <c r="AT16" s="117">
        <f>SUMPRODUCT(($D$123:$D$139=$AQ$8)*($E$123:$E$139=AT$9)*$S$123:$S$139)</f>
        <v>49440</v>
      </c>
      <c r="AU16" s="118">
        <f>SUMPRODUCT(($D$123:$D$139=$AQ$8)*($E$123:$E$139=AU$9)*$S$123:$S$139)</f>
        <v>0</v>
      </c>
    </row>
    <row r="17" spans="2:47" ht="15" customHeight="1" x14ac:dyDescent="0.25">
      <c r="C17" s="275"/>
      <c r="D17" s="97" t="s">
        <v>152</v>
      </c>
      <c r="E17" s="97" t="s">
        <v>145</v>
      </c>
      <c r="F17" s="85"/>
      <c r="G17" s="46"/>
      <c r="H17" s="85">
        <v>783</v>
      </c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83">
        <f t="shared" si="4"/>
        <v>783</v>
      </c>
      <c r="T17" s="281"/>
      <c r="V17" s="90">
        <f>C142</f>
        <v>202108</v>
      </c>
      <c r="W17" s="52">
        <f>T142</f>
        <v>103529</v>
      </c>
      <c r="X17" s="52">
        <f>T149</f>
        <v>30298</v>
      </c>
      <c r="Y17" s="52">
        <f>T154</f>
        <v>59200</v>
      </c>
      <c r="Z17" s="52">
        <f t="shared" si="5"/>
        <v>193027</v>
      </c>
      <c r="AA17" s="51">
        <f>'2022'!Z17</f>
        <v>151890</v>
      </c>
      <c r="AB17" s="52">
        <f t="shared" si="6"/>
        <v>-41137</v>
      </c>
      <c r="AD17" s="90">
        <v>202108</v>
      </c>
      <c r="AE17" s="116">
        <f>SUMPRODUCT(($D$142:$D$158=$AE$8)*($E$142:$E$158=AE$9)*$S$142:$S$158)</f>
        <v>27384</v>
      </c>
      <c r="AF17" s="117">
        <f t="shared" ref="AF17:AK17" si="13">SUMPRODUCT(($D$142:$D$158=$AE$8)*($E$142:$E$158=AF$9)*$S$142:$S$158)</f>
        <v>3071</v>
      </c>
      <c r="AG17" s="117">
        <f t="shared" si="13"/>
        <v>36079</v>
      </c>
      <c r="AH17" s="117">
        <f t="shared" si="13"/>
        <v>0</v>
      </c>
      <c r="AI17" s="117">
        <f t="shared" si="13"/>
        <v>0</v>
      </c>
      <c r="AJ17" s="117">
        <f t="shared" si="13"/>
        <v>1300</v>
      </c>
      <c r="AK17" s="118">
        <f t="shared" si="13"/>
        <v>35695</v>
      </c>
      <c r="AL17" s="116">
        <f>SUMPRODUCT(($D$142:$D$158=$AL$8)*($E$142:$E$158=AL$9)*$S$142:$S$158)</f>
        <v>11500</v>
      </c>
      <c r="AM17" s="117">
        <f>SUMPRODUCT(($D$142:$D$158=$AL$8)*($E$142:$E$158=AM$9)*$S$142:$S$158)</f>
        <v>12500</v>
      </c>
      <c r="AN17" s="117">
        <f>SUMPRODUCT(($D$142:$D$158=$AL$8)*($E$142:$E$158=AN$9)*$S$142:$S$158)</f>
        <v>4149</v>
      </c>
      <c r="AO17" s="117">
        <f>SUMPRODUCT(($D$142:$D$158=$AL$8)*($E$142:$E$158=AO$9)*$S$142:$S$158)</f>
        <v>2149</v>
      </c>
      <c r="AP17" s="118">
        <f>SUMPRODUCT(($D$142:$D$158=$AL$8)*($E$142:$E$158=AP$9)*$S$142:$S$158)</f>
        <v>0</v>
      </c>
      <c r="AQ17" s="116">
        <f>SUMPRODUCT(($D$142:$D$158=$AQ$8)*($E$142:$E$158=AQ$9)*$S$142:$S$158)</f>
        <v>18324</v>
      </c>
      <c r="AR17" s="117">
        <f>SUMPRODUCT(($D$142:$D$158=$AQ$8)*($E$142:$E$158=AR$9)*$S$142:$S$158)</f>
        <v>1678</v>
      </c>
      <c r="AS17" s="117">
        <f>SUMPRODUCT(($D$142:$D$158=$AQ$8)*($E$142:$E$158=AS$9)*$S$142:$S$158)</f>
        <v>27778</v>
      </c>
      <c r="AT17" s="117">
        <f>SUMPRODUCT(($D$142:$D$158=$AQ$8)*($E$142:$E$158=AT$9)*$S$142:$S$158)</f>
        <v>1020</v>
      </c>
      <c r="AU17" s="118">
        <f>SUMPRODUCT(($D$142:$D$158=$AQ$8)*($E$142:$E$158=AU$9)*$S$142:$S$158)</f>
        <v>10400</v>
      </c>
    </row>
    <row r="18" spans="2:47" ht="15" customHeight="1" x14ac:dyDescent="0.25">
      <c r="C18" s="275"/>
      <c r="D18" s="97" t="s">
        <v>152</v>
      </c>
      <c r="E18" s="97" t="s">
        <v>146</v>
      </c>
      <c r="F18" s="86">
        <f>1850</f>
        <v>1850</v>
      </c>
      <c r="G18" s="46"/>
      <c r="H18" s="87">
        <f>1420+122</f>
        <v>1542</v>
      </c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83">
        <f t="shared" si="4"/>
        <v>3392</v>
      </c>
      <c r="T18" s="281"/>
      <c r="V18" s="90">
        <f>C161</f>
        <v>202109</v>
      </c>
      <c r="W18" s="52">
        <f>T161</f>
        <v>121417</v>
      </c>
      <c r="X18" s="52">
        <f>T168</f>
        <v>3311</v>
      </c>
      <c r="Y18" s="52">
        <f>T173</f>
        <v>28278</v>
      </c>
      <c r="Z18" s="52">
        <f t="shared" si="5"/>
        <v>153006</v>
      </c>
      <c r="AA18" s="51">
        <f>'2022'!Z18</f>
        <v>200533</v>
      </c>
      <c r="AB18" s="52">
        <f t="shared" si="6"/>
        <v>47527</v>
      </c>
      <c r="AD18" s="90">
        <v>202109</v>
      </c>
      <c r="AE18" s="110">
        <f t="shared" ref="AE18:AK18" si="14">SUMPRODUCT(($D$161:$D$177=$AE$8)*($E$161:$E$177=AE$9)*$S$161:$S$177)</f>
        <v>21813</v>
      </c>
      <c r="AF18" s="111">
        <f t="shared" si="14"/>
        <v>1769</v>
      </c>
      <c r="AG18" s="111">
        <f t="shared" si="14"/>
        <v>33682</v>
      </c>
      <c r="AH18" s="111">
        <f t="shared" si="14"/>
        <v>0</v>
      </c>
      <c r="AI18" s="111">
        <f t="shared" si="14"/>
        <v>2500</v>
      </c>
      <c r="AJ18" s="111">
        <f t="shared" si="14"/>
        <v>2858</v>
      </c>
      <c r="AK18" s="112">
        <f t="shared" si="14"/>
        <v>58795</v>
      </c>
      <c r="AL18" s="110">
        <f>SUMPRODUCT(($D$161:$D$177=$AL$8)*($E$161:$E$177=AL$9)*$S$161:$S$177)</f>
        <v>630</v>
      </c>
      <c r="AM18" s="111">
        <f>SUMPRODUCT(($D$161:$D$177=$AL$8)*($E$161:$E$177=AM$9)*$S$161:$S$177)</f>
        <v>1410</v>
      </c>
      <c r="AN18" s="111">
        <f>SUMPRODUCT(($D$161:$D$177=$AL$8)*($E$161:$E$177=AN$9)*$S$161:$S$177)</f>
        <v>1001</v>
      </c>
      <c r="AO18" s="111">
        <f>SUMPRODUCT(($D$161:$D$177=$AL$8)*($E$161:$E$177=AO$9)*$S$161:$S$177)</f>
        <v>270</v>
      </c>
      <c r="AP18" s="112">
        <f>SUMPRODUCT(($D$161:$D$177=$AL$8)*($E$161:$E$177=AP$9)*$S$161:$S$177)</f>
        <v>0</v>
      </c>
      <c r="AQ18" s="110">
        <f>SUMPRODUCT(($D$161:$D$177=$AQ$8)*($E$161:$E$177=AQ$9)*$S$161:$S$177)</f>
        <v>500</v>
      </c>
      <c r="AR18" s="111">
        <f>SUMPRODUCT(($D$161:$D$177=$AQ$8)*($E$161:$E$177=AR$9)*$S$161:$S$177)</f>
        <v>0</v>
      </c>
      <c r="AS18" s="111">
        <f>SUMPRODUCT(($D$161:$D$177=$AQ$8)*($E$161:$E$177=AS$9)*$S$161:$S$177)</f>
        <v>27778</v>
      </c>
      <c r="AT18" s="111">
        <f>SUMPRODUCT(($D$161:$D$177=$AQ$8)*($E$161:$E$177=AT$9)*$S$161:$S$177)</f>
        <v>0</v>
      </c>
      <c r="AU18" s="112">
        <f>SUMPRODUCT(($D$161:$D$177=$AQ$8)*($E$161:$E$177=AU$9)*$S$161:$S$177)</f>
        <v>0</v>
      </c>
    </row>
    <row r="19" spans="2:47" ht="15" customHeight="1" x14ac:dyDescent="0.25">
      <c r="C19" s="275"/>
      <c r="D19" s="97" t="s">
        <v>152</v>
      </c>
      <c r="E19" s="97" t="s">
        <v>147</v>
      </c>
      <c r="F19" s="85"/>
      <c r="G19" s="46"/>
      <c r="H19" s="87">
        <v>176</v>
      </c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83">
        <f t="shared" si="4"/>
        <v>176</v>
      </c>
      <c r="T19" s="281"/>
      <c r="V19" s="90">
        <f>C180</f>
        <v>202110</v>
      </c>
      <c r="W19" s="52">
        <f>T180</f>
        <v>76703</v>
      </c>
      <c r="X19" s="52">
        <f>T187</f>
        <v>20224</v>
      </c>
      <c r="Y19" s="52">
        <f>T192</f>
        <v>37728</v>
      </c>
      <c r="Z19" s="52">
        <f t="shared" si="5"/>
        <v>134655</v>
      </c>
      <c r="AA19" s="51">
        <f>'2022'!Z19</f>
        <v>141429</v>
      </c>
      <c r="AD19" s="90">
        <v>202110</v>
      </c>
      <c r="AE19" s="110">
        <f>SUMPRODUCT(($D$180:$D$196=$AE$8)*($E$180:$E$196=AE$9)*$S$180:$S$196)</f>
        <v>18574</v>
      </c>
      <c r="AF19" s="111">
        <f t="shared" ref="AF19:AK19" si="15">SUMPRODUCT(($D$180:$D$196=$AE$8)*($E$180:$E$196=AF$9)*$S$180:$S$196)</f>
        <v>3938</v>
      </c>
      <c r="AG19" s="111">
        <f t="shared" si="15"/>
        <v>29984</v>
      </c>
      <c r="AH19" s="111">
        <f t="shared" si="15"/>
        <v>0</v>
      </c>
      <c r="AI19" s="111">
        <f t="shared" si="15"/>
        <v>0</v>
      </c>
      <c r="AJ19" s="111">
        <f t="shared" si="15"/>
        <v>619</v>
      </c>
      <c r="AK19" s="112">
        <f t="shared" si="15"/>
        <v>23588</v>
      </c>
      <c r="AL19" s="110">
        <f>SUMPRODUCT(($D$180:$D$196=$AL$8)*($E$180:$E$196=AL$9)*$S$180:$S$196)</f>
        <v>5431</v>
      </c>
      <c r="AM19" s="111">
        <f>SUMPRODUCT(($D$180:$D$196=$AL$8)*($E$180:$E$196=AM$9)*$S$180:$S$196)</f>
        <v>11296</v>
      </c>
      <c r="AN19" s="111">
        <f>SUMPRODUCT(($D$180:$D$196=$AL$8)*($E$180:$E$196=AN$9)*$S$180:$S$196)</f>
        <v>1867</v>
      </c>
      <c r="AO19" s="111">
        <f>SUMPRODUCT(($D$180:$D$196=$AL$8)*($E$180:$E$196=AO$9)*$S$180:$S$196)</f>
        <v>1630</v>
      </c>
      <c r="AP19" s="112">
        <f>SUMPRODUCT(($D$180:$D$196=$AL$8)*($E$180:$E$196=AP$9)*$S$180:$S$196)</f>
        <v>0</v>
      </c>
      <c r="AQ19" s="110">
        <f>SUMPRODUCT(($D$180:$D$196=$AQ$8)*($E$180:$E$196=AQ$9)*$S$180:$S$196)</f>
        <v>170</v>
      </c>
      <c r="AR19" s="111">
        <f>SUMPRODUCT(($D$180:$D$196=$AQ$8)*($E$180:$E$196=AR$9)*$S$180:$S$196)</f>
        <v>0</v>
      </c>
      <c r="AS19" s="111">
        <f>SUMPRODUCT(($D$180:$D$196=$AQ$8)*($E$180:$E$196=AS$9)*$S$180:$S$196)</f>
        <v>27778</v>
      </c>
      <c r="AT19" s="111">
        <f>SUMPRODUCT(($D$180:$D$196=$AQ$8)*($E$180:$E$196=AT$9)*$S$180:$S$196)</f>
        <v>3854</v>
      </c>
      <c r="AU19" s="112">
        <f>SUMPRODUCT(($D$180:$D$196=$AQ$8)*($E$180:$E$196=AU$9)*$S$180:$S$196)</f>
        <v>5926</v>
      </c>
    </row>
    <row r="20" spans="2:47" ht="15" customHeight="1" x14ac:dyDescent="0.25">
      <c r="C20" s="275"/>
      <c r="D20" s="97" t="s">
        <v>152</v>
      </c>
      <c r="E20" s="97" t="s">
        <v>168</v>
      </c>
      <c r="F20" s="85">
        <f>305+14200</f>
        <v>14505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83">
        <f t="shared" si="4"/>
        <v>14505</v>
      </c>
      <c r="T20" s="281"/>
      <c r="V20" s="90">
        <f>C199</f>
        <v>202111</v>
      </c>
      <c r="W20" s="52">
        <f>T199</f>
        <v>76814</v>
      </c>
      <c r="X20" s="52">
        <f>T206</f>
        <v>46270</v>
      </c>
      <c r="Y20" s="52">
        <f>T211</f>
        <v>36068</v>
      </c>
      <c r="Z20" s="52">
        <f t="shared" si="5"/>
        <v>159152</v>
      </c>
      <c r="AA20" s="51">
        <f>'2022'!Z20</f>
        <v>134757</v>
      </c>
      <c r="AD20" s="90">
        <v>202111</v>
      </c>
      <c r="AE20" s="110">
        <f>SUMPRODUCT(($D$199:$D$215=$AE$8)*($E$199:$E$215=AE$9)*$S$199:$S$215)</f>
        <v>18148</v>
      </c>
      <c r="AF20" s="111">
        <f t="shared" ref="AF20:AK20" si="16">SUMPRODUCT(($D$199:$D$215=$AE$8)*($E$199:$E$215=AF$9)*$S$199:$S$215)</f>
        <v>2535</v>
      </c>
      <c r="AG20" s="111">
        <f t="shared" si="16"/>
        <v>28959</v>
      </c>
      <c r="AH20" s="111">
        <f t="shared" si="16"/>
        <v>0</v>
      </c>
      <c r="AI20" s="111">
        <f t="shared" si="16"/>
        <v>2460</v>
      </c>
      <c r="AJ20" s="111">
        <f t="shared" si="16"/>
        <v>6712</v>
      </c>
      <c r="AK20" s="112">
        <f t="shared" si="16"/>
        <v>18000</v>
      </c>
      <c r="AL20" s="110">
        <f>SUMPRODUCT(($D$199:$D$215=$AL$8)*($E$199:$E$215=AL$9)*$S$199:$S$215)</f>
        <v>40000</v>
      </c>
      <c r="AM20" s="111">
        <f>SUMPRODUCT(($D$199:$D$215=$AL$8)*($E$199:$E$215=AM$9)*$S$199:$S$215)</f>
        <v>3200</v>
      </c>
      <c r="AN20" s="111">
        <f>SUMPRODUCT(($D$199:$D$215=$AL$8)*($E$199:$E$215=AN$9)*$S$199:$S$215)</f>
        <v>1193</v>
      </c>
      <c r="AO20" s="111">
        <f>SUMPRODUCT(($D$199:$D$215=$AL$8)*($E$199:$E$215=AO$9)*$S$199:$S$215)</f>
        <v>1877</v>
      </c>
      <c r="AP20" s="112">
        <f>SUMPRODUCT(($D$199:$D$215=$AL$8)*($E$199:$E$215=AP$9)*$S$199:$S$215)</f>
        <v>0</v>
      </c>
      <c r="AQ20" s="110">
        <f>SUMPRODUCT(($D$199:$D$215=$AQ$8)*($E$199:$E$215=AQ$9)*$S$199:$S$215)</f>
        <v>3059</v>
      </c>
      <c r="AR20" s="111">
        <f>SUMPRODUCT(($D$199:$D$215=$AQ$8)*($E$199:$E$215=AR$9)*$S$199:$S$215)</f>
        <v>1300</v>
      </c>
      <c r="AS20" s="111">
        <f>SUMPRODUCT(($D$199:$D$215=$AQ$8)*($E$199:$E$215=AS$9)*$S$199:$S$215)</f>
        <v>29709</v>
      </c>
      <c r="AT20" s="111">
        <f>SUMPRODUCT(($D$199:$D$215=$AQ$8)*($E$199:$E$215=AT$9)*$S$199:$S$215)</f>
        <v>0</v>
      </c>
      <c r="AU20" s="112">
        <f>SUMPRODUCT(($D$199:$D$215=$AQ$8)*($E$199:$E$215=AU$9)*$S$199:$S$215)</f>
        <v>2000</v>
      </c>
    </row>
    <row r="21" spans="2:47" ht="15" customHeight="1" thickBot="1" x14ac:dyDescent="0.3">
      <c r="C21" s="275"/>
      <c r="D21" s="98" t="s">
        <v>153</v>
      </c>
      <c r="E21" s="98" t="s">
        <v>170</v>
      </c>
      <c r="F21" s="81">
        <f>3750+80+400+2875+160+75+165+150+200+40+624+100+220+300</f>
        <v>9139</v>
      </c>
      <c r="G21" s="81"/>
      <c r="H21" s="81">
        <f>351+175+31+750+80+0+250</f>
        <v>1637</v>
      </c>
      <c r="I21" s="81"/>
      <c r="J21" s="81">
        <f>80</f>
        <v>80</v>
      </c>
      <c r="K21" s="81"/>
      <c r="L21" s="81"/>
      <c r="M21" s="81"/>
      <c r="N21" s="81"/>
      <c r="O21" s="81"/>
      <c r="P21" s="81"/>
      <c r="Q21" s="81"/>
      <c r="R21" s="81"/>
      <c r="S21" s="81">
        <f t="shared" si="4"/>
        <v>10856</v>
      </c>
      <c r="T21" s="282">
        <f>SUM(S21:S25)</f>
        <v>45143</v>
      </c>
      <c r="V21" s="90">
        <f>C218</f>
        <v>202112</v>
      </c>
      <c r="W21" s="52">
        <f>T218</f>
        <v>90389</v>
      </c>
      <c r="X21" s="52">
        <f>T225</f>
        <v>18633</v>
      </c>
      <c r="Y21" s="52">
        <f>T230</f>
        <v>35211</v>
      </c>
      <c r="Z21" s="52">
        <f t="shared" si="5"/>
        <v>144233</v>
      </c>
      <c r="AA21" s="51">
        <f>'2022'!Z21</f>
        <v>182438</v>
      </c>
      <c r="AD21" s="90">
        <v>202112</v>
      </c>
      <c r="AE21" s="113">
        <f>SUMPRODUCT(($D$218:$D$234=$AE$8)*($E$218:$E$234=AE$9)*$S$218:$S$234)</f>
        <v>18777</v>
      </c>
      <c r="AF21" s="114">
        <f t="shared" ref="AF21:AK21" si="17">SUMPRODUCT(($D$218:$D$234=$AE$8)*($E$218:$E$234=AF$9)*$S$218:$S$234)</f>
        <v>4087</v>
      </c>
      <c r="AG21" s="114">
        <f t="shared" si="17"/>
        <v>26310</v>
      </c>
      <c r="AH21" s="114">
        <f t="shared" si="17"/>
        <v>70</v>
      </c>
      <c r="AI21" s="114">
        <f t="shared" si="17"/>
        <v>0</v>
      </c>
      <c r="AJ21" s="114">
        <f t="shared" si="17"/>
        <v>2214</v>
      </c>
      <c r="AK21" s="115">
        <f t="shared" si="17"/>
        <v>38931</v>
      </c>
      <c r="AL21" s="113">
        <f>SUMPRODUCT(($D$218:$D$234=$AL$8)*($E$218:$E$234=AL$9)*$S$218:$S$234)</f>
        <v>0</v>
      </c>
      <c r="AM21" s="114">
        <f>SUMPRODUCT(($D$218:$D$234=$AL$8)*($E$218:$E$234=AM$9)*$S$218:$S$234)</f>
        <v>9300</v>
      </c>
      <c r="AN21" s="114">
        <f>SUMPRODUCT(($D$218:$D$234=$AL$8)*($E$218:$E$234=AN$9)*$S$218:$S$234)</f>
        <v>4537</v>
      </c>
      <c r="AO21" s="114">
        <f>SUMPRODUCT(($D$218:$D$234=$AL$8)*($E$218:$E$234=AO$9)*$S$218:$S$234)</f>
        <v>4796</v>
      </c>
      <c r="AP21" s="115">
        <f>SUMPRODUCT(($D$218:$D$234=$AL$8)*($E$218:$E$234=AP$9)*$S$218:$S$234)</f>
        <v>0</v>
      </c>
      <c r="AQ21" s="113">
        <f>SUMPRODUCT(($D$218:$D$234=$AQ$8)*($E$218:$E$234=AQ$9)*$S$218:$S$234)</f>
        <v>4833</v>
      </c>
      <c r="AR21" s="114">
        <f>SUMPRODUCT(($D$218:$D$234=$AQ$8)*($E$218:$E$234=AR$9)*$S$218:$S$234)</f>
        <v>0</v>
      </c>
      <c r="AS21" s="114">
        <f>SUMPRODUCT(($D$218:$D$234=$AQ$8)*($E$218:$E$234=AS$9)*$S$218:$S$234)</f>
        <v>27778</v>
      </c>
      <c r="AT21" s="114">
        <f>SUMPRODUCT(($D$218:$D$234=$AQ$8)*($E$218:$E$234=AT$9)*$S$218:$S$234)</f>
        <v>0</v>
      </c>
      <c r="AU21" s="115">
        <f>SUMPRODUCT(($D$218:$D$234=$AQ$8)*($E$218:$E$234=AU$9)*$S$218:$S$234)</f>
        <v>2600</v>
      </c>
    </row>
    <row r="22" spans="2:47" ht="15" customHeight="1" x14ac:dyDescent="0.25">
      <c r="C22" s="275"/>
      <c r="D22" s="99" t="s">
        <v>153</v>
      </c>
      <c r="E22" s="99" t="s">
        <v>171</v>
      </c>
      <c r="F22" s="82"/>
      <c r="G22" s="82"/>
      <c r="H22" s="82"/>
      <c r="I22" s="82"/>
      <c r="J22" s="82">
        <f>2823+1276</f>
        <v>4099</v>
      </c>
      <c r="K22" s="82"/>
      <c r="L22" s="82"/>
      <c r="M22" s="82"/>
      <c r="N22" s="82"/>
      <c r="O22" s="82"/>
      <c r="P22" s="82"/>
      <c r="Q22" s="82"/>
      <c r="R22" s="82"/>
      <c r="S22" s="82">
        <f t="shared" si="4"/>
        <v>4099</v>
      </c>
      <c r="T22" s="283"/>
      <c r="AF22" s="52"/>
    </row>
    <row r="23" spans="2:47" ht="15" customHeight="1" x14ac:dyDescent="0.25">
      <c r="C23" s="275"/>
      <c r="D23" s="99" t="s">
        <v>153</v>
      </c>
      <c r="E23" s="99" t="s">
        <v>172</v>
      </c>
      <c r="F23" s="82">
        <v>27778</v>
      </c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>
        <f t="shared" si="4"/>
        <v>27778</v>
      </c>
      <c r="T23" s="283"/>
      <c r="AF23" s="52"/>
    </row>
    <row r="24" spans="2:47" s="41" customFormat="1" ht="15" customHeight="1" x14ac:dyDescent="0.25">
      <c r="B24" s="45"/>
      <c r="C24" s="276"/>
      <c r="D24" s="99" t="s">
        <v>153</v>
      </c>
      <c r="E24" s="99" t="s">
        <v>173</v>
      </c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>
        <f t="shared" si="4"/>
        <v>0</v>
      </c>
      <c r="T24" s="283"/>
      <c r="AF24" s="52"/>
    </row>
    <row r="25" spans="2:47" ht="15.75" customHeight="1" thickBot="1" x14ac:dyDescent="0.3">
      <c r="C25" s="276"/>
      <c r="D25" s="100" t="s">
        <v>153</v>
      </c>
      <c r="E25" s="100" t="s">
        <v>168</v>
      </c>
      <c r="F25" s="48">
        <f>600+910+900</f>
        <v>2410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>
        <f t="shared" si="4"/>
        <v>2410</v>
      </c>
      <c r="T25" s="283"/>
      <c r="AF25" s="52"/>
    </row>
    <row r="26" spans="2:47" ht="15" customHeight="1" x14ac:dyDescent="0.25">
      <c r="D26" s="101" t="s">
        <v>131</v>
      </c>
      <c r="E26" s="101" t="s">
        <v>131</v>
      </c>
      <c r="F26" s="64">
        <f t="shared" ref="F26:O26" si="18">SUM(F9:F25)</f>
        <v>116538</v>
      </c>
      <c r="G26" s="64">
        <f t="shared" si="18"/>
        <v>368</v>
      </c>
      <c r="H26" s="64">
        <f t="shared" si="18"/>
        <v>15633</v>
      </c>
      <c r="I26" s="64">
        <f t="shared" si="18"/>
        <v>3383</v>
      </c>
      <c r="J26" s="64">
        <f t="shared" si="18"/>
        <v>6843</v>
      </c>
      <c r="K26" s="64">
        <f t="shared" si="18"/>
        <v>0</v>
      </c>
      <c r="L26" s="64">
        <f t="shared" si="18"/>
        <v>3828</v>
      </c>
      <c r="M26" s="64">
        <f t="shared" si="18"/>
        <v>0</v>
      </c>
      <c r="N26" s="64">
        <f t="shared" si="18"/>
        <v>0</v>
      </c>
      <c r="O26" s="64">
        <f t="shared" si="18"/>
        <v>0</v>
      </c>
      <c r="P26" s="64">
        <f>SUM(P9:P25)</f>
        <v>0</v>
      </c>
      <c r="Q26" s="64">
        <f>SUM(Q9:Q25)</f>
        <v>32926</v>
      </c>
      <c r="R26" s="64">
        <f>SUM(R9:R25)</f>
        <v>0</v>
      </c>
      <c r="S26" s="54">
        <f>SUM(S9:S25)</f>
        <v>179519</v>
      </c>
      <c r="AF26" s="52"/>
    </row>
    <row r="27" spans="2:47" ht="15.75" customHeight="1" thickBot="1" x14ac:dyDescent="0.3">
      <c r="D27" s="101"/>
      <c r="E27" s="101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50"/>
      <c r="AE27" s="52"/>
    </row>
    <row r="28" spans="2:47" ht="17.25" x14ac:dyDescent="0.25">
      <c r="C28" s="275">
        <v>202102</v>
      </c>
      <c r="D28" s="94" t="s">
        <v>151</v>
      </c>
      <c r="E28" s="94" t="s">
        <v>165</v>
      </c>
      <c r="F28" s="60">
        <f>3028+50</f>
        <v>3078</v>
      </c>
      <c r="G28" s="59"/>
      <c r="H28" s="59">
        <f>687+70+2664</f>
        <v>3421</v>
      </c>
      <c r="I28" s="60">
        <f>968+799</f>
        <v>1767</v>
      </c>
      <c r="J28" s="59"/>
      <c r="K28" s="60"/>
      <c r="L28" s="60"/>
      <c r="M28" s="60"/>
      <c r="N28" s="60"/>
      <c r="O28" s="60"/>
      <c r="P28" s="60"/>
      <c r="Q28" s="60">
        <f>8500+3079+607+400</f>
        <v>12586</v>
      </c>
      <c r="R28" s="60"/>
      <c r="S28" s="44">
        <f t="shared" ref="S28:S44" si="19">SUM(F28:R28)</f>
        <v>20852</v>
      </c>
      <c r="T28" s="277">
        <f>SUM(S28:S34)</f>
        <v>132209</v>
      </c>
    </row>
    <row r="29" spans="2:47" ht="15" customHeight="1" x14ac:dyDescent="0.25">
      <c r="C29" s="275"/>
      <c r="D29" s="95" t="s">
        <v>151</v>
      </c>
      <c r="E29" s="95" t="s">
        <v>178</v>
      </c>
      <c r="F29" s="79">
        <v>120</v>
      </c>
      <c r="G29" s="78"/>
      <c r="H29" s="78">
        <f>628+1500</f>
        <v>2128</v>
      </c>
      <c r="I29" s="79">
        <f>400+1221+966</f>
        <v>2587</v>
      </c>
      <c r="J29" s="78"/>
      <c r="K29" s="79"/>
      <c r="L29" s="79">
        <f>500*2</f>
        <v>1000</v>
      </c>
      <c r="M29" s="79"/>
      <c r="N29" s="79"/>
      <c r="O29" s="79"/>
      <c r="P29" s="79"/>
      <c r="Q29" s="79"/>
      <c r="R29" s="79"/>
      <c r="S29" s="80">
        <f t="shared" si="19"/>
        <v>5835</v>
      </c>
      <c r="T29" s="278"/>
    </row>
    <row r="30" spans="2:47" ht="15" customHeight="1" x14ac:dyDescent="0.25">
      <c r="C30" s="275"/>
      <c r="D30" s="95" t="s">
        <v>151</v>
      </c>
      <c r="E30" s="95" t="s">
        <v>179</v>
      </c>
      <c r="F30" s="79">
        <f>400+200+200+80+80+60+90+60+40+300+60+100+125+500</f>
        <v>2295</v>
      </c>
      <c r="G30" s="78"/>
      <c r="H30" s="78">
        <f>30+29+65+156+130+46+55+50+55+25+500+1100+103+57+24+60+921+1000</f>
        <v>4406</v>
      </c>
      <c r="I30" s="79">
        <f>603+9+192+805+249+237+282+44+77+151+314+526+157</f>
        <v>3646</v>
      </c>
      <c r="J30" s="78"/>
      <c r="K30" s="79"/>
      <c r="L30" s="79"/>
      <c r="M30" s="79"/>
      <c r="N30" s="79"/>
      <c r="O30" s="79"/>
      <c r="P30" s="79"/>
      <c r="Q30" s="79">
        <f>2000+10000+2000</f>
        <v>14000</v>
      </c>
      <c r="R30" s="79"/>
      <c r="S30" s="80">
        <f t="shared" si="19"/>
        <v>24347</v>
      </c>
      <c r="T30" s="278"/>
    </row>
    <row r="31" spans="2:47" ht="15" customHeight="1" x14ac:dyDescent="0.25">
      <c r="C31" s="275"/>
      <c r="D31" s="95" t="s">
        <v>151</v>
      </c>
      <c r="E31" s="95" t="s">
        <v>180</v>
      </c>
      <c r="F31" s="79">
        <v>1335</v>
      </c>
      <c r="G31" s="78"/>
      <c r="H31" s="78"/>
      <c r="I31" s="79"/>
      <c r="J31" s="78"/>
      <c r="K31" s="79"/>
      <c r="L31" s="79"/>
      <c r="M31" s="79"/>
      <c r="N31" s="79"/>
      <c r="O31" s="79"/>
      <c r="P31" s="79"/>
      <c r="Q31" s="79"/>
      <c r="R31" s="79"/>
      <c r="S31" s="80">
        <f t="shared" si="19"/>
        <v>1335</v>
      </c>
      <c r="T31" s="278"/>
    </row>
    <row r="32" spans="2:47" ht="15" customHeight="1" x14ac:dyDescent="0.25">
      <c r="C32" s="275"/>
      <c r="D32" s="96" t="s">
        <v>151</v>
      </c>
      <c r="E32" s="95" t="s">
        <v>181</v>
      </c>
      <c r="F32" s="79">
        <v>2280</v>
      </c>
      <c r="G32" s="78"/>
      <c r="H32" s="78"/>
      <c r="I32" s="79"/>
      <c r="J32" s="78"/>
      <c r="K32" s="79"/>
      <c r="L32" s="79"/>
      <c r="M32" s="79"/>
      <c r="N32" s="79"/>
      <c r="O32" s="79"/>
      <c r="P32" s="79"/>
      <c r="Q32" s="79"/>
      <c r="R32" s="79"/>
      <c r="S32" s="80">
        <f t="shared" si="19"/>
        <v>2280</v>
      </c>
      <c r="T32" s="278"/>
    </row>
    <row r="33" spans="3:20" ht="15" customHeight="1" x14ac:dyDescent="0.25">
      <c r="C33" s="275"/>
      <c r="D33" s="95" t="s">
        <v>151</v>
      </c>
      <c r="E33" s="95" t="s">
        <v>182</v>
      </c>
      <c r="F33" s="79"/>
      <c r="G33" s="78"/>
      <c r="H33" s="78"/>
      <c r="I33" s="79">
        <v>94</v>
      </c>
      <c r="J33" s="78">
        <v>1066</v>
      </c>
      <c r="K33" s="79"/>
      <c r="L33" s="79"/>
      <c r="M33" s="79"/>
      <c r="N33" s="79"/>
      <c r="O33" s="79"/>
      <c r="P33" s="79"/>
      <c r="Q33" s="79"/>
      <c r="R33" s="79"/>
      <c r="S33" s="80">
        <f t="shared" si="19"/>
        <v>1160</v>
      </c>
      <c r="T33" s="278"/>
    </row>
    <row r="34" spans="3:20" ht="15" customHeight="1" x14ac:dyDescent="0.25">
      <c r="C34" s="275"/>
      <c r="D34" s="95" t="s">
        <v>176</v>
      </c>
      <c r="E34" s="95" t="s">
        <v>183</v>
      </c>
      <c r="F34" s="78">
        <f>11500+33000+1000-1650+30250+2300</f>
        <v>76400</v>
      </c>
      <c r="G34" s="78"/>
      <c r="H34" s="78"/>
      <c r="I34" s="79"/>
      <c r="J34" s="78"/>
      <c r="K34" s="79"/>
      <c r="L34" s="79"/>
      <c r="M34" s="79"/>
      <c r="N34" s="79"/>
      <c r="O34" s="79"/>
      <c r="P34" s="79"/>
      <c r="Q34" s="79"/>
      <c r="R34" s="79"/>
      <c r="S34" s="80">
        <f t="shared" si="19"/>
        <v>76400</v>
      </c>
      <c r="T34" s="276"/>
    </row>
    <row r="35" spans="3:20" ht="15" customHeight="1" x14ac:dyDescent="0.25">
      <c r="C35" s="275"/>
      <c r="D35" s="97" t="s">
        <v>152</v>
      </c>
      <c r="E35" s="97" t="s">
        <v>144</v>
      </c>
      <c r="F35" s="88">
        <f>200+888</f>
        <v>1088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83">
        <f t="shared" si="19"/>
        <v>1088</v>
      </c>
      <c r="T35" s="280">
        <f>SUM(S35:S39)</f>
        <v>4357</v>
      </c>
    </row>
    <row r="36" spans="3:20" ht="15" customHeight="1" x14ac:dyDescent="0.25">
      <c r="C36" s="275"/>
      <c r="D36" s="97" t="s">
        <v>152</v>
      </c>
      <c r="E36" s="97" t="s">
        <v>145</v>
      </c>
      <c r="F36" s="88">
        <f>500</f>
        <v>500</v>
      </c>
      <c r="G36" s="46"/>
      <c r="H36" s="89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83">
        <f t="shared" si="19"/>
        <v>500</v>
      </c>
      <c r="T36" s="281"/>
    </row>
    <row r="37" spans="3:20" ht="15" customHeight="1" x14ac:dyDescent="0.25">
      <c r="C37" s="275"/>
      <c r="D37" s="97" t="s">
        <v>152</v>
      </c>
      <c r="E37" s="97" t="s">
        <v>146</v>
      </c>
      <c r="F37" s="88">
        <f>100+30</f>
        <v>130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83">
        <f t="shared" si="19"/>
        <v>130</v>
      </c>
      <c r="T37" s="281"/>
    </row>
    <row r="38" spans="3:20" ht="15" customHeight="1" x14ac:dyDescent="0.25">
      <c r="C38" s="275"/>
      <c r="D38" s="97" t="s">
        <v>152</v>
      </c>
      <c r="E38" s="97" t="s">
        <v>147</v>
      </c>
      <c r="F38" s="88">
        <f>100+30</f>
        <v>130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83">
        <f t="shared" si="19"/>
        <v>130</v>
      </c>
      <c r="T38" s="281"/>
    </row>
    <row r="39" spans="3:20" ht="15" customHeight="1" x14ac:dyDescent="0.25">
      <c r="C39" s="275"/>
      <c r="D39" s="97" t="s">
        <v>152</v>
      </c>
      <c r="E39" s="97" t="s">
        <v>168</v>
      </c>
      <c r="F39" s="88"/>
      <c r="G39" s="46"/>
      <c r="H39" s="88">
        <v>2199</v>
      </c>
      <c r="I39" s="46"/>
      <c r="J39" s="46"/>
      <c r="K39" s="46"/>
      <c r="L39" s="46"/>
      <c r="M39" s="46"/>
      <c r="N39" s="46"/>
      <c r="O39" s="89">
        <v>310</v>
      </c>
      <c r="P39" s="46"/>
      <c r="Q39" s="46"/>
      <c r="R39" s="46"/>
      <c r="S39" s="83">
        <f t="shared" si="19"/>
        <v>2509</v>
      </c>
      <c r="T39" s="281"/>
    </row>
    <row r="40" spans="3:20" ht="15" customHeight="1" x14ac:dyDescent="0.25">
      <c r="C40" s="275"/>
      <c r="D40" s="98" t="s">
        <v>153</v>
      </c>
      <c r="E40" s="98" t="s">
        <v>170</v>
      </c>
      <c r="F40" s="81">
        <f>11960-10000+2000</f>
        <v>3960</v>
      </c>
      <c r="G40" s="81"/>
      <c r="H40" s="81"/>
      <c r="I40" s="81">
        <f>2499+200+500</f>
        <v>3199</v>
      </c>
      <c r="J40" s="81">
        <v>1162</v>
      </c>
      <c r="K40" s="81"/>
      <c r="L40" s="81"/>
      <c r="M40" s="81"/>
      <c r="N40" s="81"/>
      <c r="O40" s="81"/>
      <c r="P40" s="81"/>
      <c r="Q40" s="81"/>
      <c r="R40" s="81"/>
      <c r="S40" s="81">
        <f t="shared" si="19"/>
        <v>8321</v>
      </c>
      <c r="T40" s="282">
        <f>SUM(S40:S44)</f>
        <v>56099</v>
      </c>
    </row>
    <row r="41" spans="3:20" ht="15" customHeight="1" x14ac:dyDescent="0.25">
      <c r="C41" s="275"/>
      <c r="D41" s="99" t="s">
        <v>153</v>
      </c>
      <c r="E41" s="99" t="s">
        <v>171</v>
      </c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>
        <f t="shared" si="19"/>
        <v>0</v>
      </c>
      <c r="T41" s="283"/>
    </row>
    <row r="42" spans="3:20" ht="15" customHeight="1" x14ac:dyDescent="0.25">
      <c r="C42" s="275"/>
      <c r="D42" s="99" t="s">
        <v>153</v>
      </c>
      <c r="E42" s="99" t="s">
        <v>172</v>
      </c>
      <c r="F42" s="82">
        <v>27778</v>
      </c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>
        <f t="shared" si="19"/>
        <v>27778</v>
      </c>
      <c r="T42" s="283"/>
    </row>
    <row r="43" spans="3:20" s="41" customFormat="1" ht="15" customHeight="1" x14ac:dyDescent="0.25">
      <c r="C43" s="276"/>
      <c r="D43" s="99" t="s">
        <v>153</v>
      </c>
      <c r="E43" s="99" t="s">
        <v>173</v>
      </c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>
        <f t="shared" si="19"/>
        <v>0</v>
      </c>
      <c r="T43" s="283"/>
    </row>
    <row r="44" spans="3:20" ht="15.75" customHeight="1" thickBot="1" x14ac:dyDescent="0.3">
      <c r="C44" s="276"/>
      <c r="D44" s="100" t="s">
        <v>153</v>
      </c>
      <c r="E44" s="100" t="s">
        <v>168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>
        <f>(12000*2-3600*4-600*6)+(8000-4000)+(12000-2000)</f>
        <v>20000</v>
      </c>
      <c r="R44" s="48"/>
      <c r="S44" s="48">
        <f t="shared" si="19"/>
        <v>20000</v>
      </c>
      <c r="T44" s="283"/>
    </row>
    <row r="45" spans="3:20" ht="15" customHeight="1" x14ac:dyDescent="0.25">
      <c r="D45" s="101" t="s">
        <v>131</v>
      </c>
      <c r="E45" s="101" t="s">
        <v>131</v>
      </c>
      <c r="F45" s="64">
        <f t="shared" ref="F45:O45" si="20">SUM(F28:F44)</f>
        <v>119094</v>
      </c>
      <c r="G45" s="64">
        <f t="shared" si="20"/>
        <v>0</v>
      </c>
      <c r="H45" s="64">
        <f t="shared" si="20"/>
        <v>12154</v>
      </c>
      <c r="I45" s="64">
        <f t="shared" si="20"/>
        <v>11293</v>
      </c>
      <c r="J45" s="64">
        <f t="shared" si="20"/>
        <v>2228</v>
      </c>
      <c r="K45" s="64">
        <f t="shared" si="20"/>
        <v>0</v>
      </c>
      <c r="L45" s="64">
        <f t="shared" si="20"/>
        <v>1000</v>
      </c>
      <c r="M45" s="64">
        <f t="shared" si="20"/>
        <v>0</v>
      </c>
      <c r="N45" s="64">
        <f t="shared" si="20"/>
        <v>0</v>
      </c>
      <c r="O45" s="64">
        <f t="shared" si="20"/>
        <v>310</v>
      </c>
      <c r="P45" s="64">
        <f>SUM(P28:P44)</f>
        <v>0</v>
      </c>
      <c r="Q45" s="64">
        <f>SUM(Q28:Q44)</f>
        <v>46586</v>
      </c>
      <c r="R45" s="64">
        <f>SUM(R28:R44)</f>
        <v>0</v>
      </c>
      <c r="S45" s="54">
        <f>SUM(S28:S44)</f>
        <v>192665</v>
      </c>
    </row>
    <row r="46" spans="3:20" ht="15.75" customHeight="1" thickBot="1" x14ac:dyDescent="0.3"/>
    <row r="47" spans="3:20" ht="17.25" x14ac:dyDescent="0.25">
      <c r="C47" s="275">
        <v>202103</v>
      </c>
      <c r="D47" s="94" t="s">
        <v>151</v>
      </c>
      <c r="E47" s="94" t="s">
        <v>165</v>
      </c>
      <c r="F47" s="60">
        <f>3028+50+687</f>
        <v>3765</v>
      </c>
      <c r="G47" s="59">
        <v>3240</v>
      </c>
      <c r="H47" s="59">
        <f>496</f>
        <v>496</v>
      </c>
      <c r="I47" s="60">
        <f>745+799</f>
        <v>1544</v>
      </c>
      <c r="J47" s="59"/>
      <c r="K47" s="60"/>
      <c r="L47" s="60"/>
      <c r="M47" s="60"/>
      <c r="N47" s="60"/>
      <c r="O47" s="60"/>
      <c r="P47" s="60"/>
      <c r="Q47" s="60">
        <f>8500+3079+1495+862</f>
        <v>13936</v>
      </c>
      <c r="R47" s="60"/>
      <c r="S47" s="44">
        <f t="shared" ref="S47:S63" si="21">SUM(F47:R47)</f>
        <v>22981</v>
      </c>
      <c r="T47" s="277">
        <f>SUM(S47:S53)</f>
        <v>81258</v>
      </c>
    </row>
    <row r="48" spans="3:20" ht="15" customHeight="1" x14ac:dyDescent="0.25">
      <c r="C48" s="275"/>
      <c r="D48" s="95" t="s">
        <v>151</v>
      </c>
      <c r="E48" s="95" t="s">
        <v>166</v>
      </c>
      <c r="F48" s="79"/>
      <c r="G48" s="78"/>
      <c r="H48" s="78">
        <f>151+1286</f>
        <v>1437</v>
      </c>
      <c r="I48" s="79">
        <f>1075+1281</f>
        <v>2356</v>
      </c>
      <c r="J48" s="78"/>
      <c r="K48" s="79"/>
      <c r="L48" s="79"/>
      <c r="M48" s="79"/>
      <c r="N48" s="79"/>
      <c r="O48" s="79"/>
      <c r="P48" s="79"/>
      <c r="Q48" s="79"/>
      <c r="R48" s="79"/>
      <c r="S48" s="80">
        <f t="shared" si="21"/>
        <v>3793</v>
      </c>
      <c r="T48" s="278"/>
    </row>
    <row r="49" spans="3:20" ht="15" customHeight="1" x14ac:dyDescent="0.25">
      <c r="C49" s="275"/>
      <c r="D49" s="95" t="s">
        <v>151</v>
      </c>
      <c r="E49" s="95" t="s">
        <v>167</v>
      </c>
      <c r="F49" s="79">
        <f>195+630+53+294+85+47+178+58+250+47+47+45+100+365+100+9</f>
        <v>2503</v>
      </c>
      <c r="G49" s="78">
        <v>313</v>
      </c>
      <c r="H49" s="78">
        <f>55+40+55+153+141+500+120+55+383+1000+16+300+200+85+70+124+336+129+245+140+268+322+74</f>
        <v>4811</v>
      </c>
      <c r="I49" s="79">
        <f>258+36+100+21+60+76+244</f>
        <v>795</v>
      </c>
      <c r="J49" s="78">
        <f>454+478+960+1081</f>
        <v>2973</v>
      </c>
      <c r="K49" s="79"/>
      <c r="L49" s="79"/>
      <c r="M49" s="79"/>
      <c r="N49" s="79"/>
      <c r="O49" s="79">
        <v>310</v>
      </c>
      <c r="P49" s="79"/>
      <c r="Q49" s="79">
        <f>2000+10000+2000+2000</f>
        <v>16000</v>
      </c>
      <c r="R49" s="79"/>
      <c r="S49" s="80">
        <f t="shared" si="21"/>
        <v>27705</v>
      </c>
      <c r="T49" s="278"/>
    </row>
    <row r="50" spans="3:20" ht="15" customHeight="1" x14ac:dyDescent="0.25">
      <c r="C50" s="275"/>
      <c r="D50" s="95" t="s">
        <v>151</v>
      </c>
      <c r="E50" s="95" t="s">
        <v>174</v>
      </c>
      <c r="F50" s="144"/>
      <c r="G50" s="78"/>
      <c r="H50" s="78">
        <v>1270</v>
      </c>
      <c r="I50" s="79"/>
      <c r="J50" s="78"/>
      <c r="K50" s="79"/>
      <c r="L50" s="79"/>
      <c r="M50" s="79"/>
      <c r="N50" s="79"/>
      <c r="O50" s="79"/>
      <c r="P50" s="79"/>
      <c r="Q50" s="79"/>
      <c r="R50" s="79"/>
      <c r="S50" s="80">
        <f t="shared" si="21"/>
        <v>1270</v>
      </c>
      <c r="T50" s="278"/>
    </row>
    <row r="51" spans="3:20" ht="15" customHeight="1" x14ac:dyDescent="0.25">
      <c r="C51" s="275"/>
      <c r="D51" s="96" t="s">
        <v>151</v>
      </c>
      <c r="E51" s="96" t="s">
        <v>175</v>
      </c>
      <c r="F51" s="79"/>
      <c r="G51" s="78"/>
      <c r="H51" s="78"/>
      <c r="I51" s="79"/>
      <c r="J51" s="78"/>
      <c r="K51" s="79"/>
      <c r="L51" s="79"/>
      <c r="M51" s="79"/>
      <c r="N51" s="79"/>
      <c r="O51" s="79"/>
      <c r="P51" s="79"/>
      <c r="Q51" s="79"/>
      <c r="R51" s="79"/>
      <c r="S51" s="80">
        <f t="shared" si="21"/>
        <v>0</v>
      </c>
      <c r="T51" s="278"/>
    </row>
    <row r="52" spans="3:20" ht="15" customHeight="1" x14ac:dyDescent="0.25">
      <c r="C52" s="275"/>
      <c r="D52" s="95" t="s">
        <v>151</v>
      </c>
      <c r="E52" s="95" t="s">
        <v>168</v>
      </c>
      <c r="F52" s="79"/>
      <c r="G52" s="78"/>
      <c r="H52" s="78"/>
      <c r="I52" s="79"/>
      <c r="J52" s="78"/>
      <c r="K52" s="79"/>
      <c r="L52" s="79"/>
      <c r="M52" s="79"/>
      <c r="N52" s="79"/>
      <c r="O52" s="79"/>
      <c r="P52" s="79"/>
      <c r="Q52" s="79">
        <f>3000</f>
        <v>3000</v>
      </c>
      <c r="R52" s="79"/>
      <c r="S52" s="80">
        <f t="shared" si="21"/>
        <v>3000</v>
      </c>
      <c r="T52" s="278"/>
    </row>
    <row r="53" spans="3:20" ht="15" customHeight="1" x14ac:dyDescent="0.25">
      <c r="C53" s="275"/>
      <c r="D53" s="95" t="s">
        <v>176</v>
      </c>
      <c r="E53" s="95" t="s">
        <v>177</v>
      </c>
      <c r="F53" s="78">
        <f>11500+6500+2000+200</f>
        <v>20200</v>
      </c>
      <c r="G53" s="78"/>
      <c r="H53" s="78"/>
      <c r="I53" s="79">
        <f>1284+1025</f>
        <v>2309</v>
      </c>
      <c r="J53" s="78"/>
      <c r="K53" s="79"/>
      <c r="L53" s="79"/>
      <c r="M53" s="79"/>
      <c r="N53" s="79"/>
      <c r="O53" s="79"/>
      <c r="P53" s="79"/>
      <c r="Q53" s="79"/>
      <c r="R53" s="79"/>
      <c r="S53" s="80">
        <f t="shared" si="21"/>
        <v>22509</v>
      </c>
      <c r="T53" s="276"/>
    </row>
    <row r="54" spans="3:20" ht="15" customHeight="1" x14ac:dyDescent="0.25">
      <c r="C54" s="275"/>
      <c r="D54" s="97" t="s">
        <v>152</v>
      </c>
      <c r="E54" s="97" t="s">
        <v>144</v>
      </c>
      <c r="F54" s="88">
        <f>30+30</f>
        <v>60</v>
      </c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83">
        <f t="shared" si="21"/>
        <v>60</v>
      </c>
      <c r="T54" s="280">
        <f>SUM(S54:S58)</f>
        <v>2494</v>
      </c>
    </row>
    <row r="55" spans="3:20" ht="15" customHeight="1" x14ac:dyDescent="0.25">
      <c r="C55" s="275"/>
      <c r="D55" s="97" t="s">
        <v>152</v>
      </c>
      <c r="E55" s="97" t="s">
        <v>145</v>
      </c>
      <c r="F55" s="88">
        <f>60+60+200+30</f>
        <v>350</v>
      </c>
      <c r="G55" s="88">
        <v>200</v>
      </c>
      <c r="H55" s="89">
        <v>474</v>
      </c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83">
        <f t="shared" si="21"/>
        <v>1024</v>
      </c>
      <c r="T55" s="281"/>
    </row>
    <row r="56" spans="3:20" ht="15" customHeight="1" x14ac:dyDescent="0.25">
      <c r="C56" s="275"/>
      <c r="D56" s="97" t="s">
        <v>152</v>
      </c>
      <c r="E56" s="97" t="s">
        <v>146</v>
      </c>
      <c r="F56" s="88">
        <f>60+60+30</f>
        <v>150</v>
      </c>
      <c r="G56" s="88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83">
        <f t="shared" si="21"/>
        <v>150</v>
      </c>
      <c r="T56" s="281"/>
    </row>
    <row r="57" spans="3:20" ht="15" customHeight="1" x14ac:dyDescent="0.25">
      <c r="C57" s="275"/>
      <c r="D57" s="97" t="s">
        <v>152</v>
      </c>
      <c r="E57" s="97" t="s">
        <v>147</v>
      </c>
      <c r="F57" s="88">
        <f>30+30</f>
        <v>60</v>
      </c>
      <c r="G57" s="88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83">
        <f t="shared" si="21"/>
        <v>60</v>
      </c>
      <c r="T57" s="281"/>
    </row>
    <row r="58" spans="3:20" ht="15" customHeight="1" x14ac:dyDescent="0.25">
      <c r="C58" s="275"/>
      <c r="D58" s="97" t="s">
        <v>152</v>
      </c>
      <c r="E58" s="97" t="s">
        <v>168</v>
      </c>
      <c r="F58" s="88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86">
        <v>1200</v>
      </c>
      <c r="R58" s="46"/>
      <c r="S58" s="83">
        <f t="shared" si="21"/>
        <v>1200</v>
      </c>
      <c r="T58" s="281"/>
    </row>
    <row r="59" spans="3:20" ht="15" customHeight="1" x14ac:dyDescent="0.25">
      <c r="C59" s="275"/>
      <c r="D59" s="98" t="s">
        <v>153</v>
      </c>
      <c r="E59" s="98" t="s">
        <v>170</v>
      </c>
      <c r="F59" s="81">
        <f>150+50+55+540+40+45+80+45+860+145+1000+150</f>
        <v>3160</v>
      </c>
      <c r="G59" s="81">
        <v>89</v>
      </c>
      <c r="H59" s="82"/>
      <c r="I59" s="82"/>
      <c r="J59" s="81">
        <v>478</v>
      </c>
      <c r="K59" s="81"/>
      <c r="L59" s="81"/>
      <c r="M59" s="81"/>
      <c r="N59" s="81"/>
      <c r="O59" s="81"/>
      <c r="P59" s="81"/>
      <c r="Q59" s="81"/>
      <c r="R59" s="81"/>
      <c r="S59" s="81">
        <f>SUM(F59:R59)</f>
        <v>3727</v>
      </c>
      <c r="T59" s="282">
        <f>SUM(S59:S63)</f>
        <v>38779</v>
      </c>
    </row>
    <row r="60" spans="3:20" ht="15" customHeight="1" x14ac:dyDescent="0.25">
      <c r="C60" s="275"/>
      <c r="D60" s="99" t="s">
        <v>153</v>
      </c>
      <c r="E60" s="99" t="s">
        <v>171</v>
      </c>
      <c r="F60" s="82"/>
      <c r="G60" s="82"/>
      <c r="H60" s="82"/>
      <c r="I60" s="82"/>
      <c r="J60" s="82">
        <v>2926</v>
      </c>
      <c r="K60" s="82"/>
      <c r="L60" s="82"/>
      <c r="M60" s="82"/>
      <c r="N60" s="82"/>
      <c r="O60" s="82"/>
      <c r="P60" s="82"/>
      <c r="Q60" s="82"/>
      <c r="R60" s="82"/>
      <c r="S60" s="82">
        <f t="shared" si="21"/>
        <v>2926</v>
      </c>
      <c r="T60" s="283"/>
    </row>
    <row r="61" spans="3:20" ht="15" customHeight="1" x14ac:dyDescent="0.25">
      <c r="C61" s="275"/>
      <c r="D61" s="99" t="s">
        <v>153</v>
      </c>
      <c r="E61" s="99" t="s">
        <v>172</v>
      </c>
      <c r="F61" s="82">
        <f>27778</f>
        <v>27778</v>
      </c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>
        <f t="shared" si="21"/>
        <v>27778</v>
      </c>
      <c r="T61" s="283"/>
    </row>
    <row r="62" spans="3:20" s="41" customFormat="1" ht="15" customHeight="1" x14ac:dyDescent="0.25">
      <c r="C62" s="276"/>
      <c r="D62" s="99" t="s">
        <v>153</v>
      </c>
      <c r="E62" s="99" t="s">
        <v>173</v>
      </c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>
        <f t="shared" si="21"/>
        <v>0</v>
      </c>
      <c r="T62" s="283"/>
    </row>
    <row r="63" spans="3:20" ht="15.75" customHeight="1" thickBot="1" x14ac:dyDescent="0.3">
      <c r="C63" s="276"/>
      <c r="D63" s="100" t="s">
        <v>153</v>
      </c>
      <c r="E63" s="100" t="s">
        <v>168</v>
      </c>
      <c r="F63" s="48">
        <f>613+2700+600</f>
        <v>3913</v>
      </c>
      <c r="G63" s="48"/>
      <c r="H63" s="48"/>
      <c r="I63" s="48">
        <v>435</v>
      </c>
      <c r="J63" s="48"/>
      <c r="K63" s="48"/>
      <c r="L63" s="48"/>
      <c r="M63" s="48"/>
      <c r="N63" s="48"/>
      <c r="O63" s="48"/>
      <c r="P63" s="48"/>
      <c r="Q63" s="48"/>
      <c r="R63" s="48"/>
      <c r="S63" s="48">
        <f t="shared" si="21"/>
        <v>4348</v>
      </c>
      <c r="T63" s="283"/>
    </row>
    <row r="64" spans="3:20" ht="15" customHeight="1" x14ac:dyDescent="0.25">
      <c r="D64" s="101" t="s">
        <v>131</v>
      </c>
      <c r="E64" s="101" t="s">
        <v>131</v>
      </c>
      <c r="F64" s="64">
        <f t="shared" ref="F64:O64" si="22">SUM(F47:F63)</f>
        <v>61939</v>
      </c>
      <c r="G64" s="64">
        <f t="shared" si="22"/>
        <v>3842</v>
      </c>
      <c r="H64" s="64">
        <f t="shared" si="22"/>
        <v>8488</v>
      </c>
      <c r="I64" s="64">
        <f t="shared" si="22"/>
        <v>7439</v>
      </c>
      <c r="J64" s="64">
        <f t="shared" si="22"/>
        <v>6377</v>
      </c>
      <c r="K64" s="64">
        <f t="shared" si="22"/>
        <v>0</v>
      </c>
      <c r="L64" s="64">
        <f t="shared" si="22"/>
        <v>0</v>
      </c>
      <c r="M64" s="64">
        <f t="shared" si="22"/>
        <v>0</v>
      </c>
      <c r="N64" s="64">
        <f t="shared" si="22"/>
        <v>0</v>
      </c>
      <c r="O64" s="64">
        <f t="shared" si="22"/>
        <v>310</v>
      </c>
      <c r="P64" s="64">
        <f>SUM(P47:P63)</f>
        <v>0</v>
      </c>
      <c r="Q64" s="64">
        <f>SUM(Q47:Q63)</f>
        <v>34136</v>
      </c>
      <c r="R64" s="64">
        <f>SUM(R47:R63)</f>
        <v>0</v>
      </c>
      <c r="S64" s="54">
        <f>SUM(S47:S63)</f>
        <v>122531</v>
      </c>
    </row>
    <row r="65" spans="3:20" ht="15.75" customHeight="1" thickBot="1" x14ac:dyDescent="0.3">
      <c r="D65" s="101"/>
      <c r="E65" s="101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</row>
    <row r="66" spans="3:20" ht="17.25" x14ac:dyDescent="0.25">
      <c r="C66" s="275">
        <v>202104</v>
      </c>
      <c r="D66" s="102" t="s">
        <v>184</v>
      </c>
      <c r="E66" s="94" t="s">
        <v>165</v>
      </c>
      <c r="F66" s="60">
        <f>3028+687</f>
        <v>3715</v>
      </c>
      <c r="G66" s="59"/>
      <c r="H66" s="59">
        <f>713</f>
        <v>713</v>
      </c>
      <c r="I66" s="60">
        <f>799</f>
        <v>799</v>
      </c>
      <c r="J66" s="59"/>
      <c r="K66" s="60"/>
      <c r="L66" s="60"/>
      <c r="M66" s="60"/>
      <c r="N66" s="60"/>
      <c r="O66" s="60"/>
      <c r="P66" s="60"/>
      <c r="Q66" s="60">
        <f>630+199+8500+3079</f>
        <v>12408</v>
      </c>
      <c r="R66" s="60"/>
      <c r="S66" s="44">
        <f t="shared" ref="S66:S82" si="23">SUM(F66:R66)</f>
        <v>17635</v>
      </c>
      <c r="T66" s="277">
        <f>SUM(S66:S72)</f>
        <v>70618</v>
      </c>
    </row>
    <row r="67" spans="3:20" ht="15" customHeight="1" x14ac:dyDescent="0.25">
      <c r="C67" s="275"/>
      <c r="D67" s="95" t="s">
        <v>151</v>
      </c>
      <c r="E67" s="95" t="s">
        <v>166</v>
      </c>
      <c r="F67" s="79">
        <f>120</f>
        <v>120</v>
      </c>
      <c r="G67" s="78"/>
      <c r="H67" s="78">
        <f>500</f>
        <v>500</v>
      </c>
      <c r="I67" s="79">
        <v>400</v>
      </c>
      <c r="J67" s="78"/>
      <c r="K67" s="79"/>
      <c r="L67" s="79">
        <v>500</v>
      </c>
      <c r="M67" s="79"/>
      <c r="N67" s="79"/>
      <c r="O67" s="79"/>
      <c r="P67" s="79"/>
      <c r="Q67" s="79"/>
      <c r="R67" s="79"/>
      <c r="S67" s="80">
        <f t="shared" si="23"/>
        <v>1520</v>
      </c>
      <c r="T67" s="278"/>
    </row>
    <row r="68" spans="3:20" ht="15" customHeight="1" x14ac:dyDescent="0.25">
      <c r="C68" s="275"/>
      <c r="D68" s="95" t="s">
        <v>151</v>
      </c>
      <c r="E68" s="95" t="s">
        <v>167</v>
      </c>
      <c r="F68" s="79">
        <f>85+90+86+1470+290+80+247+350+50+98+140+68+55+283+134+7+64+50+263+66+145+500+250+70</f>
        <v>4941</v>
      </c>
      <c r="G68" s="78">
        <v>150</v>
      </c>
      <c r="H68" s="78">
        <f>60+100+500+500+500+200+300+163+200+35+120+62+68+45+89</f>
        <v>2942</v>
      </c>
      <c r="I68" s="79">
        <f>72+77+87+1319+147</f>
        <v>1702</v>
      </c>
      <c r="J68" s="78">
        <f>175+80+620+175+80</f>
        <v>1130</v>
      </c>
      <c r="K68" s="79"/>
      <c r="L68" s="79"/>
      <c r="M68" s="79"/>
      <c r="N68" s="79"/>
      <c r="O68" s="79">
        <v>224</v>
      </c>
      <c r="P68" s="79"/>
      <c r="Q68" s="79">
        <f>2000+10000+2000+2000+2000</f>
        <v>18000</v>
      </c>
      <c r="R68" s="79"/>
      <c r="S68" s="80">
        <f t="shared" si="23"/>
        <v>29089</v>
      </c>
      <c r="T68" s="278"/>
    </row>
    <row r="69" spans="3:20" ht="15" customHeight="1" x14ac:dyDescent="0.25">
      <c r="C69" s="275"/>
      <c r="D69" s="95" t="s">
        <v>151</v>
      </c>
      <c r="E69" s="95" t="s">
        <v>174</v>
      </c>
      <c r="F69" s="79"/>
      <c r="G69" s="78"/>
      <c r="H69" s="78"/>
      <c r="I69" s="79"/>
      <c r="J69" s="78"/>
      <c r="K69" s="79"/>
      <c r="L69" s="79"/>
      <c r="M69" s="79"/>
      <c r="N69" s="79"/>
      <c r="O69" s="79"/>
      <c r="P69" s="79"/>
      <c r="Q69" s="79"/>
      <c r="R69" s="79"/>
      <c r="S69" s="80">
        <f t="shared" si="23"/>
        <v>0</v>
      </c>
      <c r="T69" s="278"/>
    </row>
    <row r="70" spans="3:20" ht="15" customHeight="1" x14ac:dyDescent="0.25">
      <c r="C70" s="275"/>
      <c r="D70" s="96" t="s">
        <v>151</v>
      </c>
      <c r="E70" s="96" t="s">
        <v>175</v>
      </c>
      <c r="F70" s="79"/>
      <c r="G70" s="78"/>
      <c r="H70" s="78"/>
      <c r="I70" s="79"/>
      <c r="J70" s="78"/>
      <c r="K70" s="79"/>
      <c r="L70" s="79"/>
      <c r="M70" s="79">
        <v>1078</v>
      </c>
      <c r="N70" s="79"/>
      <c r="O70" s="79"/>
      <c r="P70" s="79"/>
      <c r="Q70" s="79"/>
      <c r="R70" s="79"/>
      <c r="S70" s="80">
        <f t="shared" si="23"/>
        <v>1078</v>
      </c>
      <c r="T70" s="278"/>
    </row>
    <row r="71" spans="3:20" ht="15" customHeight="1" x14ac:dyDescent="0.25">
      <c r="C71" s="275"/>
      <c r="D71" s="95" t="s">
        <v>151</v>
      </c>
      <c r="E71" s="95" t="s">
        <v>168</v>
      </c>
      <c r="F71" s="79">
        <f>200</f>
        <v>200</v>
      </c>
      <c r="G71" s="78">
        <f>390+1500+299</f>
        <v>2189</v>
      </c>
      <c r="H71" s="78">
        <v>399</v>
      </c>
      <c r="I71" s="79"/>
      <c r="J71" s="78"/>
      <c r="K71" s="79"/>
      <c r="L71" s="79"/>
      <c r="M71" s="79"/>
      <c r="N71" s="79"/>
      <c r="O71" s="79"/>
      <c r="P71" s="79"/>
      <c r="Q71" s="79">
        <f>350+158</f>
        <v>508</v>
      </c>
      <c r="R71" s="79"/>
      <c r="S71" s="80">
        <f t="shared" si="23"/>
        <v>3296</v>
      </c>
      <c r="T71" s="278"/>
    </row>
    <row r="72" spans="3:20" ht="15" customHeight="1" x14ac:dyDescent="0.25">
      <c r="C72" s="275"/>
      <c r="D72" s="95" t="s">
        <v>176</v>
      </c>
      <c r="E72" s="95" t="s">
        <v>177</v>
      </c>
      <c r="F72" s="78">
        <f>11500+6500</f>
        <v>18000</v>
      </c>
      <c r="G72" s="78"/>
      <c r="H72" s="78"/>
      <c r="I72" s="79"/>
      <c r="J72" s="78"/>
      <c r="K72" s="79"/>
      <c r="L72" s="79"/>
      <c r="M72" s="79"/>
      <c r="N72" s="79"/>
      <c r="O72" s="79"/>
      <c r="P72" s="79"/>
      <c r="Q72" s="79"/>
      <c r="R72" s="79"/>
      <c r="S72" s="80">
        <f t="shared" si="23"/>
        <v>18000</v>
      </c>
      <c r="T72" s="279"/>
    </row>
    <row r="73" spans="3:20" ht="15" customHeight="1" x14ac:dyDescent="0.25">
      <c r="C73" s="275"/>
      <c r="D73" s="97" t="s">
        <v>152</v>
      </c>
      <c r="E73" s="97" t="s">
        <v>144</v>
      </c>
      <c r="F73" s="89">
        <f>226+220</f>
        <v>446</v>
      </c>
      <c r="G73" s="46"/>
      <c r="H73" s="89">
        <v>394</v>
      </c>
      <c r="I73" s="104"/>
      <c r="J73" s="89">
        <v>790</v>
      </c>
      <c r="K73" s="46"/>
      <c r="L73" s="46"/>
      <c r="M73" s="46"/>
      <c r="N73" s="46"/>
      <c r="O73" s="46"/>
      <c r="P73" s="46"/>
      <c r="Q73" s="89"/>
      <c r="R73" s="46"/>
      <c r="S73" s="83">
        <f t="shared" si="23"/>
        <v>1630</v>
      </c>
      <c r="T73" s="280">
        <f>SUM(S73:S77)</f>
        <v>5160</v>
      </c>
    </row>
    <row r="74" spans="3:20" ht="15" customHeight="1" x14ac:dyDescent="0.25">
      <c r="C74" s="275"/>
      <c r="D74" s="97" t="s">
        <v>152</v>
      </c>
      <c r="E74" s="97" t="s">
        <v>145</v>
      </c>
      <c r="F74" s="89">
        <f>30</f>
        <v>30</v>
      </c>
      <c r="G74" s="46"/>
      <c r="H74" s="46"/>
      <c r="I74" s="104">
        <v>320</v>
      </c>
      <c r="J74" s="46"/>
      <c r="K74" s="46"/>
      <c r="L74" s="46"/>
      <c r="M74" s="46"/>
      <c r="N74" s="46"/>
      <c r="O74" s="46"/>
      <c r="P74" s="46"/>
      <c r="Q74" s="89"/>
      <c r="R74" s="46"/>
      <c r="S74" s="83">
        <f t="shared" si="23"/>
        <v>350</v>
      </c>
      <c r="T74" s="281"/>
    </row>
    <row r="75" spans="3:20" ht="15" customHeight="1" x14ac:dyDescent="0.25">
      <c r="C75" s="275"/>
      <c r="D75" s="97" t="s">
        <v>152</v>
      </c>
      <c r="E75" s="97" t="s">
        <v>146</v>
      </c>
      <c r="F75" s="89">
        <f>30+30+30+30+30</f>
        <v>150</v>
      </c>
      <c r="G75" s="46"/>
      <c r="H75" s="89">
        <v>210</v>
      </c>
      <c r="I75" s="104">
        <v>280</v>
      </c>
      <c r="J75" s="46"/>
      <c r="K75" s="46"/>
      <c r="L75" s="46"/>
      <c r="M75" s="46"/>
      <c r="N75" s="46"/>
      <c r="O75" s="46"/>
      <c r="P75" s="46"/>
      <c r="Q75" s="89"/>
      <c r="R75" s="46"/>
      <c r="S75" s="83">
        <f t="shared" si="23"/>
        <v>640</v>
      </c>
      <c r="T75" s="281"/>
    </row>
    <row r="76" spans="3:20" ht="15" customHeight="1" x14ac:dyDescent="0.25">
      <c r="C76" s="275"/>
      <c r="D76" s="97" t="s">
        <v>152</v>
      </c>
      <c r="E76" s="97" t="s">
        <v>147</v>
      </c>
      <c r="F76" s="89">
        <f>30+30+20+20+20+20</f>
        <v>140</v>
      </c>
      <c r="G76" s="46"/>
      <c r="H76" s="46"/>
      <c r="I76" s="104"/>
      <c r="J76" s="46"/>
      <c r="K76" s="46"/>
      <c r="L76" s="46"/>
      <c r="M76" s="46"/>
      <c r="N76" s="46"/>
      <c r="O76" s="46"/>
      <c r="P76" s="46"/>
      <c r="Q76" s="89"/>
      <c r="R76" s="46"/>
      <c r="S76" s="83">
        <f t="shared" si="23"/>
        <v>140</v>
      </c>
      <c r="T76" s="281"/>
    </row>
    <row r="77" spans="3:20" ht="15" customHeight="1" x14ac:dyDescent="0.25">
      <c r="C77" s="275"/>
      <c r="D77" s="97" t="s">
        <v>152</v>
      </c>
      <c r="E77" s="97" t="s">
        <v>168</v>
      </c>
      <c r="F77" s="46"/>
      <c r="G77" s="46"/>
      <c r="H77" s="46"/>
      <c r="I77" s="105"/>
      <c r="J77" s="46"/>
      <c r="K77" s="46"/>
      <c r="L77" s="46"/>
      <c r="M77" s="46"/>
      <c r="N77" s="46"/>
      <c r="O77" s="46"/>
      <c r="P77" s="46"/>
      <c r="Q77" s="86">
        <f>1200+1200</f>
        <v>2400</v>
      </c>
      <c r="R77" s="46"/>
      <c r="S77" s="83">
        <f t="shared" si="23"/>
        <v>2400</v>
      </c>
      <c r="T77" s="281"/>
    </row>
    <row r="78" spans="3:20" ht="15" customHeight="1" x14ac:dyDescent="0.25">
      <c r="C78" s="275"/>
      <c r="D78" s="98" t="s">
        <v>153</v>
      </c>
      <c r="E78" s="98" t="s">
        <v>170</v>
      </c>
      <c r="F78" s="81">
        <f>3299+85+25+100+80+100+50+35+40+100+35+660+400+90+169+2270+120</f>
        <v>7658</v>
      </c>
      <c r="G78" s="81"/>
      <c r="H78" s="81">
        <f>4354-799+406+196+100+60+60+269+650</f>
        <v>5296</v>
      </c>
      <c r="I78" s="81">
        <f>560+294+434+641</f>
        <v>1929</v>
      </c>
      <c r="J78" s="81">
        <f>4418+229+169</f>
        <v>4816</v>
      </c>
      <c r="K78" s="81"/>
      <c r="L78" s="81"/>
      <c r="M78" s="81"/>
      <c r="N78" s="81"/>
      <c r="O78" s="81"/>
      <c r="P78" s="81"/>
      <c r="Q78" s="91"/>
      <c r="R78" s="81"/>
      <c r="S78" s="81">
        <f t="shared" si="23"/>
        <v>19699</v>
      </c>
      <c r="T78" s="282">
        <f>SUM(S78:S82)</f>
        <v>63697</v>
      </c>
    </row>
    <row r="79" spans="3:20" ht="15" customHeight="1" x14ac:dyDescent="0.25">
      <c r="C79" s="275"/>
      <c r="D79" s="99" t="s">
        <v>153</v>
      </c>
      <c r="E79" s="99" t="s">
        <v>171</v>
      </c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>
        <f t="shared" si="23"/>
        <v>0</v>
      </c>
      <c r="T79" s="283"/>
    </row>
    <row r="80" spans="3:20" ht="15" customHeight="1" x14ac:dyDescent="0.25">
      <c r="C80" s="275"/>
      <c r="D80" s="99" t="s">
        <v>153</v>
      </c>
      <c r="E80" s="99" t="s">
        <v>172</v>
      </c>
      <c r="F80" s="82">
        <f>27778+11230</f>
        <v>39008</v>
      </c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>
        <f t="shared" si="23"/>
        <v>39008</v>
      </c>
      <c r="T80" s="283"/>
    </row>
    <row r="81" spans="3:20" s="41" customFormat="1" ht="15" customHeight="1" x14ac:dyDescent="0.25">
      <c r="C81" s="276"/>
      <c r="D81" s="99" t="s">
        <v>153</v>
      </c>
      <c r="E81" s="99" t="s">
        <v>173</v>
      </c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>
        <f t="shared" si="23"/>
        <v>0</v>
      </c>
      <c r="T81" s="283"/>
    </row>
    <row r="82" spans="3:20" ht="15.75" customHeight="1" thickBot="1" x14ac:dyDescent="0.3">
      <c r="C82" s="276"/>
      <c r="D82" s="100" t="s">
        <v>153</v>
      </c>
      <c r="E82" s="100" t="s">
        <v>168</v>
      </c>
      <c r="F82" s="48">
        <v>719</v>
      </c>
      <c r="G82" s="48"/>
      <c r="H82" s="103"/>
      <c r="I82" s="108">
        <f>400+87+77+2462</f>
        <v>3026</v>
      </c>
      <c r="J82" s="48"/>
      <c r="K82" s="48"/>
      <c r="L82" s="48"/>
      <c r="M82" s="48">
        <v>945</v>
      </c>
      <c r="N82" s="48"/>
      <c r="O82" s="48"/>
      <c r="P82" s="48"/>
      <c r="Q82" s="48">
        <v>300</v>
      </c>
      <c r="R82" s="48"/>
      <c r="S82" s="48">
        <f t="shared" si="23"/>
        <v>4990</v>
      </c>
      <c r="T82" s="283"/>
    </row>
    <row r="83" spans="3:20" ht="15" customHeight="1" x14ac:dyDescent="0.25">
      <c r="D83" s="101" t="s">
        <v>131</v>
      </c>
      <c r="E83" s="101" t="s">
        <v>131</v>
      </c>
      <c r="F83" s="64">
        <f t="shared" ref="F83:O83" si="24">SUM(F66:F82)</f>
        <v>75127</v>
      </c>
      <c r="G83" s="64">
        <f t="shared" si="24"/>
        <v>2339</v>
      </c>
      <c r="H83" s="64">
        <f t="shared" si="24"/>
        <v>10454</v>
      </c>
      <c r="I83" s="64">
        <f t="shared" si="24"/>
        <v>8456</v>
      </c>
      <c r="J83" s="64">
        <f t="shared" si="24"/>
        <v>6736</v>
      </c>
      <c r="K83" s="64">
        <f t="shared" si="24"/>
        <v>0</v>
      </c>
      <c r="L83" s="64">
        <f t="shared" si="24"/>
        <v>500</v>
      </c>
      <c r="M83" s="64">
        <f t="shared" si="24"/>
        <v>2023</v>
      </c>
      <c r="N83" s="64">
        <f t="shared" si="24"/>
        <v>0</v>
      </c>
      <c r="O83" s="64">
        <f t="shared" si="24"/>
        <v>224</v>
      </c>
      <c r="P83" s="64">
        <f>SUM(P66:P82)</f>
        <v>0</v>
      </c>
      <c r="Q83" s="64">
        <f>SUM(Q66:Q82)</f>
        <v>33616</v>
      </c>
      <c r="R83" s="64">
        <f>SUM(R66:R82)</f>
        <v>0</v>
      </c>
      <c r="S83" s="54">
        <f>SUM(S66:S82)</f>
        <v>139475</v>
      </c>
    </row>
    <row r="84" spans="3:20" ht="15.75" customHeight="1" thickBot="1" x14ac:dyDescent="0.3"/>
    <row r="85" spans="3:20" ht="17.25" x14ac:dyDescent="0.25">
      <c r="C85" s="275">
        <v>202105</v>
      </c>
      <c r="D85" s="94" t="s">
        <v>151</v>
      </c>
      <c r="E85" s="94" t="s">
        <v>165</v>
      </c>
      <c r="F85" s="60">
        <f>3028+50+30+687</f>
        <v>3795</v>
      </c>
      <c r="G85" s="59"/>
      <c r="H85" s="59">
        <f>2664</f>
        <v>2664</v>
      </c>
      <c r="I85" s="60">
        <f>336+114+800</f>
        <v>1250</v>
      </c>
      <c r="J85" s="59"/>
      <c r="K85" s="60"/>
      <c r="L85" s="60"/>
      <c r="M85" s="60"/>
      <c r="N85" s="60"/>
      <c r="O85" s="60"/>
      <c r="P85" s="60"/>
      <c r="Q85" s="60">
        <f>8500+3079</f>
        <v>11579</v>
      </c>
      <c r="R85" s="60"/>
      <c r="S85" s="44">
        <f t="shared" ref="S85:S101" si="25">SUM(F85:R85)</f>
        <v>19288</v>
      </c>
      <c r="T85" s="277">
        <f>SUM(S85:S91)</f>
        <v>85442</v>
      </c>
    </row>
    <row r="86" spans="3:20" ht="17.25" x14ac:dyDescent="0.25">
      <c r="C86" s="275"/>
      <c r="D86" s="95" t="s">
        <v>151</v>
      </c>
      <c r="E86" s="95" t="s">
        <v>166</v>
      </c>
      <c r="F86" s="79"/>
      <c r="G86" s="78"/>
      <c r="H86" s="78">
        <f>15+97+1329</f>
        <v>1441</v>
      </c>
      <c r="I86" s="79">
        <f>1276</f>
        <v>1276</v>
      </c>
      <c r="J86" s="78"/>
      <c r="K86" s="79"/>
      <c r="L86" s="79"/>
      <c r="M86" s="79">
        <v>500</v>
      </c>
      <c r="N86" s="79"/>
      <c r="O86" s="79"/>
      <c r="P86" s="79"/>
      <c r="Q86" s="79"/>
      <c r="R86" s="79"/>
      <c r="S86" s="80">
        <f t="shared" si="25"/>
        <v>3217</v>
      </c>
      <c r="T86" s="278"/>
    </row>
    <row r="87" spans="3:20" ht="15" customHeight="1" x14ac:dyDescent="0.25">
      <c r="C87" s="275"/>
      <c r="D87" s="95" t="s">
        <v>151</v>
      </c>
      <c r="E87" s="106" t="s">
        <v>189</v>
      </c>
      <c r="F87" s="79">
        <f>690+1200+130</f>
        <v>2020</v>
      </c>
      <c r="G87" s="78"/>
      <c r="H87" s="78">
        <f>101+55+160+275+30+63+40+130+165+110+55+40+3+270+267+19+30+218+400+277+1036+512+1215+35+289+134+159+476+369+510</f>
        <v>7443</v>
      </c>
      <c r="I87" s="79">
        <f>180+591+414+756+300+1224+2315</f>
        <v>5780</v>
      </c>
      <c r="J87" s="78"/>
      <c r="K87" s="79"/>
      <c r="L87" s="79">
        <f>500+222</f>
        <v>722</v>
      </c>
      <c r="M87" s="79"/>
      <c r="N87" s="79"/>
      <c r="O87" s="79"/>
      <c r="P87" s="79"/>
      <c r="Q87" s="79">
        <f>10000+795+2000+2000+2000+767</f>
        <v>17562</v>
      </c>
      <c r="R87" s="79"/>
      <c r="S87" s="80">
        <f t="shared" si="25"/>
        <v>33527</v>
      </c>
      <c r="T87" s="278"/>
    </row>
    <row r="88" spans="3:20" ht="15" customHeight="1" x14ac:dyDescent="0.25">
      <c r="C88" s="275"/>
      <c r="D88" s="95" t="s">
        <v>151</v>
      </c>
      <c r="E88" s="95" t="s">
        <v>174</v>
      </c>
      <c r="F88" s="79"/>
      <c r="G88" s="78"/>
      <c r="H88" s="78"/>
      <c r="I88" s="79"/>
      <c r="J88" s="78"/>
      <c r="K88" s="79"/>
      <c r="L88" s="79"/>
      <c r="M88" s="79"/>
      <c r="N88" s="79"/>
      <c r="O88" s="79"/>
      <c r="P88" s="79"/>
      <c r="Q88" s="79"/>
      <c r="R88" s="79"/>
      <c r="S88" s="80">
        <f t="shared" si="25"/>
        <v>0</v>
      </c>
      <c r="T88" s="278"/>
    </row>
    <row r="89" spans="3:20" ht="15" customHeight="1" x14ac:dyDescent="0.25">
      <c r="C89" s="275"/>
      <c r="D89" s="96" t="s">
        <v>151</v>
      </c>
      <c r="E89" s="96" t="s">
        <v>175</v>
      </c>
      <c r="F89" s="79"/>
      <c r="G89" s="78"/>
      <c r="H89" s="78"/>
      <c r="I89" s="79"/>
      <c r="J89" s="78"/>
      <c r="K89" s="79"/>
      <c r="L89" s="79"/>
      <c r="M89" s="79">
        <v>2436</v>
      </c>
      <c r="N89" s="79"/>
      <c r="O89" s="79"/>
      <c r="P89" s="79"/>
      <c r="Q89" s="79"/>
      <c r="R89" s="79"/>
      <c r="S89" s="80">
        <f t="shared" si="25"/>
        <v>2436</v>
      </c>
      <c r="T89" s="278"/>
    </row>
    <row r="90" spans="3:20" ht="15" customHeight="1" x14ac:dyDescent="0.25">
      <c r="C90" s="275"/>
      <c r="D90" s="96" t="s">
        <v>185</v>
      </c>
      <c r="E90" s="95" t="s">
        <v>168</v>
      </c>
      <c r="F90" s="79">
        <v>780</v>
      </c>
      <c r="G90" s="78">
        <f>47+47</f>
        <v>94</v>
      </c>
      <c r="H90" s="78"/>
      <c r="I90" s="79"/>
      <c r="J90" s="78"/>
      <c r="K90" s="79"/>
      <c r="L90" s="79"/>
      <c r="M90" s="79"/>
      <c r="N90" s="79"/>
      <c r="O90" s="79"/>
      <c r="P90" s="79"/>
      <c r="Q90" s="79"/>
      <c r="R90" s="79"/>
      <c r="S90" s="80">
        <f t="shared" si="25"/>
        <v>874</v>
      </c>
      <c r="T90" s="278"/>
    </row>
    <row r="91" spans="3:20" ht="15" customHeight="1" x14ac:dyDescent="0.25">
      <c r="C91" s="275"/>
      <c r="D91" s="96" t="s">
        <v>186</v>
      </c>
      <c r="E91" s="95" t="s">
        <v>177</v>
      </c>
      <c r="F91" s="78">
        <f>11500+6500+3000+5100</f>
        <v>26100</v>
      </c>
      <c r="G91" s="78"/>
      <c r="H91" s="78"/>
      <c r="I91" s="79"/>
      <c r="J91" s="78"/>
      <c r="K91" s="79"/>
      <c r="L91" s="79"/>
      <c r="M91" s="79"/>
      <c r="N91" s="79"/>
      <c r="O91" s="79"/>
      <c r="P91" s="79"/>
      <c r="Q91" s="79"/>
      <c r="R91" s="79"/>
      <c r="S91" s="80">
        <f t="shared" si="25"/>
        <v>26100</v>
      </c>
      <c r="T91" s="279"/>
    </row>
    <row r="92" spans="3:20" ht="15" customHeight="1" x14ac:dyDescent="0.25">
      <c r="C92" s="275"/>
      <c r="D92" s="97" t="s">
        <v>152</v>
      </c>
      <c r="E92" s="97" t="s">
        <v>144</v>
      </c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83">
        <f t="shared" si="25"/>
        <v>0</v>
      </c>
      <c r="T92" s="280">
        <f>SUM(S92:S96)</f>
        <v>2983</v>
      </c>
    </row>
    <row r="93" spans="3:20" ht="15" customHeight="1" x14ac:dyDescent="0.25">
      <c r="C93" s="275"/>
      <c r="D93" s="97" t="s">
        <v>152</v>
      </c>
      <c r="E93" s="97" t="s">
        <v>145</v>
      </c>
      <c r="F93" s="89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83">
        <f t="shared" si="25"/>
        <v>0</v>
      </c>
      <c r="T93" s="281"/>
    </row>
    <row r="94" spans="3:20" ht="15" customHeight="1" x14ac:dyDescent="0.25">
      <c r="C94" s="275"/>
      <c r="D94" s="97" t="s">
        <v>152</v>
      </c>
      <c r="E94" s="97" t="s">
        <v>146</v>
      </c>
      <c r="F94" s="89">
        <v>120</v>
      </c>
      <c r="G94" s="46"/>
      <c r="H94" s="104">
        <v>1199</v>
      </c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83">
        <f t="shared" si="25"/>
        <v>1319</v>
      </c>
      <c r="T94" s="281"/>
    </row>
    <row r="95" spans="3:20" ht="15" customHeight="1" x14ac:dyDescent="0.25">
      <c r="C95" s="275"/>
      <c r="D95" s="97" t="s">
        <v>152</v>
      </c>
      <c r="E95" s="97" t="s">
        <v>147</v>
      </c>
      <c r="F95" s="89">
        <v>30</v>
      </c>
      <c r="G95" s="46"/>
      <c r="H95" s="104">
        <f>135+1499</f>
        <v>1634</v>
      </c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83">
        <f t="shared" si="25"/>
        <v>1664</v>
      </c>
      <c r="T95" s="281"/>
    </row>
    <row r="96" spans="3:20" ht="15" customHeight="1" x14ac:dyDescent="0.25">
      <c r="C96" s="275"/>
      <c r="D96" s="97" t="s">
        <v>152</v>
      </c>
      <c r="E96" s="97" t="s">
        <v>168</v>
      </c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83">
        <f t="shared" si="25"/>
        <v>0</v>
      </c>
      <c r="T96" s="281"/>
    </row>
    <row r="97" spans="3:20" ht="15" customHeight="1" x14ac:dyDescent="0.25">
      <c r="C97" s="275"/>
      <c r="D97" s="98" t="s">
        <v>153</v>
      </c>
      <c r="E97" s="98" t="s">
        <v>170</v>
      </c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>
        <f t="shared" si="25"/>
        <v>0</v>
      </c>
      <c r="T97" s="282">
        <f>SUM(S97:S101)</f>
        <v>47724</v>
      </c>
    </row>
    <row r="98" spans="3:20" ht="15" customHeight="1" x14ac:dyDescent="0.25">
      <c r="C98" s="275"/>
      <c r="D98" s="99" t="s">
        <v>153</v>
      </c>
      <c r="E98" s="99" t="s">
        <v>171</v>
      </c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>
        <f>1980*1.1*2+990*1.1+(1980*1.1*0.666666666666667)+1300</f>
        <v>8197</v>
      </c>
      <c r="R98" s="82"/>
      <c r="S98" s="82">
        <f t="shared" si="25"/>
        <v>8197</v>
      </c>
      <c r="T98" s="283"/>
    </row>
    <row r="99" spans="3:20" ht="15" customHeight="1" x14ac:dyDescent="0.25">
      <c r="C99" s="275"/>
      <c r="D99" s="99" t="s">
        <v>153</v>
      </c>
      <c r="E99" s="99" t="s">
        <v>172</v>
      </c>
      <c r="F99" s="82">
        <f>27778+7269</f>
        <v>35047</v>
      </c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>
        <f t="shared" si="25"/>
        <v>35047</v>
      </c>
      <c r="T99" s="283"/>
    </row>
    <row r="100" spans="3:20" s="41" customFormat="1" ht="15" customHeight="1" x14ac:dyDescent="0.25">
      <c r="C100" s="276"/>
      <c r="D100" s="99" t="s">
        <v>153</v>
      </c>
      <c r="E100" s="99" t="s">
        <v>173</v>
      </c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>
        <f t="shared" si="25"/>
        <v>0</v>
      </c>
      <c r="T100" s="283"/>
    </row>
    <row r="101" spans="3:20" ht="15.75" customHeight="1" thickBot="1" x14ac:dyDescent="0.3">
      <c r="C101" s="276"/>
      <c r="D101" s="100" t="s">
        <v>153</v>
      </c>
      <c r="E101" s="100" t="s">
        <v>168</v>
      </c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>
        <f>2000+2480</f>
        <v>4480</v>
      </c>
      <c r="R101" s="48"/>
      <c r="S101" s="48">
        <f t="shared" si="25"/>
        <v>4480</v>
      </c>
      <c r="T101" s="283"/>
    </row>
    <row r="102" spans="3:20" ht="15" customHeight="1" x14ac:dyDescent="0.25">
      <c r="D102" s="101" t="s">
        <v>131</v>
      </c>
      <c r="E102" s="101" t="s">
        <v>131</v>
      </c>
      <c r="F102" s="64">
        <f t="shared" ref="F102:O102" si="26">SUM(F85:F101)</f>
        <v>67892</v>
      </c>
      <c r="G102" s="64">
        <f t="shared" si="26"/>
        <v>94</v>
      </c>
      <c r="H102" s="64">
        <f t="shared" si="26"/>
        <v>14381</v>
      </c>
      <c r="I102" s="64">
        <f t="shared" si="26"/>
        <v>8306</v>
      </c>
      <c r="J102" s="64">
        <f t="shared" si="26"/>
        <v>0</v>
      </c>
      <c r="K102" s="64">
        <f t="shared" si="26"/>
        <v>0</v>
      </c>
      <c r="L102" s="64">
        <f t="shared" si="26"/>
        <v>722</v>
      </c>
      <c r="M102" s="64">
        <f t="shared" si="26"/>
        <v>2936</v>
      </c>
      <c r="N102" s="64">
        <f t="shared" si="26"/>
        <v>0</v>
      </c>
      <c r="O102" s="64">
        <f t="shared" si="26"/>
        <v>0</v>
      </c>
      <c r="P102" s="64">
        <f>SUM(P85:P101)</f>
        <v>0</v>
      </c>
      <c r="Q102" s="64">
        <f>SUM(Q85:Q101)</f>
        <v>41818</v>
      </c>
      <c r="R102" s="64">
        <f>SUM(R85:R101)</f>
        <v>0</v>
      </c>
      <c r="S102" s="54">
        <f>SUM(S85:S101)</f>
        <v>136149</v>
      </c>
    </row>
    <row r="103" spans="3:20" ht="15.75" customHeight="1" thickBot="1" x14ac:dyDescent="0.3"/>
    <row r="104" spans="3:20" ht="17.25" x14ac:dyDescent="0.25">
      <c r="C104" s="275">
        <v>202106</v>
      </c>
      <c r="D104" s="94" t="s">
        <v>151</v>
      </c>
      <c r="E104" s="94" t="s">
        <v>165</v>
      </c>
      <c r="F104" s="60">
        <f>3028+50+687</f>
        <v>3765</v>
      </c>
      <c r="G104" s="59"/>
      <c r="H104" s="59">
        <f>1415+428</f>
        <v>1843</v>
      </c>
      <c r="I104" s="60">
        <v>799</v>
      </c>
      <c r="J104" s="59"/>
      <c r="K104" s="60"/>
      <c r="L104" s="60"/>
      <c r="M104" s="60"/>
      <c r="N104" s="60"/>
      <c r="O104" s="60"/>
      <c r="P104" s="60"/>
      <c r="Q104" s="60">
        <f>8500+3079</f>
        <v>11579</v>
      </c>
      <c r="R104" s="60"/>
      <c r="S104" s="44">
        <f t="shared" ref="S104:S120" si="27">SUM(F104:R104)</f>
        <v>17986</v>
      </c>
      <c r="T104" s="277">
        <f>SUM(S104:S110)</f>
        <v>59111</v>
      </c>
    </row>
    <row r="105" spans="3:20" ht="15" customHeight="1" x14ac:dyDescent="0.25">
      <c r="C105" s="275"/>
      <c r="D105" s="95" t="s">
        <v>151</v>
      </c>
      <c r="E105" s="95" t="s">
        <v>166</v>
      </c>
      <c r="F105" s="79"/>
      <c r="G105" s="78"/>
      <c r="H105" s="78">
        <f>97</f>
        <v>97</v>
      </c>
      <c r="I105" s="79"/>
      <c r="J105" s="78"/>
      <c r="K105" s="79"/>
      <c r="L105" s="79"/>
      <c r="M105" s="79"/>
      <c r="N105" s="79"/>
      <c r="O105" s="79"/>
      <c r="P105" s="79"/>
      <c r="Q105" s="79"/>
      <c r="R105" s="79"/>
      <c r="S105" s="80">
        <f t="shared" si="27"/>
        <v>97</v>
      </c>
      <c r="T105" s="278"/>
    </row>
    <row r="106" spans="3:20" ht="15" customHeight="1" x14ac:dyDescent="0.25">
      <c r="C106" s="275"/>
      <c r="D106" s="95" t="s">
        <v>151</v>
      </c>
      <c r="E106" s="95" t="s">
        <v>167</v>
      </c>
      <c r="F106" s="79">
        <f>72+330+90+335+199+1470+348</f>
        <v>2844</v>
      </c>
      <c r="G106" s="78">
        <f>591</f>
        <v>591</v>
      </c>
      <c r="H106" s="78">
        <f>100+1100+467+25+103+586+103+25+65+1183+1414+165+1225</f>
        <v>6561</v>
      </c>
      <c r="I106" s="79">
        <f>35</f>
        <v>35</v>
      </c>
      <c r="J106" s="78">
        <v>558</v>
      </c>
      <c r="K106" s="79"/>
      <c r="L106" s="79">
        <f>789+295+422+647+201+244+500+1000+230+514+258+445+374+590+162+146+165+274</f>
        <v>7256</v>
      </c>
      <c r="M106" s="79"/>
      <c r="N106" s="79"/>
      <c r="O106" s="79"/>
      <c r="P106" s="79"/>
      <c r="Q106" s="79">
        <f>2000+10000+583+2000+2500</f>
        <v>17083</v>
      </c>
      <c r="R106" s="79"/>
      <c r="S106" s="80">
        <f t="shared" si="27"/>
        <v>34928</v>
      </c>
      <c r="T106" s="278"/>
    </row>
    <row r="107" spans="3:20" ht="15" customHeight="1" x14ac:dyDescent="0.25">
      <c r="C107" s="275"/>
      <c r="D107" s="95" t="s">
        <v>151</v>
      </c>
      <c r="E107" s="95" t="s">
        <v>174</v>
      </c>
      <c r="F107" s="79"/>
      <c r="G107" s="78"/>
      <c r="H107" s="78"/>
      <c r="I107" s="79"/>
      <c r="J107" s="78"/>
      <c r="K107" s="79"/>
      <c r="L107" s="79"/>
      <c r="M107" s="79"/>
      <c r="N107" s="79"/>
      <c r="O107" s="79"/>
      <c r="P107" s="79"/>
      <c r="Q107" s="79"/>
      <c r="R107" s="79"/>
      <c r="S107" s="80">
        <f t="shared" si="27"/>
        <v>0</v>
      </c>
      <c r="T107" s="278"/>
    </row>
    <row r="108" spans="3:20" ht="15" customHeight="1" x14ac:dyDescent="0.25">
      <c r="C108" s="275"/>
      <c r="D108" s="96" t="s">
        <v>151</v>
      </c>
      <c r="E108" s="96" t="s">
        <v>175</v>
      </c>
      <c r="F108" s="79"/>
      <c r="G108" s="78"/>
      <c r="H108" s="78"/>
      <c r="I108" s="79">
        <v>2500</v>
      </c>
      <c r="J108" s="78"/>
      <c r="K108" s="79"/>
      <c r="L108" s="79"/>
      <c r="M108" s="79"/>
      <c r="N108" s="79"/>
      <c r="O108" s="79"/>
      <c r="P108" s="79"/>
      <c r="Q108" s="79"/>
      <c r="R108" s="79"/>
      <c r="S108" s="80">
        <f t="shared" si="27"/>
        <v>2500</v>
      </c>
      <c r="T108" s="278"/>
    </row>
    <row r="109" spans="3:20" ht="15" customHeight="1" x14ac:dyDescent="0.25">
      <c r="C109" s="275"/>
      <c r="D109" s="96" t="s">
        <v>187</v>
      </c>
      <c r="E109" s="96" t="s">
        <v>182</v>
      </c>
      <c r="F109" s="79"/>
      <c r="G109" s="78"/>
      <c r="H109" s="78"/>
      <c r="I109" s="79"/>
      <c r="J109" s="78"/>
      <c r="K109" s="79"/>
      <c r="L109" s="79"/>
      <c r="M109" s="79"/>
      <c r="N109" s="79"/>
      <c r="O109" s="79"/>
      <c r="P109" s="79"/>
      <c r="Q109" s="79"/>
      <c r="R109" s="79"/>
      <c r="S109" s="80">
        <f t="shared" si="27"/>
        <v>0</v>
      </c>
      <c r="T109" s="278"/>
    </row>
    <row r="110" spans="3:20" ht="15" customHeight="1" x14ac:dyDescent="0.25">
      <c r="C110" s="275"/>
      <c r="D110" s="96" t="s">
        <v>187</v>
      </c>
      <c r="E110" s="96" t="s">
        <v>169</v>
      </c>
      <c r="F110" s="78">
        <f>3600</f>
        <v>3600</v>
      </c>
      <c r="G110" s="78"/>
      <c r="H110" s="78"/>
      <c r="I110" s="79"/>
      <c r="J110" s="78"/>
      <c r="K110" s="79"/>
      <c r="L110" s="79"/>
      <c r="M110" s="79"/>
      <c r="N110" s="79"/>
      <c r="O110" s="79"/>
      <c r="P110" s="79"/>
      <c r="Q110" s="79"/>
      <c r="R110" s="79"/>
      <c r="S110" s="80">
        <f>SUM(F110:R110)</f>
        <v>3600</v>
      </c>
      <c r="T110" s="279"/>
    </row>
    <row r="111" spans="3:20" ht="15" customHeight="1" x14ac:dyDescent="0.25">
      <c r="C111" s="275"/>
      <c r="D111" s="97" t="s">
        <v>152</v>
      </c>
      <c r="E111" s="97" t="s">
        <v>150</v>
      </c>
      <c r="F111" s="89"/>
      <c r="G111" s="89"/>
      <c r="H111" s="89"/>
      <c r="I111" s="89">
        <v>325</v>
      </c>
      <c r="J111" s="89"/>
      <c r="K111" s="89"/>
      <c r="L111" s="89"/>
      <c r="M111" s="46"/>
      <c r="N111" s="46"/>
      <c r="O111" s="46"/>
      <c r="P111" s="46"/>
      <c r="Q111" s="46"/>
      <c r="R111" s="46"/>
      <c r="S111" s="83">
        <f t="shared" si="27"/>
        <v>325</v>
      </c>
      <c r="T111" s="280">
        <f>SUM(S111:S115)</f>
        <v>475</v>
      </c>
    </row>
    <row r="112" spans="3:20" ht="15" customHeight="1" x14ac:dyDescent="0.25">
      <c r="C112" s="275"/>
      <c r="D112" s="97" t="s">
        <v>152</v>
      </c>
      <c r="E112" s="97" t="s">
        <v>145</v>
      </c>
      <c r="F112" s="89"/>
      <c r="G112" s="89"/>
      <c r="H112" s="89"/>
      <c r="I112" s="89"/>
      <c r="J112" s="89"/>
      <c r="K112" s="89"/>
      <c r="L112" s="89"/>
      <c r="M112" s="46"/>
      <c r="N112" s="46"/>
      <c r="O112" s="46"/>
      <c r="P112" s="46"/>
      <c r="Q112" s="46"/>
      <c r="R112" s="46"/>
      <c r="S112" s="83">
        <f t="shared" si="27"/>
        <v>0</v>
      </c>
      <c r="T112" s="281"/>
    </row>
    <row r="113" spans="3:20" ht="15" customHeight="1" x14ac:dyDescent="0.25">
      <c r="C113" s="275"/>
      <c r="D113" s="97" t="s">
        <v>152</v>
      </c>
      <c r="E113" s="97" t="s">
        <v>146</v>
      </c>
      <c r="F113" s="89"/>
      <c r="G113" s="89"/>
      <c r="H113" s="89"/>
      <c r="I113" s="89"/>
      <c r="J113" s="89"/>
      <c r="K113" s="89"/>
      <c r="L113" s="89"/>
      <c r="M113" s="46"/>
      <c r="N113" s="46"/>
      <c r="O113" s="46"/>
      <c r="P113" s="46"/>
      <c r="Q113" s="46"/>
      <c r="R113" s="46"/>
      <c r="S113" s="83">
        <f t="shared" si="27"/>
        <v>0</v>
      </c>
      <c r="T113" s="281"/>
    </row>
    <row r="114" spans="3:20" ht="15" customHeight="1" x14ac:dyDescent="0.25">
      <c r="C114" s="275"/>
      <c r="D114" s="97" t="s">
        <v>152</v>
      </c>
      <c r="E114" s="97" t="s">
        <v>147</v>
      </c>
      <c r="F114" s="89"/>
      <c r="G114" s="89"/>
      <c r="H114" s="89"/>
      <c r="I114" s="89"/>
      <c r="J114" s="89">
        <v>150</v>
      </c>
      <c r="K114" s="89"/>
      <c r="L114" s="89"/>
      <c r="M114" s="46"/>
      <c r="N114" s="46"/>
      <c r="O114" s="46"/>
      <c r="P114" s="46"/>
      <c r="Q114" s="46"/>
      <c r="R114" s="46"/>
      <c r="S114" s="83">
        <f t="shared" si="27"/>
        <v>150</v>
      </c>
      <c r="T114" s="281"/>
    </row>
    <row r="115" spans="3:20" ht="15" customHeight="1" x14ac:dyDescent="0.25">
      <c r="C115" s="275"/>
      <c r="D115" s="97" t="s">
        <v>152</v>
      </c>
      <c r="E115" s="97" t="s">
        <v>168</v>
      </c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83">
        <f t="shared" si="27"/>
        <v>0</v>
      </c>
      <c r="T115" s="281"/>
    </row>
    <row r="116" spans="3:20" ht="15" customHeight="1" x14ac:dyDescent="0.25">
      <c r="C116" s="275"/>
      <c r="D116" s="98" t="s">
        <v>153</v>
      </c>
      <c r="E116" s="98" t="s">
        <v>170</v>
      </c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>
        <f t="shared" si="27"/>
        <v>0</v>
      </c>
      <c r="T116" s="282">
        <f>SUM(S116:S120)</f>
        <v>27778</v>
      </c>
    </row>
    <row r="117" spans="3:20" ht="15" customHeight="1" x14ac:dyDescent="0.25">
      <c r="C117" s="275"/>
      <c r="D117" s="99" t="s">
        <v>153</v>
      </c>
      <c r="E117" s="99" t="s">
        <v>171</v>
      </c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>
        <f t="shared" si="27"/>
        <v>0</v>
      </c>
      <c r="T117" s="283"/>
    </row>
    <row r="118" spans="3:20" ht="15" customHeight="1" x14ac:dyDescent="0.25">
      <c r="C118" s="275"/>
      <c r="D118" s="99" t="s">
        <v>153</v>
      </c>
      <c r="E118" s="99" t="s">
        <v>172</v>
      </c>
      <c r="F118" s="82">
        <v>27778</v>
      </c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>
        <f t="shared" si="27"/>
        <v>27778</v>
      </c>
      <c r="T118" s="283"/>
    </row>
    <row r="119" spans="3:20" s="41" customFormat="1" ht="15" customHeight="1" x14ac:dyDescent="0.25">
      <c r="C119" s="276"/>
      <c r="D119" s="99" t="s">
        <v>153</v>
      </c>
      <c r="E119" s="99" t="s">
        <v>173</v>
      </c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>
        <f t="shared" si="27"/>
        <v>0</v>
      </c>
      <c r="T119" s="283"/>
    </row>
    <row r="120" spans="3:20" ht="15.75" customHeight="1" thickBot="1" x14ac:dyDescent="0.3">
      <c r="C120" s="276"/>
      <c r="D120" s="100" t="s">
        <v>153</v>
      </c>
      <c r="E120" s="100" t="s">
        <v>168</v>
      </c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>
        <f t="shared" si="27"/>
        <v>0</v>
      </c>
      <c r="T120" s="283"/>
    </row>
    <row r="121" spans="3:20" ht="15" customHeight="1" x14ac:dyDescent="0.25">
      <c r="D121" s="101" t="s">
        <v>131</v>
      </c>
      <c r="E121" s="101" t="s">
        <v>131</v>
      </c>
      <c r="F121" s="64">
        <f>SUM(F104:F120)</f>
        <v>37987</v>
      </c>
      <c r="G121" s="64">
        <f>SUM(G104:G120)</f>
        <v>591</v>
      </c>
      <c r="H121" s="64">
        <f>SUM(H104:H120)</f>
        <v>8501</v>
      </c>
      <c r="I121" s="64">
        <f t="shared" ref="I121:P121" si="28">SUM(I104:I120)</f>
        <v>3659</v>
      </c>
      <c r="J121" s="64">
        <f t="shared" si="28"/>
        <v>708</v>
      </c>
      <c r="K121" s="64">
        <f t="shared" si="28"/>
        <v>0</v>
      </c>
      <c r="L121" s="64">
        <f t="shared" si="28"/>
        <v>7256</v>
      </c>
      <c r="M121" s="64">
        <f t="shared" si="28"/>
        <v>0</v>
      </c>
      <c r="N121" s="64">
        <f t="shared" si="28"/>
        <v>0</v>
      </c>
      <c r="O121" s="64">
        <f t="shared" si="28"/>
        <v>0</v>
      </c>
      <c r="P121" s="64">
        <f t="shared" si="28"/>
        <v>0</v>
      </c>
      <c r="Q121" s="64">
        <f>SUM(Q104:Q120)</f>
        <v>28662</v>
      </c>
      <c r="R121" s="64">
        <f>SUM(R104:R120)</f>
        <v>0</v>
      </c>
      <c r="S121" s="54">
        <f>SUM(S104:S120)</f>
        <v>87364</v>
      </c>
    </row>
    <row r="122" spans="3:20" ht="15.75" customHeight="1" thickBot="1" x14ac:dyDescent="0.3"/>
    <row r="123" spans="3:20" ht="17.25" x14ac:dyDescent="0.25">
      <c r="C123" s="275">
        <v>202107</v>
      </c>
      <c r="D123" s="94" t="s">
        <v>151</v>
      </c>
      <c r="E123" s="94" t="s">
        <v>165</v>
      </c>
      <c r="F123" s="60">
        <f>3078+687</f>
        <v>3765</v>
      </c>
      <c r="G123" s="59"/>
      <c r="H123" s="59">
        <f>1491+2644</f>
        <v>4135</v>
      </c>
      <c r="I123" s="60">
        <v>799</v>
      </c>
      <c r="J123" s="59"/>
      <c r="K123" s="60"/>
      <c r="L123" s="60"/>
      <c r="M123" s="60"/>
      <c r="N123" s="60"/>
      <c r="O123" s="60"/>
      <c r="P123" s="60"/>
      <c r="Q123" s="60">
        <f>8500+3079+1500+426</f>
        <v>13505</v>
      </c>
      <c r="R123" s="60"/>
      <c r="S123" s="44">
        <f t="shared" ref="S123:S139" si="29">SUM(F123:R123)</f>
        <v>22204</v>
      </c>
      <c r="T123" s="277">
        <f>SUM(S123:S129)</f>
        <v>71560</v>
      </c>
    </row>
    <row r="124" spans="3:20" ht="15" customHeight="1" x14ac:dyDescent="0.25">
      <c r="C124" s="275"/>
      <c r="D124" s="95" t="s">
        <v>151</v>
      </c>
      <c r="E124" s="95" t="s">
        <v>166</v>
      </c>
      <c r="F124" s="79"/>
      <c r="G124" s="78"/>
      <c r="H124" s="78">
        <f>109+128</f>
        <v>237</v>
      </c>
      <c r="I124" s="79">
        <v>1413</v>
      </c>
      <c r="J124" s="78"/>
      <c r="K124" s="79"/>
      <c r="L124" s="79"/>
      <c r="M124" s="79"/>
      <c r="N124" s="79"/>
      <c r="O124" s="79"/>
      <c r="P124" s="79"/>
      <c r="Q124" s="79"/>
      <c r="R124" s="79"/>
      <c r="S124" s="80">
        <f t="shared" si="29"/>
        <v>1650</v>
      </c>
      <c r="T124" s="278"/>
    </row>
    <row r="125" spans="3:20" ht="15" customHeight="1" x14ac:dyDescent="0.25">
      <c r="C125" s="275"/>
      <c r="D125" s="95" t="s">
        <v>151</v>
      </c>
      <c r="E125" s="95" t="s">
        <v>167</v>
      </c>
      <c r="F125" s="79">
        <f>149+60+450+100+1000+227+1176+109</f>
        <v>3271</v>
      </c>
      <c r="G125" s="78"/>
      <c r="H125" s="78">
        <f>75+132+222+186+105+269+107+198+1300+219+1518+120+385+29</f>
        <v>4865</v>
      </c>
      <c r="I125" s="79">
        <f>853+532+360+30+45+25+40</f>
        <v>1885</v>
      </c>
      <c r="J125" s="78">
        <f>530+1800+274+1967+360+202</f>
        <v>5133</v>
      </c>
      <c r="K125" s="79">
        <f>2230</f>
        <v>2230</v>
      </c>
      <c r="L125" s="79">
        <f>516+155+203+920+500</f>
        <v>2294</v>
      </c>
      <c r="M125" s="79"/>
      <c r="N125" s="79"/>
      <c r="O125" s="79"/>
      <c r="P125" s="79"/>
      <c r="Q125" s="79">
        <f>10000+2000+2000+2000+2600</f>
        <v>18600</v>
      </c>
      <c r="R125" s="79"/>
      <c r="S125" s="80">
        <f t="shared" si="29"/>
        <v>38278</v>
      </c>
      <c r="T125" s="278"/>
    </row>
    <row r="126" spans="3:20" ht="15" customHeight="1" x14ac:dyDescent="0.25">
      <c r="C126" s="275"/>
      <c r="D126" s="95" t="s">
        <v>151</v>
      </c>
      <c r="E126" s="95" t="s">
        <v>174</v>
      </c>
      <c r="F126" s="79"/>
      <c r="G126" s="78"/>
      <c r="H126" s="78"/>
      <c r="I126" s="79"/>
      <c r="J126" s="78">
        <v>1249</v>
      </c>
      <c r="K126" s="79"/>
      <c r="L126" s="79"/>
      <c r="M126" s="79"/>
      <c r="N126" s="79"/>
      <c r="O126" s="79"/>
      <c r="P126" s="79"/>
      <c r="Q126" s="79"/>
      <c r="R126" s="79"/>
      <c r="S126" s="80">
        <f t="shared" si="29"/>
        <v>1249</v>
      </c>
      <c r="T126" s="278"/>
    </row>
    <row r="127" spans="3:20" ht="15" customHeight="1" x14ac:dyDescent="0.25">
      <c r="C127" s="275"/>
      <c r="D127" s="96" t="s">
        <v>151</v>
      </c>
      <c r="E127" s="96" t="s">
        <v>175</v>
      </c>
      <c r="F127" s="79">
        <v>143</v>
      </c>
      <c r="G127" s="78"/>
      <c r="H127" s="78"/>
      <c r="I127" s="79"/>
      <c r="J127" s="78">
        <v>2536</v>
      </c>
      <c r="K127" s="79"/>
      <c r="L127" s="79"/>
      <c r="M127" s="79"/>
      <c r="N127" s="79"/>
      <c r="O127" s="79"/>
      <c r="P127" s="79"/>
      <c r="Q127" s="79"/>
      <c r="R127" s="79"/>
      <c r="S127" s="80">
        <f t="shared" si="29"/>
        <v>2679</v>
      </c>
      <c r="T127" s="278"/>
    </row>
    <row r="128" spans="3:20" ht="15" customHeight="1" x14ac:dyDescent="0.25">
      <c r="C128" s="275"/>
      <c r="D128" s="95" t="s">
        <v>151</v>
      </c>
      <c r="E128" s="95" t="s">
        <v>168</v>
      </c>
      <c r="F128" s="78">
        <f>500</f>
        <v>500</v>
      </c>
      <c r="G128" s="78"/>
      <c r="H128" s="78"/>
      <c r="I128" s="79"/>
      <c r="J128" s="78"/>
      <c r="K128" s="79"/>
      <c r="L128" s="79"/>
      <c r="M128" s="79"/>
      <c r="N128" s="79"/>
      <c r="O128" s="79"/>
      <c r="P128" s="79"/>
      <c r="Q128" s="79"/>
      <c r="R128" s="79"/>
      <c r="S128" s="80">
        <f t="shared" si="29"/>
        <v>500</v>
      </c>
      <c r="T128" s="278"/>
    </row>
    <row r="129" spans="3:20" ht="15" customHeight="1" x14ac:dyDescent="0.25">
      <c r="C129" s="275"/>
      <c r="D129" s="95" t="s">
        <v>176</v>
      </c>
      <c r="E129" s="95" t="s">
        <v>177</v>
      </c>
      <c r="F129" s="78">
        <f>5000</f>
        <v>5000</v>
      </c>
      <c r="G129" s="78"/>
      <c r="H129" s="78"/>
      <c r="I129" s="79"/>
      <c r="J129" s="78"/>
      <c r="K129" s="79"/>
      <c r="L129" s="79"/>
      <c r="M129" s="79"/>
      <c r="N129" s="79"/>
      <c r="O129" s="79"/>
      <c r="P129" s="79"/>
      <c r="Q129" s="79"/>
      <c r="R129" s="79"/>
      <c r="S129" s="80">
        <f t="shared" si="29"/>
        <v>5000</v>
      </c>
      <c r="T129" s="279"/>
    </row>
    <row r="130" spans="3:20" ht="15" customHeight="1" x14ac:dyDescent="0.25">
      <c r="C130" s="275"/>
      <c r="D130" s="97" t="s">
        <v>152</v>
      </c>
      <c r="E130" s="97" t="s">
        <v>144</v>
      </c>
      <c r="F130" s="109">
        <v>297</v>
      </c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83">
        <f t="shared" si="29"/>
        <v>297</v>
      </c>
      <c r="T130" s="280">
        <f>SUM(S130:S134)</f>
        <v>4810</v>
      </c>
    </row>
    <row r="131" spans="3:20" ht="15" customHeight="1" x14ac:dyDescent="0.25">
      <c r="C131" s="275"/>
      <c r="D131" s="97" t="s">
        <v>152</v>
      </c>
      <c r="E131" s="97" t="s">
        <v>145</v>
      </c>
      <c r="F131" s="109">
        <v>1250</v>
      </c>
      <c r="G131" s="46"/>
      <c r="H131" s="46"/>
      <c r="I131" s="46"/>
      <c r="J131" s="46"/>
      <c r="K131" s="46"/>
      <c r="L131" s="89"/>
      <c r="M131" s="46"/>
      <c r="N131" s="46"/>
      <c r="O131" s="46"/>
      <c r="P131" s="46"/>
      <c r="Q131" s="46"/>
      <c r="R131" s="46"/>
      <c r="S131" s="83">
        <f t="shared" si="29"/>
        <v>1250</v>
      </c>
      <c r="T131" s="281"/>
    </row>
    <row r="132" spans="3:20" ht="15" customHeight="1" x14ac:dyDescent="0.25">
      <c r="C132" s="275"/>
      <c r="D132" s="97" t="s">
        <v>152</v>
      </c>
      <c r="E132" s="97" t="s">
        <v>146</v>
      </c>
      <c r="F132" s="109">
        <f>900</f>
        <v>900</v>
      </c>
      <c r="G132" s="46"/>
      <c r="H132" s="46"/>
      <c r="I132" s="46"/>
      <c r="J132" s="46"/>
      <c r="K132" s="46"/>
      <c r="L132" s="89">
        <f>806+1257</f>
        <v>2063</v>
      </c>
      <c r="M132" s="46"/>
      <c r="N132" s="46"/>
      <c r="O132" s="46"/>
      <c r="P132" s="46"/>
      <c r="Q132" s="46"/>
      <c r="R132" s="46"/>
      <c r="S132" s="83">
        <f t="shared" si="29"/>
        <v>2963</v>
      </c>
      <c r="T132" s="281"/>
    </row>
    <row r="133" spans="3:20" ht="15" customHeight="1" x14ac:dyDescent="0.25">
      <c r="C133" s="275"/>
      <c r="D133" s="97" t="s">
        <v>152</v>
      </c>
      <c r="E133" s="97" t="s">
        <v>147</v>
      </c>
      <c r="F133" s="109"/>
      <c r="G133" s="46"/>
      <c r="H133" s="46"/>
      <c r="I133" s="46"/>
      <c r="J133" s="46"/>
      <c r="K133" s="46"/>
      <c r="L133" s="89">
        <v>300</v>
      </c>
      <c r="M133" s="46"/>
      <c r="N133" s="46"/>
      <c r="O133" s="46"/>
      <c r="P133" s="46"/>
      <c r="Q133" s="46"/>
      <c r="R133" s="46"/>
      <c r="S133" s="83">
        <f t="shared" si="29"/>
        <v>300</v>
      </c>
      <c r="T133" s="281"/>
    </row>
    <row r="134" spans="3:20" ht="15" customHeight="1" x14ac:dyDescent="0.25">
      <c r="C134" s="275"/>
      <c r="D134" s="97" t="s">
        <v>152</v>
      </c>
      <c r="E134" s="97" t="s">
        <v>168</v>
      </c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83">
        <f t="shared" si="29"/>
        <v>0</v>
      </c>
      <c r="T134" s="281"/>
    </row>
    <row r="135" spans="3:20" ht="15" customHeight="1" x14ac:dyDescent="0.25">
      <c r="C135" s="275"/>
      <c r="D135" s="98" t="s">
        <v>153</v>
      </c>
      <c r="E135" s="98" t="s">
        <v>170</v>
      </c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>
        <f t="shared" si="29"/>
        <v>0</v>
      </c>
      <c r="T135" s="282">
        <f>SUM(S135:S139)</f>
        <v>77218</v>
      </c>
    </row>
    <row r="136" spans="3:20" ht="15" customHeight="1" x14ac:dyDescent="0.25">
      <c r="C136" s="275"/>
      <c r="D136" s="99" t="s">
        <v>153</v>
      </c>
      <c r="E136" s="99" t="s">
        <v>171</v>
      </c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>
        <f t="shared" si="29"/>
        <v>0</v>
      </c>
      <c r="T136" s="283"/>
    </row>
    <row r="137" spans="3:20" ht="15" customHeight="1" x14ac:dyDescent="0.25">
      <c r="C137" s="275"/>
      <c r="D137" s="99" t="s">
        <v>153</v>
      </c>
      <c r="E137" s="99" t="s">
        <v>172</v>
      </c>
      <c r="F137" s="82">
        <v>27778</v>
      </c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>
        <f t="shared" si="29"/>
        <v>27778</v>
      </c>
      <c r="T137" s="283"/>
    </row>
    <row r="138" spans="3:20" s="41" customFormat="1" ht="15" customHeight="1" x14ac:dyDescent="0.25">
      <c r="C138" s="276"/>
      <c r="D138" s="99" t="s">
        <v>153</v>
      </c>
      <c r="E138" s="99" t="s">
        <v>173</v>
      </c>
      <c r="F138" s="82"/>
      <c r="G138" s="82"/>
      <c r="H138" s="82"/>
      <c r="I138" s="82"/>
      <c r="J138" s="82"/>
      <c r="K138" s="82"/>
      <c r="L138" s="82"/>
      <c r="M138" s="82">
        <f>52040-2600</f>
        <v>49440</v>
      </c>
      <c r="N138" s="82"/>
      <c r="O138" s="82"/>
      <c r="P138" s="82"/>
      <c r="Q138" s="82"/>
      <c r="R138" s="82"/>
      <c r="S138" s="82">
        <f t="shared" si="29"/>
        <v>49440</v>
      </c>
      <c r="T138" s="283"/>
    </row>
    <row r="139" spans="3:20" ht="15.75" customHeight="1" thickBot="1" x14ac:dyDescent="0.3">
      <c r="C139" s="276"/>
      <c r="D139" s="100" t="s">
        <v>153</v>
      </c>
      <c r="E139" s="100" t="s">
        <v>168</v>
      </c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>
        <f t="shared" si="29"/>
        <v>0</v>
      </c>
      <c r="T139" s="283"/>
    </row>
    <row r="140" spans="3:20" ht="15" customHeight="1" x14ac:dyDescent="0.25">
      <c r="D140" s="101" t="s">
        <v>131</v>
      </c>
      <c r="E140" s="101" t="s">
        <v>131</v>
      </c>
      <c r="F140" s="64">
        <f>SUM(F123:F139)</f>
        <v>42904</v>
      </c>
      <c r="G140" s="64">
        <f>SUM(G123:G139)</f>
        <v>0</v>
      </c>
      <c r="H140" s="64">
        <f>SUM(H123:H139)</f>
        <v>9237</v>
      </c>
      <c r="I140" s="64">
        <f t="shared" ref="I140:P140" si="30">SUM(I123:I139)</f>
        <v>4097</v>
      </c>
      <c r="J140" s="64">
        <f t="shared" si="30"/>
        <v>8918</v>
      </c>
      <c r="K140" s="64">
        <f t="shared" si="30"/>
        <v>2230</v>
      </c>
      <c r="L140" s="64">
        <f t="shared" si="30"/>
        <v>4657</v>
      </c>
      <c r="M140" s="64">
        <f t="shared" si="30"/>
        <v>49440</v>
      </c>
      <c r="N140" s="64">
        <f t="shared" si="30"/>
        <v>0</v>
      </c>
      <c r="O140" s="64">
        <f t="shared" si="30"/>
        <v>0</v>
      </c>
      <c r="P140" s="64">
        <f t="shared" si="30"/>
        <v>0</v>
      </c>
      <c r="Q140" s="64">
        <f>SUM(Q123:Q139)</f>
        <v>32105</v>
      </c>
      <c r="R140" s="64">
        <f>SUM(R123:R139)</f>
        <v>0</v>
      </c>
      <c r="S140" s="54">
        <f>SUM(S123:S139)</f>
        <v>153588</v>
      </c>
    </row>
    <row r="141" spans="3:20" ht="15.75" customHeight="1" thickBot="1" x14ac:dyDescent="0.3"/>
    <row r="142" spans="3:20" ht="17.25" x14ac:dyDescent="0.25">
      <c r="C142" s="275">
        <v>202108</v>
      </c>
      <c r="D142" s="94" t="s">
        <v>151</v>
      </c>
      <c r="E142" s="94" t="s">
        <v>165</v>
      </c>
      <c r="F142" s="60">
        <f>3028+50+687</f>
        <v>3765</v>
      </c>
      <c r="G142" s="59"/>
      <c r="H142" s="59">
        <f>389+6145+3092+814</f>
        <v>10440</v>
      </c>
      <c r="I142" s="60">
        <v>800</v>
      </c>
      <c r="J142" s="59"/>
      <c r="K142" s="60"/>
      <c r="L142" s="60"/>
      <c r="M142" s="60"/>
      <c r="N142" s="60"/>
      <c r="O142" s="60"/>
      <c r="P142" s="60">
        <v>120</v>
      </c>
      <c r="Q142" s="60">
        <f>8500+3079+680</f>
        <v>12259</v>
      </c>
      <c r="R142" s="60"/>
      <c r="S142" s="44">
        <f t="shared" ref="S142:S158" si="31">SUM(F142:R142)</f>
        <v>27384</v>
      </c>
      <c r="T142" s="277">
        <f>SUM(S142:S148)</f>
        <v>103529</v>
      </c>
    </row>
    <row r="143" spans="3:20" ht="15" customHeight="1" x14ac:dyDescent="0.25">
      <c r="C143" s="275"/>
      <c r="D143" s="95" t="s">
        <v>151</v>
      </c>
      <c r="E143" s="95" t="s">
        <v>166</v>
      </c>
      <c r="F143" s="79">
        <f>120+56+70+296</f>
        <v>542</v>
      </c>
      <c r="G143" s="78"/>
      <c r="H143" s="78">
        <f>30+53+30+53+20+20</f>
        <v>206</v>
      </c>
      <c r="I143" s="79">
        <f>1431+400+196+195</f>
        <v>2222</v>
      </c>
      <c r="J143" s="78"/>
      <c r="K143" s="79"/>
      <c r="L143" s="79"/>
      <c r="M143" s="79">
        <f>101</f>
        <v>101</v>
      </c>
      <c r="N143" s="79"/>
      <c r="O143" s="79"/>
      <c r="P143" s="79"/>
      <c r="Q143" s="79"/>
      <c r="R143" s="79"/>
      <c r="S143" s="80">
        <f t="shared" si="31"/>
        <v>3071</v>
      </c>
      <c r="T143" s="278"/>
    </row>
    <row r="144" spans="3:20" ht="15" customHeight="1" x14ac:dyDescent="0.25">
      <c r="C144" s="275"/>
      <c r="D144" s="95" t="s">
        <v>151</v>
      </c>
      <c r="E144" s="95" t="s">
        <v>167</v>
      </c>
      <c r="F144" s="79">
        <f>235+107+690+250+60+110+120+690+80+70+40+150+559+140</f>
        <v>3301</v>
      </c>
      <c r="G144" s="78"/>
      <c r="H144" s="78">
        <f>245+28+283+480+12+254+35+30+420+74+275+600+95+1387</f>
        <v>4218</v>
      </c>
      <c r="I144" s="79">
        <f>37+135+30+539+425+325+140+499+200+38+84+126+35+70+24+21+397</f>
        <v>3125</v>
      </c>
      <c r="J144" s="78"/>
      <c r="K144" s="79"/>
      <c r="L144" s="79">
        <f>790+6300</f>
        <v>7090</v>
      </c>
      <c r="M144" s="79"/>
      <c r="N144" s="79"/>
      <c r="O144" s="79"/>
      <c r="P144" s="79">
        <f>345</f>
        <v>345</v>
      </c>
      <c r="Q144" s="79">
        <f>10000+2000+2000+2000+2000</f>
        <v>18000</v>
      </c>
      <c r="R144" s="79"/>
      <c r="S144" s="80">
        <f t="shared" si="31"/>
        <v>36079</v>
      </c>
      <c r="T144" s="278"/>
    </row>
    <row r="145" spans="3:20" ht="15" customHeight="1" x14ac:dyDescent="0.25">
      <c r="C145" s="275"/>
      <c r="D145" s="95" t="s">
        <v>151</v>
      </c>
      <c r="E145" s="95" t="s">
        <v>174</v>
      </c>
      <c r="F145" s="79"/>
      <c r="G145" s="78"/>
      <c r="H145" s="78"/>
      <c r="I145" s="79"/>
      <c r="J145" s="78"/>
      <c r="K145" s="79"/>
      <c r="L145" s="79"/>
      <c r="M145" s="79"/>
      <c r="N145" s="79"/>
      <c r="O145" s="79"/>
      <c r="P145" s="79"/>
      <c r="Q145" s="79"/>
      <c r="R145" s="79"/>
      <c r="S145" s="80">
        <f t="shared" si="31"/>
        <v>0</v>
      </c>
      <c r="T145" s="278"/>
    </row>
    <row r="146" spans="3:20" ht="15" customHeight="1" x14ac:dyDescent="0.25">
      <c r="C146" s="275"/>
      <c r="D146" s="96" t="s">
        <v>151</v>
      </c>
      <c r="E146" s="96" t="s">
        <v>175</v>
      </c>
      <c r="F146" s="79"/>
      <c r="G146" s="78"/>
      <c r="H146" s="78"/>
      <c r="I146" s="79"/>
      <c r="J146" s="78"/>
      <c r="K146" s="79"/>
      <c r="L146" s="79"/>
      <c r="M146" s="79"/>
      <c r="N146" s="79"/>
      <c r="O146" s="79"/>
      <c r="P146" s="79"/>
      <c r="Q146" s="79"/>
      <c r="R146" s="79"/>
      <c r="S146" s="80">
        <f t="shared" si="31"/>
        <v>0</v>
      </c>
      <c r="T146" s="278"/>
    </row>
    <row r="147" spans="3:20" ht="15" customHeight="1" x14ac:dyDescent="0.25">
      <c r="C147" s="275"/>
      <c r="D147" s="95" t="s">
        <v>151</v>
      </c>
      <c r="E147" s="95" t="s">
        <v>168</v>
      </c>
      <c r="F147" s="79"/>
      <c r="G147" s="78"/>
      <c r="H147" s="78"/>
      <c r="I147" s="79"/>
      <c r="J147" s="78"/>
      <c r="K147" s="79"/>
      <c r="L147" s="79"/>
      <c r="M147" s="79"/>
      <c r="N147" s="79"/>
      <c r="O147" s="79"/>
      <c r="P147" s="79"/>
      <c r="Q147" s="79">
        <f>1300</f>
        <v>1300</v>
      </c>
      <c r="R147" s="79"/>
      <c r="S147" s="80">
        <f t="shared" si="31"/>
        <v>1300</v>
      </c>
      <c r="T147" s="278"/>
    </row>
    <row r="148" spans="3:20" ht="15" customHeight="1" x14ac:dyDescent="0.25">
      <c r="C148" s="275"/>
      <c r="D148" s="95" t="s">
        <v>176</v>
      </c>
      <c r="E148" s="95" t="s">
        <v>177</v>
      </c>
      <c r="F148" s="78">
        <f>30095+5600</f>
        <v>35695</v>
      </c>
      <c r="G148" s="78"/>
      <c r="H148" s="78"/>
      <c r="I148" s="79"/>
      <c r="J148" s="78"/>
      <c r="K148" s="79"/>
      <c r="L148" s="79"/>
      <c r="M148" s="79"/>
      <c r="N148" s="79"/>
      <c r="O148" s="79"/>
      <c r="P148" s="79"/>
      <c r="Q148" s="79"/>
      <c r="R148" s="79"/>
      <c r="S148" s="80">
        <f t="shared" si="31"/>
        <v>35695</v>
      </c>
      <c r="T148" s="279"/>
    </row>
    <row r="149" spans="3:20" ht="15" customHeight="1" x14ac:dyDescent="0.25">
      <c r="C149" s="275"/>
      <c r="D149" s="97" t="s">
        <v>152</v>
      </c>
      <c r="E149" s="97" t="s">
        <v>144</v>
      </c>
      <c r="F149" s="109">
        <v>7000</v>
      </c>
      <c r="G149" s="46"/>
      <c r="H149" s="46"/>
      <c r="I149" s="89">
        <v>4500</v>
      </c>
      <c r="J149" s="46"/>
      <c r="K149" s="46"/>
      <c r="L149" s="46"/>
      <c r="M149" s="46"/>
      <c r="N149" s="46"/>
      <c r="O149" s="46"/>
      <c r="P149" s="46"/>
      <c r="Q149" s="46"/>
      <c r="R149" s="46"/>
      <c r="S149" s="83">
        <f t="shared" si="31"/>
        <v>11500</v>
      </c>
      <c r="T149" s="280">
        <f>SUM(S149:S153)</f>
        <v>30298</v>
      </c>
    </row>
    <row r="150" spans="3:20" ht="15" customHeight="1" x14ac:dyDescent="0.25">
      <c r="C150" s="275"/>
      <c r="D150" s="97" t="s">
        <v>152</v>
      </c>
      <c r="E150" s="97" t="s">
        <v>145</v>
      </c>
      <c r="F150" s="109">
        <v>9000</v>
      </c>
      <c r="G150" s="46"/>
      <c r="H150" s="46"/>
      <c r="I150" s="89">
        <v>3500</v>
      </c>
      <c r="J150" s="46"/>
      <c r="K150" s="46"/>
      <c r="L150" s="46"/>
      <c r="M150" s="46"/>
      <c r="N150" s="46"/>
      <c r="O150" s="46"/>
      <c r="P150" s="46"/>
      <c r="Q150" s="46"/>
      <c r="R150" s="46"/>
      <c r="S150" s="83">
        <f t="shared" si="31"/>
        <v>12500</v>
      </c>
      <c r="T150" s="281"/>
    </row>
    <row r="151" spans="3:20" ht="15" customHeight="1" x14ac:dyDescent="0.25">
      <c r="C151" s="275"/>
      <c r="D151" s="97" t="s">
        <v>152</v>
      </c>
      <c r="E151" s="97" t="s">
        <v>146</v>
      </c>
      <c r="F151" s="109">
        <f>4000+99+50</f>
        <v>4149</v>
      </c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83">
        <f t="shared" si="31"/>
        <v>4149</v>
      </c>
      <c r="T151" s="281"/>
    </row>
    <row r="152" spans="3:20" ht="15" customHeight="1" x14ac:dyDescent="0.25">
      <c r="C152" s="275"/>
      <c r="D152" s="97" t="s">
        <v>152</v>
      </c>
      <c r="E152" s="97" t="s">
        <v>147</v>
      </c>
      <c r="F152" s="109">
        <f>2000+99+50</f>
        <v>2149</v>
      </c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83">
        <f t="shared" si="31"/>
        <v>2149</v>
      </c>
      <c r="T152" s="281"/>
    </row>
    <row r="153" spans="3:20" ht="15" customHeight="1" x14ac:dyDescent="0.25">
      <c r="C153" s="275"/>
      <c r="D153" s="97" t="s">
        <v>152</v>
      </c>
      <c r="E153" s="97" t="s">
        <v>168</v>
      </c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83">
        <f t="shared" si="31"/>
        <v>0</v>
      </c>
      <c r="T153" s="281"/>
    </row>
    <row r="154" spans="3:20" ht="15" customHeight="1" x14ac:dyDescent="0.25">
      <c r="C154" s="275"/>
      <c r="D154" s="98" t="s">
        <v>153</v>
      </c>
      <c r="E154" s="98" t="s">
        <v>170</v>
      </c>
      <c r="F154" s="81">
        <f>280+250+140+80+130+200+50+100+35+30+283+50+96+78+90+802</f>
        <v>2694</v>
      </c>
      <c r="G154" s="81"/>
      <c r="H154" s="81">
        <f>500+2397+85</f>
        <v>2982</v>
      </c>
      <c r="I154" s="81"/>
      <c r="J154" s="81"/>
      <c r="K154" s="81"/>
      <c r="L154" s="81"/>
      <c r="M154" s="81">
        <f>4712+950+375+1452+2208+1000+455+1186+310</f>
        <v>12648</v>
      </c>
      <c r="N154" s="81"/>
      <c r="O154" s="81"/>
      <c r="P154" s="81"/>
      <c r="Q154" s="81"/>
      <c r="R154" s="81"/>
      <c r="S154" s="81">
        <f t="shared" si="31"/>
        <v>18324</v>
      </c>
      <c r="T154" s="282">
        <f>SUM(S154:S158)</f>
        <v>59200</v>
      </c>
    </row>
    <row r="155" spans="3:20" ht="15" customHeight="1" x14ac:dyDescent="0.25">
      <c r="C155" s="275"/>
      <c r="D155" s="99" t="s">
        <v>153</v>
      </c>
      <c r="E155" s="99" t="s">
        <v>171</v>
      </c>
      <c r="F155" s="82">
        <f>990+688</f>
        <v>1678</v>
      </c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>
        <f t="shared" si="31"/>
        <v>1678</v>
      </c>
      <c r="T155" s="283"/>
    </row>
    <row r="156" spans="3:20" ht="15" customHeight="1" x14ac:dyDescent="0.25">
      <c r="C156" s="275"/>
      <c r="D156" s="99" t="s">
        <v>153</v>
      </c>
      <c r="E156" s="99" t="s">
        <v>172</v>
      </c>
      <c r="F156" s="82">
        <v>27778</v>
      </c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>
        <f t="shared" si="31"/>
        <v>27778</v>
      </c>
      <c r="T156" s="283"/>
    </row>
    <row r="157" spans="3:20" s="41" customFormat="1" ht="15" customHeight="1" x14ac:dyDescent="0.25">
      <c r="C157" s="276"/>
      <c r="D157" s="99" t="s">
        <v>153</v>
      </c>
      <c r="E157" s="99" t="s">
        <v>173</v>
      </c>
      <c r="F157" s="82"/>
      <c r="G157" s="82"/>
      <c r="H157" s="82"/>
      <c r="I157" s="82"/>
      <c r="J157" s="82"/>
      <c r="K157" s="82"/>
      <c r="L157" s="82"/>
      <c r="M157" s="82">
        <v>1020</v>
      </c>
      <c r="N157" s="82"/>
      <c r="O157" s="82"/>
      <c r="P157" s="82"/>
      <c r="Q157" s="82"/>
      <c r="R157" s="82"/>
      <c r="S157" s="82">
        <f t="shared" si="31"/>
        <v>1020</v>
      </c>
      <c r="T157" s="283"/>
    </row>
    <row r="158" spans="3:20" ht="15.75" customHeight="1" thickBot="1" x14ac:dyDescent="0.3">
      <c r="C158" s="276"/>
      <c r="D158" s="100" t="s">
        <v>153</v>
      </c>
      <c r="E158" s="100" t="s">
        <v>168</v>
      </c>
      <c r="F158" s="48">
        <f>2300+5100</f>
        <v>7400</v>
      </c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>
        <v>3000</v>
      </c>
      <c r="R158" s="48"/>
      <c r="S158" s="48">
        <f t="shared" si="31"/>
        <v>10400</v>
      </c>
      <c r="T158" s="283"/>
    </row>
    <row r="159" spans="3:20" ht="15" customHeight="1" x14ac:dyDescent="0.25">
      <c r="D159" s="101" t="s">
        <v>131</v>
      </c>
      <c r="E159" s="101" t="s">
        <v>131</v>
      </c>
      <c r="F159" s="64">
        <f>SUM(F142:F158)</f>
        <v>105151</v>
      </c>
      <c r="G159" s="64">
        <f>SUM(G142:G158)</f>
        <v>0</v>
      </c>
      <c r="H159" s="64">
        <f>SUM(H142:H158)</f>
        <v>17846</v>
      </c>
      <c r="I159" s="64">
        <f t="shared" ref="I159:P159" si="32">SUM(I142:I158)</f>
        <v>14147</v>
      </c>
      <c r="J159" s="64">
        <f t="shared" si="32"/>
        <v>0</v>
      </c>
      <c r="K159" s="64">
        <f t="shared" si="32"/>
        <v>0</v>
      </c>
      <c r="L159" s="64">
        <f t="shared" si="32"/>
        <v>7090</v>
      </c>
      <c r="M159" s="64">
        <f t="shared" si="32"/>
        <v>13769</v>
      </c>
      <c r="N159" s="64">
        <f t="shared" si="32"/>
        <v>0</v>
      </c>
      <c r="O159" s="64">
        <f t="shared" si="32"/>
        <v>0</v>
      </c>
      <c r="P159" s="64">
        <f t="shared" si="32"/>
        <v>465</v>
      </c>
      <c r="Q159" s="64">
        <f>SUM(Q142:Q158)</f>
        <v>34559</v>
      </c>
      <c r="R159" s="64">
        <f>SUM(R142:R158)</f>
        <v>0</v>
      </c>
      <c r="S159" s="54">
        <f>SUM(S142:S158)</f>
        <v>193027</v>
      </c>
    </row>
    <row r="160" spans="3:20" ht="15.75" customHeight="1" thickBot="1" x14ac:dyDescent="0.3"/>
    <row r="161" spans="3:20" ht="17.25" x14ac:dyDescent="0.25">
      <c r="C161" s="275">
        <v>202109</v>
      </c>
      <c r="D161" s="94" t="s">
        <v>151</v>
      </c>
      <c r="E161" s="94" t="s">
        <v>165</v>
      </c>
      <c r="F161" s="60">
        <f>3028+488</f>
        <v>3516</v>
      </c>
      <c r="G161" s="59"/>
      <c r="H161" s="59">
        <f>1662</f>
        <v>1662</v>
      </c>
      <c r="I161" s="60">
        <v>799</v>
      </c>
      <c r="J161" s="59"/>
      <c r="K161" s="60"/>
      <c r="L161" s="60"/>
      <c r="M161" s="60"/>
      <c r="N161" s="60"/>
      <c r="O161" s="60"/>
      <c r="P161" s="60"/>
      <c r="Q161" s="60">
        <f>6000+2500+3079+1500+534+500+1723</f>
        <v>15836</v>
      </c>
      <c r="R161" s="60"/>
      <c r="S161" s="44">
        <f t="shared" ref="S161:S177" si="33">SUM(F161:R161)</f>
        <v>21813</v>
      </c>
      <c r="T161" s="277">
        <f>SUM(S161:S167)</f>
        <v>121417</v>
      </c>
    </row>
    <row r="162" spans="3:20" ht="15" customHeight="1" x14ac:dyDescent="0.25">
      <c r="C162" s="275"/>
      <c r="D162" s="95" t="s">
        <v>151</v>
      </c>
      <c r="E162" s="95" t="s">
        <v>166</v>
      </c>
      <c r="F162" s="79">
        <f>20</f>
        <v>20</v>
      </c>
      <c r="G162" s="78"/>
      <c r="H162" s="78">
        <f>99+1375+112+25+8</f>
        <v>1619</v>
      </c>
      <c r="I162" s="79">
        <f>90+40</f>
        <v>130</v>
      </c>
      <c r="J162" s="78"/>
      <c r="K162" s="79"/>
      <c r="L162" s="79"/>
      <c r="M162" s="79"/>
      <c r="N162" s="79"/>
      <c r="O162" s="79"/>
      <c r="P162" s="79"/>
      <c r="Q162" s="79"/>
      <c r="R162" s="79"/>
      <c r="S162" s="80">
        <f t="shared" si="33"/>
        <v>1769</v>
      </c>
      <c r="T162" s="278"/>
    </row>
    <row r="163" spans="3:20" ht="15" customHeight="1" x14ac:dyDescent="0.25">
      <c r="C163" s="275"/>
      <c r="D163" s="95" t="s">
        <v>151</v>
      </c>
      <c r="E163" s="95" t="s">
        <v>167</v>
      </c>
      <c r="F163" s="79">
        <f>60+100+315+110+105+680+60+80+1470+300+210+80+50+50+270+50+120+330+200+200+45+390+40+40+470+350+1033+254+129+99+165+140+99+105+185+50</f>
        <v>8434</v>
      </c>
      <c r="G163" s="78"/>
      <c r="H163" s="78">
        <f>500+53+296+100+130+1061+500+56+123+69+2+87+238+135+45+45+10</f>
        <v>3450</v>
      </c>
      <c r="I163" s="79">
        <f>915+30+78+65+30+35+75+25+81+328+1029+80+270+220+0+80+272+30+149+6</f>
        <v>3798</v>
      </c>
      <c r="J163" s="78"/>
      <c r="K163" s="79"/>
      <c r="L163" s="79"/>
      <c r="M163" s="79"/>
      <c r="N163" s="79"/>
      <c r="O163" s="79"/>
      <c r="P163" s="79"/>
      <c r="Q163" s="79">
        <f>10000+2000+2000+2000+2000</f>
        <v>18000</v>
      </c>
      <c r="R163" s="79"/>
      <c r="S163" s="80">
        <f t="shared" si="33"/>
        <v>33682</v>
      </c>
      <c r="T163" s="278"/>
    </row>
    <row r="164" spans="3:20" ht="15" customHeight="1" x14ac:dyDescent="0.25">
      <c r="C164" s="275"/>
      <c r="D164" s="95" t="s">
        <v>151</v>
      </c>
      <c r="E164" s="95" t="s">
        <v>174</v>
      </c>
      <c r="F164" s="79"/>
      <c r="G164" s="78"/>
      <c r="H164" s="78"/>
      <c r="I164" s="79"/>
      <c r="J164" s="78"/>
      <c r="K164" s="79"/>
      <c r="L164" s="79"/>
      <c r="M164" s="79"/>
      <c r="N164" s="79"/>
      <c r="O164" s="79"/>
      <c r="P164" s="79"/>
      <c r="Q164" s="79"/>
      <c r="R164" s="79"/>
      <c r="S164" s="80">
        <f t="shared" si="33"/>
        <v>0</v>
      </c>
      <c r="T164" s="278"/>
    </row>
    <row r="165" spans="3:20" ht="15" customHeight="1" x14ac:dyDescent="0.25">
      <c r="C165" s="275"/>
      <c r="D165" s="96" t="s">
        <v>151</v>
      </c>
      <c r="E165" s="96" t="s">
        <v>175</v>
      </c>
      <c r="F165" s="79"/>
      <c r="G165" s="78"/>
      <c r="H165" s="78"/>
      <c r="I165" s="79"/>
      <c r="J165" s="78">
        <v>2500</v>
      </c>
      <c r="K165" s="79"/>
      <c r="L165" s="79"/>
      <c r="M165" s="79"/>
      <c r="N165" s="79"/>
      <c r="O165" s="79"/>
      <c r="P165" s="79"/>
      <c r="Q165" s="79"/>
      <c r="R165" s="79"/>
      <c r="S165" s="80">
        <f t="shared" si="33"/>
        <v>2500</v>
      </c>
      <c r="T165" s="278"/>
    </row>
    <row r="166" spans="3:20" ht="15" customHeight="1" x14ac:dyDescent="0.25">
      <c r="C166" s="275"/>
      <c r="D166" s="95" t="s">
        <v>151</v>
      </c>
      <c r="E166" s="95" t="s">
        <v>168</v>
      </c>
      <c r="F166" s="79">
        <v>200</v>
      </c>
      <c r="G166" s="78"/>
      <c r="H166" s="78"/>
      <c r="I166" s="79">
        <f>990+568</f>
        <v>1558</v>
      </c>
      <c r="J166" s="78"/>
      <c r="K166" s="79"/>
      <c r="L166" s="79"/>
      <c r="M166" s="79"/>
      <c r="N166" s="79"/>
      <c r="O166" s="79"/>
      <c r="P166" s="79"/>
      <c r="Q166" s="79">
        <f>800+300</f>
        <v>1100</v>
      </c>
      <c r="R166" s="79"/>
      <c r="S166" s="80">
        <f t="shared" si="33"/>
        <v>2858</v>
      </c>
      <c r="T166" s="278"/>
    </row>
    <row r="167" spans="3:20" ht="15" customHeight="1" x14ac:dyDescent="0.25">
      <c r="C167" s="275"/>
      <c r="D167" s="95" t="s">
        <v>176</v>
      </c>
      <c r="E167" s="95" t="s">
        <v>177</v>
      </c>
      <c r="F167" s="78">
        <f>35000+17000+700+1900</f>
        <v>54600</v>
      </c>
      <c r="G167" s="78"/>
      <c r="H167" s="78">
        <f>1810+1246+1139</f>
        <v>4195</v>
      </c>
      <c r="I167" s="79"/>
      <c r="J167" s="78"/>
      <c r="K167" s="79"/>
      <c r="L167" s="79"/>
      <c r="M167" s="79"/>
      <c r="N167" s="79"/>
      <c r="O167" s="79"/>
      <c r="P167" s="79"/>
      <c r="Q167" s="79"/>
      <c r="R167" s="79"/>
      <c r="S167" s="80">
        <f t="shared" si="33"/>
        <v>58795</v>
      </c>
      <c r="T167" s="279"/>
    </row>
    <row r="168" spans="3:20" ht="15" customHeight="1" x14ac:dyDescent="0.25">
      <c r="C168" s="275"/>
      <c r="D168" s="97" t="s">
        <v>152</v>
      </c>
      <c r="E168" s="97" t="s">
        <v>144</v>
      </c>
      <c r="F168" s="89">
        <f>50+390+190</f>
        <v>630</v>
      </c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83">
        <f t="shared" si="33"/>
        <v>630</v>
      </c>
      <c r="T168" s="280">
        <f>SUM(S168:S172)</f>
        <v>3311</v>
      </c>
    </row>
    <row r="169" spans="3:20" ht="15" customHeight="1" x14ac:dyDescent="0.25">
      <c r="C169" s="275"/>
      <c r="D169" s="97" t="s">
        <v>152</v>
      </c>
      <c r="E169" s="97" t="s">
        <v>145</v>
      </c>
      <c r="F169" s="89">
        <f>50+580+590+190</f>
        <v>1410</v>
      </c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83">
        <f t="shared" si="33"/>
        <v>1410</v>
      </c>
      <c r="T169" s="281"/>
    </row>
    <row r="170" spans="3:20" ht="15" customHeight="1" x14ac:dyDescent="0.25">
      <c r="C170" s="275"/>
      <c r="D170" s="97" t="s">
        <v>152</v>
      </c>
      <c r="E170" s="97" t="s">
        <v>146</v>
      </c>
      <c r="F170" s="89">
        <f>50+30+90+50+781</f>
        <v>1001</v>
      </c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83">
        <f t="shared" si="33"/>
        <v>1001</v>
      </c>
      <c r="T170" s="281"/>
    </row>
    <row r="171" spans="3:20" ht="15" customHeight="1" x14ac:dyDescent="0.25">
      <c r="C171" s="275"/>
      <c r="D171" s="97" t="s">
        <v>152</v>
      </c>
      <c r="E171" s="97" t="s">
        <v>147</v>
      </c>
      <c r="F171" s="89">
        <f>50+30+90+50+50</f>
        <v>270</v>
      </c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83">
        <f t="shared" si="33"/>
        <v>270</v>
      </c>
      <c r="T171" s="281"/>
    </row>
    <row r="172" spans="3:20" ht="15" customHeight="1" x14ac:dyDescent="0.25">
      <c r="C172" s="275"/>
      <c r="D172" s="97" t="s">
        <v>152</v>
      </c>
      <c r="E172" s="97" t="s">
        <v>168</v>
      </c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83">
        <f t="shared" si="33"/>
        <v>0</v>
      </c>
      <c r="T172" s="281"/>
    </row>
    <row r="173" spans="3:20" ht="15" customHeight="1" x14ac:dyDescent="0.25">
      <c r="C173" s="275"/>
      <c r="D173" s="98" t="s">
        <v>153</v>
      </c>
      <c r="E173" s="98" t="s">
        <v>170</v>
      </c>
      <c r="F173" s="81">
        <v>500</v>
      </c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>
        <f t="shared" si="33"/>
        <v>500</v>
      </c>
      <c r="T173" s="282">
        <f>SUM(S173:S177)</f>
        <v>28278</v>
      </c>
    </row>
    <row r="174" spans="3:20" ht="15" customHeight="1" x14ac:dyDescent="0.25">
      <c r="C174" s="275"/>
      <c r="D174" s="99" t="s">
        <v>153</v>
      </c>
      <c r="E174" s="99" t="s">
        <v>171</v>
      </c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>
        <f t="shared" si="33"/>
        <v>0</v>
      </c>
      <c r="T174" s="283"/>
    </row>
    <row r="175" spans="3:20" ht="15" customHeight="1" x14ac:dyDescent="0.25">
      <c r="C175" s="275"/>
      <c r="D175" s="99" t="s">
        <v>153</v>
      </c>
      <c r="E175" s="99" t="s">
        <v>172</v>
      </c>
      <c r="F175" s="82">
        <v>27778</v>
      </c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>
        <f t="shared" si="33"/>
        <v>27778</v>
      </c>
      <c r="T175" s="283"/>
    </row>
    <row r="176" spans="3:20" s="41" customFormat="1" ht="15" customHeight="1" x14ac:dyDescent="0.25">
      <c r="C176" s="276"/>
      <c r="D176" s="99" t="s">
        <v>153</v>
      </c>
      <c r="E176" s="99" t="s">
        <v>173</v>
      </c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>
        <f t="shared" si="33"/>
        <v>0</v>
      </c>
      <c r="T176" s="283"/>
    </row>
    <row r="177" spans="3:20" ht="15.75" customHeight="1" thickBot="1" x14ac:dyDescent="0.3">
      <c r="C177" s="276"/>
      <c r="D177" s="100" t="s">
        <v>153</v>
      </c>
      <c r="E177" s="100" t="s">
        <v>168</v>
      </c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>
        <f t="shared" si="33"/>
        <v>0</v>
      </c>
      <c r="T177" s="283"/>
    </row>
    <row r="178" spans="3:20" ht="15" customHeight="1" x14ac:dyDescent="0.25">
      <c r="D178" s="101" t="s">
        <v>131</v>
      </c>
      <c r="E178" s="101" t="s">
        <v>131</v>
      </c>
      <c r="F178" s="64">
        <f>SUM(F161:F177)</f>
        <v>98359</v>
      </c>
      <c r="G178" s="64">
        <f>SUM(G161:G177)</f>
        <v>0</v>
      </c>
      <c r="H178" s="64">
        <f>SUM(H161:H177)</f>
        <v>10926</v>
      </c>
      <c r="I178" s="64">
        <f t="shared" ref="I178:P178" si="34">SUM(I161:I177)</f>
        <v>6285</v>
      </c>
      <c r="J178" s="64">
        <f t="shared" si="34"/>
        <v>2500</v>
      </c>
      <c r="K178" s="64">
        <f t="shared" si="34"/>
        <v>0</v>
      </c>
      <c r="L178" s="64">
        <f t="shared" si="34"/>
        <v>0</v>
      </c>
      <c r="M178" s="64">
        <f t="shared" si="34"/>
        <v>0</v>
      </c>
      <c r="N178" s="64">
        <f t="shared" si="34"/>
        <v>0</v>
      </c>
      <c r="O178" s="64">
        <f t="shared" si="34"/>
        <v>0</v>
      </c>
      <c r="P178" s="64">
        <f t="shared" si="34"/>
        <v>0</v>
      </c>
      <c r="Q178" s="64">
        <f>SUM(Q161:Q177)</f>
        <v>34936</v>
      </c>
      <c r="R178" s="64">
        <f>SUM(R161:R177)</f>
        <v>0</v>
      </c>
      <c r="S178" s="54">
        <f>SUM(S161:S177)</f>
        <v>153006</v>
      </c>
    </row>
    <row r="179" spans="3:20" ht="15.75" customHeight="1" thickBot="1" x14ac:dyDescent="0.3"/>
    <row r="180" spans="3:20" ht="17.25" x14ac:dyDescent="0.25">
      <c r="C180" s="275">
        <v>202110</v>
      </c>
      <c r="D180" s="94" t="s">
        <v>151</v>
      </c>
      <c r="E180" s="94" t="s">
        <v>165</v>
      </c>
      <c r="F180" s="60">
        <f>3028+488+70</f>
        <v>3586</v>
      </c>
      <c r="G180" s="59"/>
      <c r="H180" s="59">
        <f>0+2161</f>
        <v>2161</v>
      </c>
      <c r="I180" s="60">
        <v>801</v>
      </c>
      <c r="J180" s="59"/>
      <c r="K180" s="60"/>
      <c r="L180" s="60"/>
      <c r="M180" s="60"/>
      <c r="N180" s="60"/>
      <c r="O180" s="60"/>
      <c r="P180" s="60"/>
      <c r="Q180" s="60">
        <f>8500+3079+447</f>
        <v>12026</v>
      </c>
      <c r="R180" s="60"/>
      <c r="S180" s="44">
        <f t="shared" ref="S180:S196" si="35">SUM(F180:R180)</f>
        <v>18574</v>
      </c>
      <c r="T180" s="277">
        <f>SUM(S180:S186)</f>
        <v>76703</v>
      </c>
    </row>
    <row r="181" spans="3:20" ht="15" customHeight="1" x14ac:dyDescent="0.25">
      <c r="C181" s="275"/>
      <c r="D181" s="95" t="s">
        <v>151</v>
      </c>
      <c r="E181" s="95" t="s">
        <v>166</v>
      </c>
      <c r="F181" s="79">
        <f>50+30+150</f>
        <v>230</v>
      </c>
      <c r="G181" s="78"/>
      <c r="H181" s="78">
        <f>120+95+111+15+10+144</f>
        <v>495</v>
      </c>
      <c r="I181" s="79">
        <f>80+90+1324+1136+583</f>
        <v>3213</v>
      </c>
      <c r="J181" s="78"/>
      <c r="K181" s="79"/>
      <c r="L181" s="79"/>
      <c r="M181" s="79"/>
      <c r="N181" s="79"/>
      <c r="O181" s="79"/>
      <c r="P181" s="79"/>
      <c r="Q181" s="79"/>
      <c r="R181" s="79"/>
      <c r="S181" s="80">
        <f t="shared" si="35"/>
        <v>3938</v>
      </c>
      <c r="T181" s="278"/>
    </row>
    <row r="182" spans="3:20" ht="15" customHeight="1" x14ac:dyDescent="0.25">
      <c r="C182" s="275"/>
      <c r="D182" s="95" t="s">
        <v>151</v>
      </c>
      <c r="E182" s="95" t="s">
        <v>167</v>
      </c>
      <c r="F182" s="79">
        <f>220+30+60+45+380+1600+30+1176+129+800+225+99+20+1170+200+50+100+1208+45+20+150+150+99+164</f>
        <v>8170</v>
      </c>
      <c r="G182" s="78"/>
      <c r="H182" s="78">
        <f>80+24+21+899+25+10+245+627+30+171+329+195+40+65+55+274+50+200+143+138+55</f>
        <v>3676</v>
      </c>
      <c r="I182" s="79">
        <f>30+120+149+75+560+56+200+35+28+200+45</f>
        <v>1498</v>
      </c>
      <c r="J182" s="78">
        <v>640</v>
      </c>
      <c r="K182" s="79"/>
      <c r="L182" s="79"/>
      <c r="M182" s="79"/>
      <c r="N182" s="79"/>
      <c r="O182" s="79"/>
      <c r="P182" s="79"/>
      <c r="Q182" s="79">
        <f>10000+2000+2000+2000</f>
        <v>16000</v>
      </c>
      <c r="R182" s="79"/>
      <c r="S182" s="80">
        <f t="shared" si="35"/>
        <v>29984</v>
      </c>
      <c r="T182" s="278"/>
    </row>
    <row r="183" spans="3:20" ht="15" customHeight="1" x14ac:dyDescent="0.25">
      <c r="C183" s="275"/>
      <c r="D183" s="95" t="s">
        <v>151</v>
      </c>
      <c r="E183" s="95" t="s">
        <v>174</v>
      </c>
      <c r="F183" s="79"/>
      <c r="G183" s="78"/>
      <c r="H183" s="78"/>
      <c r="I183" s="79"/>
      <c r="J183" s="78"/>
      <c r="K183" s="79"/>
      <c r="L183" s="79"/>
      <c r="M183" s="79"/>
      <c r="N183" s="79"/>
      <c r="O183" s="79"/>
      <c r="P183" s="79"/>
      <c r="Q183" s="79"/>
      <c r="R183" s="79"/>
      <c r="S183" s="80">
        <f t="shared" si="35"/>
        <v>0</v>
      </c>
      <c r="T183" s="278"/>
    </row>
    <row r="184" spans="3:20" ht="15" customHeight="1" x14ac:dyDescent="0.25">
      <c r="C184" s="275"/>
      <c r="D184" s="96" t="s">
        <v>151</v>
      </c>
      <c r="E184" s="96" t="s">
        <v>175</v>
      </c>
      <c r="F184" s="79"/>
      <c r="G184" s="78"/>
      <c r="H184" s="78"/>
      <c r="I184" s="79"/>
      <c r="J184" s="78"/>
      <c r="K184" s="79"/>
      <c r="L184" s="79"/>
      <c r="M184" s="79"/>
      <c r="N184" s="79"/>
      <c r="O184" s="79"/>
      <c r="P184" s="79"/>
      <c r="Q184" s="79"/>
      <c r="R184" s="79"/>
      <c r="S184" s="80">
        <f t="shared" si="35"/>
        <v>0</v>
      </c>
      <c r="T184" s="278"/>
    </row>
    <row r="185" spans="3:20" ht="15" customHeight="1" x14ac:dyDescent="0.25">
      <c r="C185" s="275"/>
      <c r="D185" s="95" t="s">
        <v>151</v>
      </c>
      <c r="E185" s="95" t="s">
        <v>168</v>
      </c>
      <c r="F185" s="79"/>
      <c r="G185" s="78"/>
      <c r="H185" s="78"/>
      <c r="I185" s="79">
        <f>38+567+14</f>
        <v>619</v>
      </c>
      <c r="J185" s="78"/>
      <c r="K185" s="79"/>
      <c r="L185" s="79"/>
      <c r="M185" s="79"/>
      <c r="N185" s="79"/>
      <c r="O185" s="79"/>
      <c r="P185" s="79"/>
      <c r="Q185" s="79"/>
      <c r="R185" s="79"/>
      <c r="S185" s="80">
        <f t="shared" si="35"/>
        <v>619</v>
      </c>
      <c r="T185" s="278"/>
    </row>
    <row r="186" spans="3:20" ht="15" customHeight="1" x14ac:dyDescent="0.25">
      <c r="C186" s="275"/>
      <c r="D186" s="95" t="s">
        <v>176</v>
      </c>
      <c r="E186" s="95" t="s">
        <v>177</v>
      </c>
      <c r="F186" s="78">
        <f>11500+388+6500+5200</f>
        <v>23588</v>
      </c>
      <c r="G186" s="78"/>
      <c r="H186" s="78"/>
      <c r="I186" s="79"/>
      <c r="J186" s="78"/>
      <c r="K186" s="79"/>
      <c r="L186" s="79"/>
      <c r="M186" s="79"/>
      <c r="N186" s="79"/>
      <c r="O186" s="79"/>
      <c r="P186" s="79"/>
      <c r="Q186" s="79"/>
      <c r="R186" s="79"/>
      <c r="S186" s="80">
        <f t="shared" si="35"/>
        <v>23588</v>
      </c>
      <c r="T186" s="279"/>
    </row>
    <row r="187" spans="3:20" ht="15" customHeight="1" x14ac:dyDescent="0.25">
      <c r="C187" s="275"/>
      <c r="D187" s="97" t="s">
        <v>152</v>
      </c>
      <c r="E187" s="97" t="s">
        <v>144</v>
      </c>
      <c r="F187" s="89">
        <f>240</f>
        <v>240</v>
      </c>
      <c r="G187" s="46"/>
      <c r="H187" s="46"/>
      <c r="I187" s="46"/>
      <c r="J187" s="86">
        <f>1392+2400+1399</f>
        <v>5191</v>
      </c>
      <c r="K187" s="46"/>
      <c r="L187" s="46"/>
      <c r="M187" s="46"/>
      <c r="N187" s="46"/>
      <c r="O187" s="46"/>
      <c r="P187" s="46"/>
      <c r="Q187" s="46"/>
      <c r="R187" s="46"/>
      <c r="S187" s="83">
        <f t="shared" si="35"/>
        <v>5431</v>
      </c>
      <c r="T187" s="280">
        <f>SUM(S187:S191)</f>
        <v>20224</v>
      </c>
    </row>
    <row r="188" spans="3:20" ht="15" customHeight="1" x14ac:dyDescent="0.25">
      <c r="C188" s="275"/>
      <c r="D188" s="97" t="s">
        <v>152</v>
      </c>
      <c r="E188" s="97" t="s">
        <v>145</v>
      </c>
      <c r="F188" s="89"/>
      <c r="G188" s="46"/>
      <c r="H188" s="46"/>
      <c r="I188" s="89"/>
      <c r="J188" s="86">
        <f>9456+1840</f>
        <v>11296</v>
      </c>
      <c r="K188" s="46"/>
      <c r="L188" s="46"/>
      <c r="M188" s="46"/>
      <c r="N188" s="46"/>
      <c r="O188" s="46"/>
      <c r="P188" s="46"/>
      <c r="Q188" s="46"/>
      <c r="R188" s="46"/>
      <c r="S188" s="83">
        <f t="shared" si="35"/>
        <v>11296</v>
      </c>
      <c r="T188" s="281"/>
    </row>
    <row r="189" spans="3:20" ht="15" customHeight="1" x14ac:dyDescent="0.25">
      <c r="C189" s="275"/>
      <c r="D189" s="97" t="s">
        <v>152</v>
      </c>
      <c r="E189" s="97" t="s">
        <v>146</v>
      </c>
      <c r="F189" s="86">
        <f>1300+330</f>
        <v>1630</v>
      </c>
      <c r="G189" s="46"/>
      <c r="H189" s="89"/>
      <c r="I189" s="89">
        <f>237</f>
        <v>237</v>
      </c>
      <c r="J189" s="46"/>
      <c r="K189" s="46"/>
      <c r="L189" s="46"/>
      <c r="M189" s="46"/>
      <c r="N189" s="46"/>
      <c r="O189" s="46"/>
      <c r="P189" s="46"/>
      <c r="Q189" s="46"/>
      <c r="R189" s="46"/>
      <c r="S189" s="83">
        <f t="shared" si="35"/>
        <v>1867</v>
      </c>
      <c r="T189" s="281"/>
    </row>
    <row r="190" spans="3:20" ht="15" customHeight="1" x14ac:dyDescent="0.25">
      <c r="C190" s="275"/>
      <c r="D190" s="97" t="s">
        <v>152</v>
      </c>
      <c r="E190" s="97" t="s">
        <v>147</v>
      </c>
      <c r="F190" s="86">
        <f>1300+330</f>
        <v>1630</v>
      </c>
      <c r="G190" s="46"/>
      <c r="H190" s="46"/>
      <c r="I190" s="89"/>
      <c r="J190" s="46"/>
      <c r="K190" s="46"/>
      <c r="L190" s="46"/>
      <c r="M190" s="46"/>
      <c r="N190" s="46"/>
      <c r="O190" s="46"/>
      <c r="P190" s="46"/>
      <c r="Q190" s="46"/>
      <c r="R190" s="46"/>
      <c r="S190" s="83">
        <f t="shared" si="35"/>
        <v>1630</v>
      </c>
      <c r="T190" s="281"/>
    </row>
    <row r="191" spans="3:20" ht="15" customHeight="1" x14ac:dyDescent="0.25">
      <c r="C191" s="275"/>
      <c r="D191" s="97" t="s">
        <v>152</v>
      </c>
      <c r="E191" s="97" t="s">
        <v>168</v>
      </c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83">
        <f t="shared" si="35"/>
        <v>0</v>
      </c>
      <c r="T191" s="281"/>
    </row>
    <row r="192" spans="3:20" ht="15" customHeight="1" x14ac:dyDescent="0.25">
      <c r="C192" s="275"/>
      <c r="D192" s="98" t="s">
        <v>153</v>
      </c>
      <c r="E192" s="98" t="s">
        <v>170</v>
      </c>
      <c r="F192" s="81">
        <f>150+20</f>
        <v>170</v>
      </c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>
        <f t="shared" si="35"/>
        <v>170</v>
      </c>
      <c r="T192" s="282">
        <f>SUM(S192:S196)</f>
        <v>37728</v>
      </c>
    </row>
    <row r="193" spans="3:20" ht="15" customHeight="1" x14ac:dyDescent="0.25">
      <c r="C193" s="275"/>
      <c r="D193" s="99" t="s">
        <v>153</v>
      </c>
      <c r="E193" s="99" t="s">
        <v>171</v>
      </c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>
        <f t="shared" si="35"/>
        <v>0</v>
      </c>
      <c r="T193" s="283"/>
    </row>
    <row r="194" spans="3:20" ht="15" customHeight="1" x14ac:dyDescent="0.25">
      <c r="C194" s="275"/>
      <c r="D194" s="99" t="s">
        <v>153</v>
      </c>
      <c r="E194" s="99" t="s">
        <v>172</v>
      </c>
      <c r="F194" s="82">
        <v>27778</v>
      </c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>
        <f t="shared" si="35"/>
        <v>27778</v>
      </c>
      <c r="T194" s="283"/>
    </row>
    <row r="195" spans="3:20" s="41" customFormat="1" ht="15" customHeight="1" x14ac:dyDescent="0.25">
      <c r="C195" s="276"/>
      <c r="D195" s="99" t="s">
        <v>153</v>
      </c>
      <c r="E195" s="99" t="s">
        <v>173</v>
      </c>
      <c r="F195" s="82"/>
      <c r="G195" s="82">
        <f>1927*2</f>
        <v>3854</v>
      </c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>
        <f t="shared" si="35"/>
        <v>3854</v>
      </c>
      <c r="T195" s="283"/>
    </row>
    <row r="196" spans="3:20" ht="15.75" customHeight="1" thickBot="1" x14ac:dyDescent="0.3">
      <c r="C196" s="276"/>
      <c r="D196" s="100" t="s">
        <v>153</v>
      </c>
      <c r="E196" s="100" t="s">
        <v>168</v>
      </c>
      <c r="F196" s="48">
        <f>600+2000</f>
        <v>2600</v>
      </c>
      <c r="G196" s="48"/>
      <c r="H196" s="48"/>
      <c r="I196" s="48">
        <f>950</f>
        <v>950</v>
      </c>
      <c r="J196" s="48">
        <f>2376</f>
        <v>2376</v>
      </c>
      <c r="K196" s="48"/>
      <c r="L196" s="48"/>
      <c r="M196" s="48"/>
      <c r="N196" s="48"/>
      <c r="O196" s="48"/>
      <c r="P196" s="48"/>
      <c r="Q196" s="48"/>
      <c r="R196" s="48"/>
      <c r="S196" s="48">
        <f t="shared" si="35"/>
        <v>5926</v>
      </c>
      <c r="T196" s="283"/>
    </row>
    <row r="197" spans="3:20" ht="15" customHeight="1" x14ac:dyDescent="0.25">
      <c r="D197" s="101" t="s">
        <v>131</v>
      </c>
      <c r="E197" s="101" t="s">
        <v>131</v>
      </c>
      <c r="F197" s="64">
        <f>SUM(F180:F196)</f>
        <v>69622</v>
      </c>
      <c r="G197" s="64">
        <f>SUM(G180:G196)</f>
        <v>3854</v>
      </c>
      <c r="H197" s="64">
        <f>SUM(H180:H196)</f>
        <v>6332</v>
      </c>
      <c r="I197" s="64">
        <f t="shared" ref="I197:P197" si="36">SUM(I180:I196)</f>
        <v>7318</v>
      </c>
      <c r="J197" s="64">
        <f t="shared" si="36"/>
        <v>19503</v>
      </c>
      <c r="K197" s="64">
        <f t="shared" si="36"/>
        <v>0</v>
      </c>
      <c r="L197" s="64">
        <f t="shared" si="36"/>
        <v>0</v>
      </c>
      <c r="M197" s="64">
        <f t="shared" si="36"/>
        <v>0</v>
      </c>
      <c r="N197" s="64">
        <f t="shared" si="36"/>
        <v>0</v>
      </c>
      <c r="O197" s="64">
        <f t="shared" si="36"/>
        <v>0</v>
      </c>
      <c r="P197" s="64">
        <f t="shared" si="36"/>
        <v>0</v>
      </c>
      <c r="Q197" s="64">
        <f>SUM(Q180:Q196)</f>
        <v>28026</v>
      </c>
      <c r="R197" s="64">
        <f>SUM(R180:R196)</f>
        <v>0</v>
      </c>
      <c r="S197" s="54">
        <f>SUM(S180:S196)</f>
        <v>134655</v>
      </c>
    </row>
    <row r="198" spans="3:20" ht="15.75" customHeight="1" thickBot="1" x14ac:dyDescent="0.3"/>
    <row r="199" spans="3:20" ht="17.25" x14ac:dyDescent="0.25">
      <c r="C199" s="275">
        <v>202111</v>
      </c>
      <c r="D199" s="94" t="s">
        <v>151</v>
      </c>
      <c r="E199" s="94" t="s">
        <v>165</v>
      </c>
      <c r="F199" s="60">
        <f>3028+488+530</f>
        <v>4046</v>
      </c>
      <c r="G199" s="59"/>
      <c r="H199" s="59">
        <f>1169</f>
        <v>1169</v>
      </c>
      <c r="I199" s="60">
        <v>799</v>
      </c>
      <c r="J199" s="59"/>
      <c r="K199" s="60"/>
      <c r="L199" s="60"/>
      <c r="M199" s="60"/>
      <c r="N199" s="60"/>
      <c r="O199" s="60"/>
      <c r="P199" s="60"/>
      <c r="Q199" s="60">
        <f>8500+3065+569</f>
        <v>12134</v>
      </c>
      <c r="R199" s="60"/>
      <c r="S199" s="44">
        <f t="shared" ref="S199:S215" si="37">SUM(F199:R199)</f>
        <v>18148</v>
      </c>
      <c r="T199" s="277">
        <f>SUM(S199:S205)</f>
        <v>76814</v>
      </c>
    </row>
    <row r="200" spans="3:20" ht="15" customHeight="1" x14ac:dyDescent="0.25">
      <c r="C200" s="275"/>
      <c r="D200" s="95" t="s">
        <v>151</v>
      </c>
      <c r="E200" s="95" t="s">
        <v>166</v>
      </c>
      <c r="F200" s="79">
        <f>60+25+95+58+35+40+100</f>
        <v>413</v>
      </c>
      <c r="G200" s="78"/>
      <c r="H200" s="78">
        <f>50+38+25+126+40+38+40+100+100</f>
        <v>557</v>
      </c>
      <c r="I200" s="79">
        <f>400+1165</f>
        <v>1565</v>
      </c>
      <c r="J200" s="78"/>
      <c r="K200" s="79"/>
      <c r="L200" s="79"/>
      <c r="M200" s="79"/>
      <c r="N200" s="79"/>
      <c r="O200" s="79"/>
      <c r="P200" s="79"/>
      <c r="Q200" s="79"/>
      <c r="R200" s="79"/>
      <c r="S200" s="80">
        <f t="shared" si="37"/>
        <v>2535</v>
      </c>
      <c r="T200" s="278"/>
    </row>
    <row r="201" spans="3:20" ht="15" customHeight="1" x14ac:dyDescent="0.25">
      <c r="C201" s="275"/>
      <c r="D201" s="95" t="s">
        <v>151</v>
      </c>
      <c r="E201" s="95" t="s">
        <v>167</v>
      </c>
      <c r="F201" s="79">
        <f>35+150+20+1176+258+290+60+39+47+100+290+530+235+135+273+154+200+490+50+110+40+30+30+80+80+250+63+130+40+235+30+20+143+116+580+15+30+135+30+90+500+350+305+320+100+60+128+100+40+135+191+200+589+399+38+90</f>
        <v>10354</v>
      </c>
      <c r="G201" s="78"/>
      <c r="H201" s="78">
        <f>500+520+50+50+160+80+270+55+85+500+30+175+379+83+282+85+35+130+45+4080+113+207+190+60+95+440+39+20</f>
        <v>8758</v>
      </c>
      <c r="I201" s="79">
        <f>478+338+30+520+88+112</f>
        <v>1566</v>
      </c>
      <c r="J201" s="78">
        <f>142+903</f>
        <v>1045</v>
      </c>
      <c r="K201" s="79"/>
      <c r="L201" s="79">
        <f>618+439+179</f>
        <v>1236</v>
      </c>
      <c r="M201" s="79"/>
      <c r="N201" s="79"/>
      <c r="O201" s="79"/>
      <c r="P201" s="79"/>
      <c r="Q201" s="79">
        <f>2000+2000+2000</f>
        <v>6000</v>
      </c>
      <c r="R201" s="79"/>
      <c r="S201" s="80">
        <f t="shared" si="37"/>
        <v>28959</v>
      </c>
      <c r="T201" s="278"/>
    </row>
    <row r="202" spans="3:20" ht="15" customHeight="1" x14ac:dyDescent="0.25">
      <c r="C202" s="275"/>
      <c r="D202" s="95" t="s">
        <v>151</v>
      </c>
      <c r="E202" s="95" t="s">
        <v>174</v>
      </c>
      <c r="F202" s="79"/>
      <c r="G202" s="78"/>
      <c r="H202" s="78"/>
      <c r="I202" s="79"/>
      <c r="J202" s="78"/>
      <c r="K202" s="79"/>
      <c r="L202" s="79"/>
      <c r="M202" s="79"/>
      <c r="N202" s="79"/>
      <c r="O202" s="79"/>
      <c r="P202" s="79"/>
      <c r="Q202" s="79"/>
      <c r="R202" s="79"/>
      <c r="S202" s="80">
        <f t="shared" si="37"/>
        <v>0</v>
      </c>
      <c r="T202" s="278"/>
    </row>
    <row r="203" spans="3:20" ht="15" customHeight="1" x14ac:dyDescent="0.25">
      <c r="C203" s="275"/>
      <c r="D203" s="96" t="s">
        <v>151</v>
      </c>
      <c r="E203" s="96" t="s">
        <v>175</v>
      </c>
      <c r="F203" s="79"/>
      <c r="G203" s="78"/>
      <c r="H203" s="78">
        <f>0+2460</f>
        <v>2460</v>
      </c>
      <c r="I203" s="79"/>
      <c r="J203" s="78"/>
      <c r="K203" s="79"/>
      <c r="L203" s="79"/>
      <c r="M203" s="79"/>
      <c r="N203" s="79"/>
      <c r="O203" s="79"/>
      <c r="P203" s="79"/>
      <c r="Q203" s="79"/>
      <c r="R203" s="79"/>
      <c r="S203" s="80">
        <f t="shared" si="37"/>
        <v>2460</v>
      </c>
      <c r="T203" s="278"/>
    </row>
    <row r="204" spans="3:20" ht="15" customHeight="1" x14ac:dyDescent="0.25">
      <c r="C204" s="275"/>
      <c r="D204" s="95" t="s">
        <v>151</v>
      </c>
      <c r="E204" s="95" t="s">
        <v>168</v>
      </c>
      <c r="F204" s="79">
        <f>800+228+490+200+289+439+279</f>
        <v>2725</v>
      </c>
      <c r="G204" s="78"/>
      <c r="H204" s="78">
        <f>0+69</f>
        <v>69</v>
      </c>
      <c r="I204" s="79"/>
      <c r="J204" s="78"/>
      <c r="K204" s="79"/>
      <c r="L204" s="79">
        <f>289+439+190</f>
        <v>918</v>
      </c>
      <c r="M204" s="79"/>
      <c r="N204" s="79"/>
      <c r="O204" s="79"/>
      <c r="P204" s="79"/>
      <c r="Q204" s="79">
        <v>3000</v>
      </c>
      <c r="R204" s="79"/>
      <c r="S204" s="80">
        <f t="shared" si="37"/>
        <v>6712</v>
      </c>
      <c r="T204" s="278"/>
    </row>
    <row r="205" spans="3:20" ht="15" customHeight="1" x14ac:dyDescent="0.25">
      <c r="C205" s="275"/>
      <c r="D205" s="95" t="s">
        <v>176</v>
      </c>
      <c r="E205" s="95" t="s">
        <v>177</v>
      </c>
      <c r="F205" s="78">
        <f>11500+6500</f>
        <v>18000</v>
      </c>
      <c r="G205" s="78"/>
      <c r="H205" s="78"/>
      <c r="I205" s="79"/>
      <c r="J205" s="78"/>
      <c r="K205" s="79"/>
      <c r="L205" s="79"/>
      <c r="M205" s="79"/>
      <c r="N205" s="79"/>
      <c r="O205" s="79"/>
      <c r="P205" s="79"/>
      <c r="Q205" s="79"/>
      <c r="R205" s="79"/>
      <c r="S205" s="80">
        <f t="shared" si="37"/>
        <v>18000</v>
      </c>
      <c r="T205" s="279"/>
    </row>
    <row r="206" spans="3:20" ht="15" customHeight="1" x14ac:dyDescent="0.25">
      <c r="C206" s="275"/>
      <c r="D206" s="97" t="s">
        <v>152</v>
      </c>
      <c r="E206" s="97" t="s">
        <v>144</v>
      </c>
      <c r="F206" s="135">
        <v>40000</v>
      </c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83">
        <f t="shared" si="37"/>
        <v>40000</v>
      </c>
      <c r="T206" s="280">
        <f>SUM(S206:S210)</f>
        <v>46270</v>
      </c>
    </row>
    <row r="207" spans="3:20" ht="15" customHeight="1" x14ac:dyDescent="0.25">
      <c r="C207" s="275"/>
      <c r="D207" s="97" t="s">
        <v>152</v>
      </c>
      <c r="E207" s="97" t="s">
        <v>145</v>
      </c>
      <c r="F207" s="135"/>
      <c r="G207" s="46"/>
      <c r="H207" s="46"/>
      <c r="I207" s="135">
        <v>3200</v>
      </c>
      <c r="J207" s="46"/>
      <c r="K207" s="46"/>
      <c r="L207" s="46"/>
      <c r="M207" s="46"/>
      <c r="N207" s="46"/>
      <c r="O207" s="46"/>
      <c r="P207" s="46"/>
      <c r="Q207" s="46"/>
      <c r="R207" s="46"/>
      <c r="S207" s="83">
        <f t="shared" si="37"/>
        <v>3200</v>
      </c>
      <c r="T207" s="281"/>
    </row>
    <row r="208" spans="3:20" ht="15" customHeight="1" x14ac:dyDescent="0.25">
      <c r="C208" s="275"/>
      <c r="D208" s="97" t="s">
        <v>152</v>
      </c>
      <c r="E208" s="97" t="s">
        <v>146</v>
      </c>
      <c r="F208" s="89">
        <f>60+50+30+85+309+60</f>
        <v>594</v>
      </c>
      <c r="G208" s="46"/>
      <c r="H208" s="85"/>
      <c r="I208" s="46"/>
      <c r="J208" s="46"/>
      <c r="K208" s="46"/>
      <c r="L208" s="89">
        <f>599</f>
        <v>599</v>
      </c>
      <c r="M208" s="46"/>
      <c r="N208" s="46"/>
      <c r="O208" s="46"/>
      <c r="P208" s="46"/>
      <c r="Q208" s="46"/>
      <c r="R208" s="46"/>
      <c r="S208" s="83">
        <f t="shared" si="37"/>
        <v>1193</v>
      </c>
      <c r="T208" s="281"/>
    </row>
    <row r="209" spans="3:20" ht="15" customHeight="1" x14ac:dyDescent="0.25">
      <c r="C209" s="275"/>
      <c r="D209" s="97" t="s">
        <v>152</v>
      </c>
      <c r="E209" s="97" t="s">
        <v>147</v>
      </c>
      <c r="F209" s="89">
        <f>30+50+30+85+309</f>
        <v>504</v>
      </c>
      <c r="G209" s="46"/>
      <c r="H209" s="85">
        <f>339+135+899</f>
        <v>1373</v>
      </c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83">
        <f t="shared" si="37"/>
        <v>1877</v>
      </c>
      <c r="T209" s="281"/>
    </row>
    <row r="210" spans="3:20" ht="15" customHeight="1" x14ac:dyDescent="0.25">
      <c r="C210" s="275"/>
      <c r="D210" s="97" t="s">
        <v>152</v>
      </c>
      <c r="E210" s="97" t="s">
        <v>168</v>
      </c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83">
        <f t="shared" si="37"/>
        <v>0</v>
      </c>
      <c r="T210" s="281"/>
    </row>
    <row r="211" spans="3:20" ht="15" customHeight="1" x14ac:dyDescent="0.25">
      <c r="C211" s="275"/>
      <c r="D211" s="98" t="s">
        <v>153</v>
      </c>
      <c r="E211" s="98" t="s">
        <v>170</v>
      </c>
      <c r="F211" s="81">
        <v>3059</v>
      </c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>
        <f t="shared" si="37"/>
        <v>3059</v>
      </c>
      <c r="T211" s="282">
        <f>SUM(S211:S215)</f>
        <v>36068</v>
      </c>
    </row>
    <row r="212" spans="3:20" ht="15" customHeight="1" x14ac:dyDescent="0.25">
      <c r="C212" s="275"/>
      <c r="D212" s="99" t="s">
        <v>153</v>
      </c>
      <c r="E212" s="99" t="s">
        <v>171</v>
      </c>
      <c r="F212" s="82">
        <f>1300</f>
        <v>1300</v>
      </c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>
        <f t="shared" si="37"/>
        <v>1300</v>
      </c>
      <c r="T212" s="283"/>
    </row>
    <row r="213" spans="3:20" ht="15" customHeight="1" x14ac:dyDescent="0.25">
      <c r="C213" s="275"/>
      <c r="D213" s="99" t="s">
        <v>153</v>
      </c>
      <c r="E213" s="99" t="s">
        <v>172</v>
      </c>
      <c r="F213" s="82">
        <v>27778</v>
      </c>
      <c r="G213" s="82"/>
      <c r="H213" s="82">
        <f>0+1931</f>
        <v>1931</v>
      </c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>
        <f t="shared" si="37"/>
        <v>29709</v>
      </c>
      <c r="T213" s="283"/>
    </row>
    <row r="214" spans="3:20" s="41" customFormat="1" ht="15" customHeight="1" x14ac:dyDescent="0.25">
      <c r="C214" s="276"/>
      <c r="D214" s="99" t="s">
        <v>153</v>
      </c>
      <c r="E214" s="99" t="s">
        <v>173</v>
      </c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>
        <f t="shared" si="37"/>
        <v>0</v>
      </c>
      <c r="T214" s="283"/>
    </row>
    <row r="215" spans="3:20" ht="15.75" customHeight="1" thickBot="1" x14ac:dyDescent="0.3">
      <c r="C215" s="276"/>
      <c r="D215" s="100" t="s">
        <v>153</v>
      </c>
      <c r="E215" s="100" t="s">
        <v>168</v>
      </c>
      <c r="F215" s="48">
        <v>2000</v>
      </c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>
        <f t="shared" si="37"/>
        <v>2000</v>
      </c>
      <c r="T215" s="283"/>
    </row>
    <row r="216" spans="3:20" ht="15" customHeight="1" x14ac:dyDescent="0.25">
      <c r="D216" s="101" t="s">
        <v>131</v>
      </c>
      <c r="E216" s="101" t="s">
        <v>131</v>
      </c>
      <c r="F216" s="64">
        <f>SUM(F199:F215)</f>
        <v>110773</v>
      </c>
      <c r="G216" s="64">
        <f>SUM(G199:G215)</f>
        <v>0</v>
      </c>
      <c r="H216" s="64">
        <f>SUM(H199:H215)</f>
        <v>16317</v>
      </c>
      <c r="I216" s="64">
        <f t="shared" ref="I216:P216" si="38">SUM(I199:I215)</f>
        <v>7130</v>
      </c>
      <c r="J216" s="64">
        <f t="shared" si="38"/>
        <v>1045</v>
      </c>
      <c r="K216" s="64">
        <f t="shared" si="38"/>
        <v>0</v>
      </c>
      <c r="L216" s="64">
        <f t="shared" si="38"/>
        <v>2753</v>
      </c>
      <c r="M216" s="64">
        <f t="shared" si="38"/>
        <v>0</v>
      </c>
      <c r="N216" s="64">
        <f t="shared" si="38"/>
        <v>0</v>
      </c>
      <c r="O216" s="64">
        <f t="shared" si="38"/>
        <v>0</v>
      </c>
      <c r="P216" s="64">
        <f t="shared" si="38"/>
        <v>0</v>
      </c>
      <c r="Q216" s="64">
        <f>SUM(Q199:Q215)</f>
        <v>21134</v>
      </c>
      <c r="R216" s="64">
        <f>SUM(R199:R215)</f>
        <v>0</v>
      </c>
      <c r="S216" s="54">
        <f>SUM(S199:S215)</f>
        <v>159152</v>
      </c>
    </row>
    <row r="217" spans="3:20" ht="15.75" customHeight="1" thickBot="1" x14ac:dyDescent="0.3"/>
    <row r="218" spans="3:20" ht="17.25" x14ac:dyDescent="0.25">
      <c r="C218" s="275">
        <v>202112</v>
      </c>
      <c r="D218" s="94" t="s">
        <v>151</v>
      </c>
      <c r="E218" s="94" t="s">
        <v>165</v>
      </c>
      <c r="F218" s="60">
        <f>3028+488+100+1213</f>
        <v>4829</v>
      </c>
      <c r="G218" s="59"/>
      <c r="H218" s="59"/>
      <c r="I218" s="60">
        <f>322+320</f>
        <v>642</v>
      </c>
      <c r="J218" s="138"/>
      <c r="K218" s="60"/>
      <c r="L218" s="60"/>
      <c r="M218" s="60"/>
      <c r="N218" s="60"/>
      <c r="O218" s="60"/>
      <c r="P218" s="60"/>
      <c r="Q218" s="60">
        <f>8500+3079+524+1203</f>
        <v>13306</v>
      </c>
      <c r="R218" s="60"/>
      <c r="S218" s="44">
        <f t="shared" ref="S218:S234" si="39">SUM(F218:R218)</f>
        <v>18777</v>
      </c>
      <c r="T218" s="277">
        <f>SUM(S218:S224)</f>
        <v>90389</v>
      </c>
    </row>
    <row r="219" spans="3:20" ht="15" customHeight="1" x14ac:dyDescent="0.25">
      <c r="C219" s="275"/>
      <c r="D219" s="95" t="s">
        <v>151</v>
      </c>
      <c r="E219" s="95" t="s">
        <v>166</v>
      </c>
      <c r="F219" s="79">
        <f>100+100+40+100+120+40+75+80</f>
        <v>655</v>
      </c>
      <c r="G219" s="78"/>
      <c r="H219" s="78">
        <f>45+20+91+40</f>
        <v>196</v>
      </c>
      <c r="I219" s="79">
        <f>1347+38+1281+30+40</f>
        <v>2736</v>
      </c>
      <c r="J219" s="139"/>
      <c r="K219" s="79"/>
      <c r="L219" s="79">
        <v>500</v>
      </c>
      <c r="M219" s="79"/>
      <c r="N219" s="79"/>
      <c r="O219" s="79"/>
      <c r="P219" s="79"/>
      <c r="Q219" s="79"/>
      <c r="R219" s="79"/>
      <c r="S219" s="80">
        <f t="shared" si="39"/>
        <v>4087</v>
      </c>
      <c r="T219" s="278"/>
    </row>
    <row r="220" spans="3:20" ht="15" customHeight="1" x14ac:dyDescent="0.25">
      <c r="C220" s="275"/>
      <c r="D220" s="95" t="s">
        <v>151</v>
      </c>
      <c r="E220" s="95" t="s">
        <v>167</v>
      </c>
      <c r="F220" s="79">
        <f>99+20+20+157+145+180+130+105+112+281+115+20+165+240+185+372+55+40+150+120+75+490+1470+240+105+70+65+155+115+99+120+550+450+207+150+640+190+55+820+400+20+25+130+470+300</f>
        <v>10122</v>
      </c>
      <c r="G220" s="78"/>
      <c r="H220" s="78">
        <f>90+235+1040+0+65+35+36+50+53+65+499+5+54+36+552+80+58+35+27+119+55+258+55</f>
        <v>3502</v>
      </c>
      <c r="I220" s="79">
        <f>76+64+420+349+460+35+155+35+80+58+328+120+99+780+78+150+55+160+35</f>
        <v>3537</v>
      </c>
      <c r="J220" s="139">
        <f>0+891+871</f>
        <v>1762</v>
      </c>
      <c r="K220" s="79"/>
      <c r="L220" s="79">
        <f>558+175+295+159</f>
        <v>1187</v>
      </c>
      <c r="M220" s="79"/>
      <c r="N220" s="79"/>
      <c r="O220" s="79"/>
      <c r="P220" s="79"/>
      <c r="Q220" s="79">
        <f>2000+2200+2000</f>
        <v>6200</v>
      </c>
      <c r="R220" s="79"/>
      <c r="S220" s="80">
        <f t="shared" si="39"/>
        <v>26310</v>
      </c>
      <c r="T220" s="278"/>
    </row>
    <row r="221" spans="3:20" ht="15" customHeight="1" x14ac:dyDescent="0.25">
      <c r="C221" s="275"/>
      <c r="D221" s="95" t="s">
        <v>151</v>
      </c>
      <c r="E221" s="95" t="s">
        <v>174</v>
      </c>
      <c r="F221" s="79"/>
      <c r="G221" s="78"/>
      <c r="H221" s="78"/>
      <c r="I221" s="79">
        <v>70</v>
      </c>
      <c r="J221" s="139"/>
      <c r="K221" s="79"/>
      <c r="L221" s="79"/>
      <c r="M221" s="79"/>
      <c r="N221" s="79"/>
      <c r="O221" s="79"/>
      <c r="P221" s="79"/>
      <c r="Q221" s="79"/>
      <c r="R221" s="79"/>
      <c r="S221" s="80">
        <f t="shared" si="39"/>
        <v>70</v>
      </c>
      <c r="T221" s="278"/>
    </row>
    <row r="222" spans="3:20" ht="15" customHeight="1" x14ac:dyDescent="0.25">
      <c r="C222" s="275"/>
      <c r="D222" s="96" t="s">
        <v>151</v>
      </c>
      <c r="E222" s="96" t="s">
        <v>175</v>
      </c>
      <c r="F222" s="79"/>
      <c r="G222" s="78"/>
      <c r="H222" s="78"/>
      <c r="I222" s="79"/>
      <c r="J222" s="139"/>
      <c r="K222" s="79"/>
      <c r="L222" s="79"/>
      <c r="M222" s="79"/>
      <c r="N222" s="79"/>
      <c r="O222" s="79"/>
      <c r="P222" s="79"/>
      <c r="Q222" s="79"/>
      <c r="R222" s="79"/>
      <c r="S222" s="80">
        <f t="shared" si="39"/>
        <v>0</v>
      </c>
      <c r="T222" s="278"/>
    </row>
    <row r="223" spans="3:20" ht="15" customHeight="1" x14ac:dyDescent="0.25">
      <c r="C223" s="275"/>
      <c r="D223" s="95" t="s">
        <v>151</v>
      </c>
      <c r="E223" s="95" t="s">
        <v>168</v>
      </c>
      <c r="F223" s="79">
        <f>30+880+200+298+300</f>
        <v>1708</v>
      </c>
      <c r="G223" s="78"/>
      <c r="H223" s="78"/>
      <c r="I223" s="79">
        <f>448+0+58</f>
        <v>506</v>
      </c>
      <c r="J223" s="139"/>
      <c r="K223" s="79"/>
      <c r="L223" s="79"/>
      <c r="M223" s="79"/>
      <c r="N223" s="79"/>
      <c r="O223" s="79"/>
      <c r="P223" s="79"/>
      <c r="Q223" s="79"/>
      <c r="R223" s="79"/>
      <c r="S223" s="80">
        <f t="shared" si="39"/>
        <v>2214</v>
      </c>
      <c r="T223" s="278"/>
    </row>
    <row r="224" spans="3:20" ht="15" customHeight="1" x14ac:dyDescent="0.25">
      <c r="C224" s="275"/>
      <c r="D224" s="95" t="s">
        <v>176</v>
      </c>
      <c r="E224" s="95" t="s">
        <v>177</v>
      </c>
      <c r="F224" s="78">
        <f>11500+6500+5000+5200+5600</f>
        <v>33800</v>
      </c>
      <c r="G224" s="78"/>
      <c r="H224" s="78">
        <v>5131</v>
      </c>
      <c r="I224" s="79"/>
      <c r="J224" s="139"/>
      <c r="K224" s="79"/>
      <c r="L224" s="79"/>
      <c r="M224" s="79"/>
      <c r="N224" s="79"/>
      <c r="O224" s="79"/>
      <c r="P224" s="79"/>
      <c r="Q224" s="79"/>
      <c r="R224" s="79"/>
      <c r="S224" s="80">
        <f t="shared" si="39"/>
        <v>38931</v>
      </c>
      <c r="T224" s="279"/>
    </row>
    <row r="225" spans="3:20" ht="15" customHeight="1" x14ac:dyDescent="0.25">
      <c r="C225" s="275"/>
      <c r="D225" s="97" t="s">
        <v>152</v>
      </c>
      <c r="E225" s="97" t="s">
        <v>144</v>
      </c>
      <c r="F225" s="46"/>
      <c r="G225" s="46"/>
      <c r="H225" s="46"/>
      <c r="I225" s="46"/>
      <c r="J225" s="89"/>
      <c r="K225" s="46"/>
      <c r="L225" s="46"/>
      <c r="M225" s="46"/>
      <c r="N225" s="46"/>
      <c r="O225" s="46"/>
      <c r="P225" s="46"/>
      <c r="Q225" s="46"/>
      <c r="R225" s="46"/>
      <c r="S225" s="83">
        <f t="shared" si="39"/>
        <v>0</v>
      </c>
      <c r="T225" s="280">
        <f>SUM(S225:S229)</f>
        <v>18633</v>
      </c>
    </row>
    <row r="226" spans="3:20" ht="15" customHeight="1" x14ac:dyDescent="0.25">
      <c r="C226" s="275"/>
      <c r="D226" s="97" t="s">
        <v>152</v>
      </c>
      <c r="E226" s="97" t="s">
        <v>145</v>
      </c>
      <c r="F226" s="89">
        <f>590+190</f>
        <v>780</v>
      </c>
      <c r="G226" s="46"/>
      <c r="H226" s="142">
        <v>8520</v>
      </c>
      <c r="I226" s="46"/>
      <c r="J226" s="89"/>
      <c r="K226" s="46"/>
      <c r="L226" s="46"/>
      <c r="M226" s="46"/>
      <c r="N226" s="46"/>
      <c r="O226" s="46"/>
      <c r="P226" s="46"/>
      <c r="Q226" s="46"/>
      <c r="R226" s="46"/>
      <c r="S226" s="83">
        <f t="shared" si="39"/>
        <v>9300</v>
      </c>
      <c r="T226" s="281"/>
    </row>
    <row r="227" spans="3:20" ht="15" customHeight="1" x14ac:dyDescent="0.25">
      <c r="C227" s="275"/>
      <c r="D227" s="97" t="s">
        <v>152</v>
      </c>
      <c r="E227" s="97" t="s">
        <v>146</v>
      </c>
      <c r="F227" s="89">
        <f>150+45+100</f>
        <v>295</v>
      </c>
      <c r="G227" s="46"/>
      <c r="H227" s="89">
        <f>1662+756+1290+534</f>
        <v>4242</v>
      </c>
      <c r="I227" s="89"/>
      <c r="J227" s="89"/>
      <c r="K227" s="46"/>
      <c r="L227" s="46"/>
      <c r="M227" s="46"/>
      <c r="N227" s="46"/>
      <c r="O227" s="46"/>
      <c r="P227" s="46"/>
      <c r="Q227" s="46"/>
      <c r="R227" s="46"/>
      <c r="S227" s="83">
        <f t="shared" si="39"/>
        <v>4537</v>
      </c>
      <c r="T227" s="281"/>
    </row>
    <row r="228" spans="3:20" ht="15" customHeight="1" x14ac:dyDescent="0.25">
      <c r="C228" s="275"/>
      <c r="D228" s="97" t="s">
        <v>152</v>
      </c>
      <c r="E228" s="97" t="s">
        <v>147</v>
      </c>
      <c r="F228" s="89">
        <f>150+15+45+60+240</f>
        <v>510</v>
      </c>
      <c r="G228" s="46"/>
      <c r="H228" s="89">
        <f>1662+250+534</f>
        <v>2446</v>
      </c>
      <c r="I228" s="46"/>
      <c r="J228" s="89"/>
      <c r="K228" s="46"/>
      <c r="L228" s="89">
        <v>1840</v>
      </c>
      <c r="M228" s="46"/>
      <c r="N228" s="46"/>
      <c r="O228" s="46"/>
      <c r="P228" s="46"/>
      <c r="Q228" s="46"/>
      <c r="R228" s="46"/>
      <c r="S228" s="83">
        <f t="shared" si="39"/>
        <v>4796</v>
      </c>
      <c r="T228" s="281"/>
    </row>
    <row r="229" spans="3:20" ht="15" customHeight="1" x14ac:dyDescent="0.25">
      <c r="C229" s="275"/>
      <c r="D229" s="97" t="s">
        <v>152</v>
      </c>
      <c r="E229" s="97" t="s">
        <v>168</v>
      </c>
      <c r="F229" s="46"/>
      <c r="G229" s="46"/>
      <c r="H229" s="46"/>
      <c r="I229" s="46"/>
      <c r="J229" s="89"/>
      <c r="K229" s="46"/>
      <c r="L229" s="46"/>
      <c r="M229" s="46"/>
      <c r="N229" s="46"/>
      <c r="O229" s="46"/>
      <c r="P229" s="46"/>
      <c r="Q229" s="46"/>
      <c r="R229" s="46"/>
      <c r="S229" s="83">
        <f t="shared" si="39"/>
        <v>0</v>
      </c>
      <c r="T229" s="281"/>
    </row>
    <row r="230" spans="3:20" ht="15" customHeight="1" x14ac:dyDescent="0.25">
      <c r="C230" s="275"/>
      <c r="D230" s="98" t="s">
        <v>153</v>
      </c>
      <c r="E230" s="98" t="s">
        <v>170</v>
      </c>
      <c r="F230" s="81"/>
      <c r="G230" s="81"/>
      <c r="H230" s="81">
        <f>2200+1000</f>
        <v>3200</v>
      </c>
      <c r="I230" s="81"/>
      <c r="J230" s="140">
        <v>1633</v>
      </c>
      <c r="K230" s="81"/>
      <c r="L230" s="81"/>
      <c r="M230" s="81"/>
      <c r="N230" s="81"/>
      <c r="O230" s="81"/>
      <c r="P230" s="81"/>
      <c r="Q230" s="81"/>
      <c r="R230" s="81"/>
      <c r="S230" s="81">
        <f t="shared" si="39"/>
        <v>4833</v>
      </c>
      <c r="T230" s="282">
        <f>SUM(S230:S234)</f>
        <v>35211</v>
      </c>
    </row>
    <row r="231" spans="3:20" ht="15" customHeight="1" x14ac:dyDescent="0.25">
      <c r="C231" s="275"/>
      <c r="D231" s="99" t="s">
        <v>153</v>
      </c>
      <c r="E231" s="137" t="s">
        <v>143</v>
      </c>
      <c r="F231" s="82"/>
      <c r="G231" s="82"/>
      <c r="H231" s="82"/>
      <c r="I231" s="82"/>
      <c r="J231" s="91"/>
      <c r="K231" s="82"/>
      <c r="L231" s="82"/>
      <c r="M231" s="82"/>
      <c r="N231" s="82"/>
      <c r="O231" s="82"/>
      <c r="P231" s="82"/>
      <c r="Q231" s="82"/>
      <c r="R231" s="82"/>
      <c r="S231" s="82">
        <f t="shared" si="39"/>
        <v>0</v>
      </c>
      <c r="T231" s="283"/>
    </row>
    <row r="232" spans="3:20" ht="15" customHeight="1" x14ac:dyDescent="0.25">
      <c r="C232" s="275"/>
      <c r="D232" s="99" t="s">
        <v>153</v>
      </c>
      <c r="E232" s="99" t="s">
        <v>172</v>
      </c>
      <c r="F232" s="82">
        <v>27778</v>
      </c>
      <c r="G232" s="82"/>
      <c r="H232" s="82"/>
      <c r="I232" s="82"/>
      <c r="J232" s="140"/>
      <c r="K232" s="82"/>
      <c r="L232" s="82"/>
      <c r="M232" s="82"/>
      <c r="N232" s="82"/>
      <c r="O232" s="82"/>
      <c r="P232" s="82"/>
      <c r="Q232" s="82"/>
      <c r="R232" s="82"/>
      <c r="S232" s="82">
        <f t="shared" si="39"/>
        <v>27778</v>
      </c>
      <c r="T232" s="283"/>
    </row>
    <row r="233" spans="3:20" s="41" customFormat="1" ht="15" customHeight="1" x14ac:dyDescent="0.25">
      <c r="C233" s="276"/>
      <c r="D233" s="99" t="s">
        <v>153</v>
      </c>
      <c r="E233" s="99" t="s">
        <v>173</v>
      </c>
      <c r="F233" s="82"/>
      <c r="G233" s="82"/>
      <c r="H233" s="82"/>
      <c r="I233" s="82"/>
      <c r="J233" s="140"/>
      <c r="K233" s="82"/>
      <c r="L233" s="82"/>
      <c r="M233" s="82"/>
      <c r="N233" s="82"/>
      <c r="O233" s="82"/>
      <c r="P233" s="82"/>
      <c r="Q233" s="82"/>
      <c r="R233" s="82"/>
      <c r="S233" s="82">
        <f t="shared" si="39"/>
        <v>0</v>
      </c>
      <c r="T233" s="283"/>
    </row>
    <row r="234" spans="3:20" ht="15.75" customHeight="1" thickBot="1" x14ac:dyDescent="0.3">
      <c r="C234" s="276"/>
      <c r="D234" s="100" t="s">
        <v>153</v>
      </c>
      <c r="E234" s="100" t="s">
        <v>168</v>
      </c>
      <c r="F234" s="48">
        <f>2600</f>
        <v>2600</v>
      </c>
      <c r="G234" s="48"/>
      <c r="H234" s="48"/>
      <c r="I234" s="48"/>
      <c r="J234" s="141"/>
      <c r="K234" s="48"/>
      <c r="L234" s="48"/>
      <c r="M234" s="48"/>
      <c r="N234" s="48"/>
      <c r="O234" s="48"/>
      <c r="P234" s="48"/>
      <c r="Q234" s="48"/>
      <c r="R234" s="48"/>
      <c r="S234" s="48">
        <f t="shared" si="39"/>
        <v>2600</v>
      </c>
      <c r="T234" s="283"/>
    </row>
    <row r="235" spans="3:20" ht="15" customHeight="1" x14ac:dyDescent="0.25">
      <c r="D235" s="101" t="s">
        <v>131</v>
      </c>
      <c r="E235" s="101" t="s">
        <v>131</v>
      </c>
      <c r="F235" s="64">
        <f>SUM(F218:F234)</f>
        <v>83077</v>
      </c>
      <c r="G235" s="64">
        <f>SUM(G218:G234)</f>
        <v>0</v>
      </c>
      <c r="H235" s="64">
        <f>SUM(H218:H234)</f>
        <v>27237</v>
      </c>
      <c r="I235" s="64">
        <f t="shared" ref="I235:P235" si="40">SUM(I218:I234)</f>
        <v>7491</v>
      </c>
      <c r="J235" s="64">
        <f t="shared" si="40"/>
        <v>3395</v>
      </c>
      <c r="K235" s="64">
        <f t="shared" si="40"/>
        <v>0</v>
      </c>
      <c r="L235" s="64">
        <f t="shared" si="40"/>
        <v>3527</v>
      </c>
      <c r="M235" s="64">
        <f t="shared" si="40"/>
        <v>0</v>
      </c>
      <c r="N235" s="64">
        <f t="shared" si="40"/>
        <v>0</v>
      </c>
      <c r="O235" s="64">
        <f t="shared" si="40"/>
        <v>0</v>
      </c>
      <c r="P235" s="64">
        <f t="shared" si="40"/>
        <v>0</v>
      </c>
      <c r="Q235" s="64">
        <f>SUM(Q218:Q234)</f>
        <v>19506</v>
      </c>
      <c r="R235" s="64">
        <f>SUM(R218:R234)</f>
        <v>0</v>
      </c>
      <c r="S235" s="54">
        <f>SUM(S218:S234)</f>
        <v>144233</v>
      </c>
    </row>
    <row r="240" spans="3:20" x14ac:dyDescent="0.25">
      <c r="E240" s="129">
        <f>SUM(G240:P240)</f>
        <v>0.15026795284030012</v>
      </c>
      <c r="F240" s="130" t="s">
        <v>223</v>
      </c>
      <c r="G240" s="131">
        <f>G242/$E$243</f>
        <v>6.4308681672025723E-3</v>
      </c>
      <c r="H240" s="131">
        <f>H242/$E$243</f>
        <v>2.3579849946409433E-2</v>
      </c>
      <c r="I240" s="131">
        <f>I242/$E$243</f>
        <v>1.5005359056806002E-2</v>
      </c>
      <c r="J240" s="131">
        <f>J242/$E$243</f>
        <v>5.5091103965702035E-2</v>
      </c>
      <c r="K240" s="131">
        <f>K242/$E$243</f>
        <v>5.0160771704180061E-2</v>
      </c>
      <c r="L240" s="131"/>
      <c r="M240" s="131"/>
      <c r="N240" s="143"/>
      <c r="O240" s="143"/>
    </row>
    <row r="241" spans="5:15" ht="16.5" x14ac:dyDescent="0.25">
      <c r="F241" s="132" t="s">
        <v>222</v>
      </c>
      <c r="G241" s="133">
        <v>44478</v>
      </c>
      <c r="H241" s="133">
        <v>44482</v>
      </c>
      <c r="I241" s="133">
        <v>44487</v>
      </c>
      <c r="J241" s="133">
        <v>44501</v>
      </c>
      <c r="K241" s="133">
        <v>44526</v>
      </c>
      <c r="L241" s="133">
        <v>44682</v>
      </c>
      <c r="M241" s="133">
        <v>45253</v>
      </c>
      <c r="N241" s="133">
        <v>45343</v>
      </c>
      <c r="O241" s="133"/>
    </row>
    <row r="242" spans="5:15" ht="16.5" x14ac:dyDescent="0.25">
      <c r="E242" s="128">
        <f>SUM(G242:P242)</f>
        <v>7010000</v>
      </c>
      <c r="F242" s="132" t="s">
        <v>221</v>
      </c>
      <c r="G242" s="134">
        <v>300000</v>
      </c>
      <c r="H242" s="134">
        <v>1100000</v>
      </c>
      <c r="I242" s="134">
        <v>700000</v>
      </c>
      <c r="J242" s="134">
        <v>2570000</v>
      </c>
      <c r="K242" s="134">
        <v>2340000</v>
      </c>
      <c r="L242" s="134"/>
      <c r="M242" s="134"/>
      <c r="N242" s="143"/>
      <c r="O242" s="143"/>
    </row>
    <row r="243" spans="5:15" ht="19.5" x14ac:dyDescent="0.25">
      <c r="E243" s="127">
        <v>46650000</v>
      </c>
      <c r="F243" s="132" t="s">
        <v>220</v>
      </c>
      <c r="G243" s="132" t="s">
        <v>218</v>
      </c>
      <c r="H243" s="132" t="s">
        <v>218</v>
      </c>
      <c r="I243" s="132" t="s">
        <v>219</v>
      </c>
      <c r="J243" s="132" t="s">
        <v>219</v>
      </c>
      <c r="K243" s="132" t="s">
        <v>225</v>
      </c>
      <c r="L243" s="132" t="s">
        <v>226</v>
      </c>
      <c r="M243" s="132" t="s">
        <v>227</v>
      </c>
      <c r="N243" s="132" t="s">
        <v>228</v>
      </c>
      <c r="O243" s="130" t="s">
        <v>229</v>
      </c>
    </row>
  </sheetData>
  <mergeCells count="51">
    <mergeCell ref="T230:T234"/>
    <mergeCell ref="T206:T210"/>
    <mergeCell ref="T211:T215"/>
    <mergeCell ref="T225:T229"/>
    <mergeCell ref="T199:T205"/>
    <mergeCell ref="T218:T224"/>
    <mergeCell ref="T168:T172"/>
    <mergeCell ref="T173:T177"/>
    <mergeCell ref="T187:T191"/>
    <mergeCell ref="T192:T196"/>
    <mergeCell ref="T180:T186"/>
    <mergeCell ref="T135:T139"/>
    <mergeCell ref="T149:T153"/>
    <mergeCell ref="T154:T158"/>
    <mergeCell ref="T142:T148"/>
    <mergeCell ref="T161:T167"/>
    <mergeCell ref="T111:T115"/>
    <mergeCell ref="T116:T120"/>
    <mergeCell ref="T130:T134"/>
    <mergeCell ref="T104:T110"/>
    <mergeCell ref="T123:T129"/>
    <mergeCell ref="T66:T72"/>
    <mergeCell ref="T73:T77"/>
    <mergeCell ref="T78:T82"/>
    <mergeCell ref="T92:T96"/>
    <mergeCell ref="T97:T101"/>
    <mergeCell ref="T85:T91"/>
    <mergeCell ref="C66:C82"/>
    <mergeCell ref="C85:C101"/>
    <mergeCell ref="C199:C215"/>
    <mergeCell ref="C218:C234"/>
    <mergeCell ref="C104:C120"/>
    <mergeCell ref="C123:C139"/>
    <mergeCell ref="C142:C158"/>
    <mergeCell ref="C161:C177"/>
    <mergeCell ref="C180:C196"/>
    <mergeCell ref="AE8:AK8"/>
    <mergeCell ref="AL8:AP8"/>
    <mergeCell ref="AQ8:AU8"/>
    <mergeCell ref="C47:C63"/>
    <mergeCell ref="C9:C25"/>
    <mergeCell ref="C28:C44"/>
    <mergeCell ref="T9:T15"/>
    <mergeCell ref="T16:T20"/>
    <mergeCell ref="T21:T25"/>
    <mergeCell ref="T35:T39"/>
    <mergeCell ref="T28:T34"/>
    <mergeCell ref="T40:T44"/>
    <mergeCell ref="T54:T58"/>
    <mergeCell ref="T59:T63"/>
    <mergeCell ref="T47:T53"/>
  </mergeCells>
  <phoneticPr fontId="1" type="noConversion"/>
  <conditionalFormatting sqref="J6:R6 F6:H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:AK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:AP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:AU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scale="65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5"/>
  <dimension ref="A1:U76"/>
  <sheetViews>
    <sheetView zoomScale="95" zoomScaleNormal="95" workbookViewId="0">
      <pane ySplit="8" topLeftCell="A9" activePane="bottomLeft" state="frozen"/>
      <selection pane="bottomLeft" activeCell="E56" sqref="E56"/>
    </sheetView>
  </sheetViews>
  <sheetFormatPr defaultColWidth="9" defaultRowHeight="15" x14ac:dyDescent="0.25"/>
  <cols>
    <col min="1" max="1" width="13.375" style="45" bestFit="1" customWidth="1"/>
    <col min="2" max="2" width="12.875" style="45" bestFit="1" customWidth="1"/>
    <col min="3" max="3" width="10.125" style="45" bestFit="1" customWidth="1"/>
    <col min="4" max="4" width="13.625" style="45" bestFit="1" customWidth="1"/>
    <col min="5" max="5" width="15.75" style="45" bestFit="1" customWidth="1"/>
    <col min="6" max="6" width="17.25" style="45" bestFit="1" customWidth="1"/>
    <col min="7" max="7" width="12.5" style="45" bestFit="1" customWidth="1"/>
    <col min="8" max="8" width="15" style="45" bestFit="1" customWidth="1"/>
    <col min="9" max="9" width="14.5" style="45" bestFit="1" customWidth="1"/>
    <col min="10" max="10" width="9.25" style="45" bestFit="1" customWidth="1"/>
    <col min="11" max="11" width="11.125" style="45" bestFit="1" customWidth="1"/>
    <col min="12" max="12" width="11.625" style="45" bestFit="1" customWidth="1"/>
    <col min="13" max="13" width="13.25" style="45" bestFit="1" customWidth="1"/>
    <col min="14" max="14" width="10.5" style="45" bestFit="1" customWidth="1"/>
    <col min="15" max="15" width="15" style="45" bestFit="1" customWidth="1"/>
    <col min="16" max="16" width="17.25" style="45" bestFit="1" customWidth="1"/>
    <col min="17" max="18" width="15" style="45" customWidth="1"/>
    <col min="19" max="19" width="14.5" style="45" bestFit="1" customWidth="1"/>
    <col min="20" max="20" width="12.5" style="45" bestFit="1" customWidth="1"/>
    <col min="21" max="16384" width="9" style="45"/>
  </cols>
  <sheetData>
    <row r="1" spans="1:19" ht="16.5" x14ac:dyDescent="0.25">
      <c r="A1" s="55" t="s">
        <v>119</v>
      </c>
      <c r="B1" s="51">
        <f>SUMIF(D:D,A1,S:S)</f>
        <v>889429</v>
      </c>
      <c r="C1" s="57">
        <f>B1/$B$4</f>
        <v>0.34340384195135359</v>
      </c>
      <c r="D1" s="52"/>
      <c r="L1" s="136" t="s">
        <v>224</v>
      </c>
    </row>
    <row r="2" spans="1:19" ht="16.5" x14ac:dyDescent="0.25">
      <c r="A2" s="45" t="s">
        <v>132</v>
      </c>
      <c r="B2" s="51">
        <f>SUMIF(D:D,A2,S:S)</f>
        <v>131997</v>
      </c>
      <c r="C2" s="57">
        <f>B2/$B$4</f>
        <v>5.0963344939340662E-2</v>
      </c>
      <c r="L2" s="51">
        <f>27778*3</f>
        <v>83334</v>
      </c>
    </row>
    <row r="3" spans="1:19" ht="17.25" thickBot="1" x14ac:dyDescent="0.3">
      <c r="A3" s="55" t="s">
        <v>121</v>
      </c>
      <c r="B3" s="51">
        <f>SUMIF(D:D,A3,S:S)</f>
        <v>1568612</v>
      </c>
      <c r="C3" s="57">
        <f>B3/$B$4</f>
        <v>0.60563281310930572</v>
      </c>
      <c r="I3" s="55"/>
    </row>
    <row r="4" spans="1:19" x14ac:dyDescent="0.25">
      <c r="A4" s="56" t="s">
        <v>131</v>
      </c>
      <c r="B4" s="72">
        <f>SUMIF(D:D,A4,S:S)</f>
        <v>2590038</v>
      </c>
    </row>
    <row r="6" spans="1:19" x14ac:dyDescent="0.25">
      <c r="E6" s="57">
        <f>E7/$S$7</f>
        <v>0.47848873259774566</v>
      </c>
      <c r="F6" s="57">
        <f t="shared" ref="F6:R6" si="0">F7/$S$7</f>
        <v>3.8461983955447761E-2</v>
      </c>
      <c r="G6" s="57">
        <f>G7/$S$7</f>
        <v>8.0538972787271845E-2</v>
      </c>
      <c r="H6" s="57">
        <f>H7/$S$7</f>
        <v>7.7404269744304907E-2</v>
      </c>
      <c r="I6" s="57">
        <f t="shared" si="0"/>
        <v>5.1580710398843571E-2</v>
      </c>
      <c r="J6" s="57">
        <f t="shared" si="0"/>
        <v>2.3945594620619465E-3</v>
      </c>
      <c r="K6" s="57">
        <f t="shared" si="0"/>
        <v>3.6443480752019856E-3</v>
      </c>
      <c r="L6" s="57">
        <f t="shared" si="0"/>
        <v>3.822337741762862E-5</v>
      </c>
      <c r="M6" s="57">
        <f t="shared" si="0"/>
        <v>0</v>
      </c>
      <c r="N6" s="57">
        <f t="shared" si="0"/>
        <v>0</v>
      </c>
      <c r="O6" s="57">
        <f t="shared" si="0"/>
        <v>0</v>
      </c>
      <c r="P6" s="57">
        <f t="shared" si="0"/>
        <v>1.5521007799885562E-3</v>
      </c>
      <c r="Q6" s="57">
        <f>Q7/$S$7</f>
        <v>0.14157359853407556</v>
      </c>
      <c r="R6" s="57">
        <f t="shared" si="0"/>
        <v>0.12432250028764057</v>
      </c>
    </row>
    <row r="7" spans="1:19" ht="15.75" thickBot="1" x14ac:dyDescent="0.3">
      <c r="E7" s="70">
        <f>E12+E17+E22+E27+E32+E37+E42+E47+E52+E57+E62+E67</f>
        <v>1239304</v>
      </c>
      <c r="F7" s="70">
        <f>F12+F17+F22+F27+F32+F37+F42+F47+F52+F57+F62+F67</f>
        <v>99618</v>
      </c>
      <c r="G7" s="70">
        <f>G12+G17+G22+G27+G32+G37+G42+G47+G52+G57+G62+G67</f>
        <v>208599</v>
      </c>
      <c r="H7" s="70">
        <f>H12+H17+H22+H27+H32+H37+H42+H47+H52+H57+H62+H67</f>
        <v>200480</v>
      </c>
      <c r="I7" s="70">
        <f t="shared" ref="I7:Q7" si="1">I12+I17+I22+I27+I32+I37+I42+I47+I52+I57+I62+I67</f>
        <v>133596</v>
      </c>
      <c r="J7" s="70">
        <f t="shared" si="1"/>
        <v>6202</v>
      </c>
      <c r="K7" s="70">
        <f t="shared" si="1"/>
        <v>9439</v>
      </c>
      <c r="L7" s="70">
        <f t="shared" si="1"/>
        <v>99</v>
      </c>
      <c r="M7" s="70">
        <f t="shared" si="1"/>
        <v>0</v>
      </c>
      <c r="N7" s="70">
        <f t="shared" si="1"/>
        <v>0</v>
      </c>
      <c r="O7" s="70">
        <f>O12+O17+O22+O27+O32+O37+O42+O47+O52+O57+O62+O67</f>
        <v>0</v>
      </c>
      <c r="P7" s="70">
        <f t="shared" si="1"/>
        <v>4020</v>
      </c>
      <c r="Q7" s="70">
        <f t="shared" si="1"/>
        <v>366681</v>
      </c>
      <c r="R7" s="70">
        <f>R12+R17+R22+R27+R32+R37+R42+R47+R52+R57+R62+R67</f>
        <v>322000</v>
      </c>
      <c r="S7" s="71">
        <f>S12+S17+S22+S27+S32+S37+S42+S47+S52+S57+S62+S67</f>
        <v>2590038</v>
      </c>
    </row>
    <row r="8" spans="1:19" ht="18" thickTop="1" thickBot="1" x14ac:dyDescent="0.3">
      <c r="C8" s="53" t="s">
        <v>133</v>
      </c>
      <c r="D8" s="42"/>
      <c r="E8" s="53" t="s">
        <v>148</v>
      </c>
      <c r="F8" s="41" t="s">
        <v>122</v>
      </c>
      <c r="G8" s="41" t="s">
        <v>123</v>
      </c>
      <c r="H8" s="41" t="s">
        <v>140</v>
      </c>
      <c r="I8" s="41" t="s">
        <v>124</v>
      </c>
      <c r="J8" s="41" t="s">
        <v>125</v>
      </c>
      <c r="K8" s="41" t="s">
        <v>126</v>
      </c>
      <c r="L8" s="58" t="s">
        <v>134</v>
      </c>
      <c r="M8" s="53" t="s">
        <v>130</v>
      </c>
      <c r="N8" s="53" t="s">
        <v>136</v>
      </c>
      <c r="O8" s="53" t="s">
        <v>135</v>
      </c>
      <c r="P8" s="53" t="s">
        <v>149</v>
      </c>
      <c r="Q8" s="53" t="s">
        <v>138</v>
      </c>
      <c r="R8" s="53" t="s">
        <v>139</v>
      </c>
      <c r="S8" s="41" t="s">
        <v>120</v>
      </c>
    </row>
    <row r="9" spans="1:19" ht="16.5" x14ac:dyDescent="0.25">
      <c r="C9" s="275">
        <v>202001</v>
      </c>
      <c r="D9" s="43" t="s">
        <v>127</v>
      </c>
      <c r="E9" s="60">
        <v>3500</v>
      </c>
      <c r="F9" s="59">
        <v>180</v>
      </c>
      <c r="G9" s="59">
        <f>1498+50+28+45+109+522+21+898+227+40+30+500+364+1023+687+1970+70+650+640</f>
        <v>9372</v>
      </c>
      <c r="H9" s="60">
        <f>624+1442+1336+65+70+1417+882+30+90+55+75+30+60+40+508+40+30+455+879</f>
        <v>8128</v>
      </c>
      <c r="I9" s="59">
        <f>375+604</f>
        <v>979</v>
      </c>
      <c r="J9" s="60"/>
      <c r="K9" s="60">
        <v>500</v>
      </c>
      <c r="L9" s="60"/>
      <c r="M9" s="60"/>
      <c r="N9" s="60"/>
      <c r="O9" s="60"/>
      <c r="P9" s="60"/>
      <c r="Q9" s="60">
        <f>17000+10000</f>
        <v>27000</v>
      </c>
      <c r="R9" s="60">
        <f>19000+18000+450</f>
        <v>37450</v>
      </c>
      <c r="S9" s="44">
        <f>SUM(E9:R9)</f>
        <v>87109</v>
      </c>
    </row>
    <row r="10" spans="1:19" s="41" customFormat="1" ht="16.5" x14ac:dyDescent="0.25">
      <c r="C10" s="279"/>
      <c r="D10" s="46" t="s">
        <v>128</v>
      </c>
      <c r="E10" s="62"/>
      <c r="F10" s="61"/>
      <c r="G10" s="61"/>
      <c r="H10" s="62"/>
      <c r="I10" s="61">
        <f>1677+1270</f>
        <v>2947</v>
      </c>
      <c r="J10" s="62"/>
      <c r="K10" s="62"/>
      <c r="L10" s="62"/>
      <c r="M10" s="62"/>
      <c r="N10" s="62"/>
      <c r="O10" s="62"/>
      <c r="P10" s="62"/>
      <c r="Q10" s="62">
        <v>4000</v>
      </c>
      <c r="R10" s="62"/>
      <c r="S10" s="47">
        <f>SUM(E10:R10)</f>
        <v>6947</v>
      </c>
    </row>
    <row r="11" spans="1:19" ht="17.25" thickBot="1" x14ac:dyDescent="0.3">
      <c r="C11" s="279"/>
      <c r="D11" s="48" t="s">
        <v>129</v>
      </c>
      <c r="E11" s="63">
        <v>600</v>
      </c>
      <c r="F11" s="63"/>
      <c r="G11" s="63"/>
      <c r="H11" s="63">
        <f>1459+21+1459+21</f>
        <v>2960</v>
      </c>
      <c r="I11" s="63">
        <f>4000</f>
        <v>4000</v>
      </c>
      <c r="J11" s="63"/>
      <c r="K11" s="63"/>
      <c r="L11" s="63"/>
      <c r="M11" s="63"/>
      <c r="N11" s="63"/>
      <c r="O11" s="63"/>
      <c r="P11" s="63"/>
      <c r="Q11" s="63">
        <v>6158</v>
      </c>
      <c r="R11" s="63">
        <v>1500</v>
      </c>
      <c r="S11" s="49">
        <f>SUM(E11:R11)</f>
        <v>15218</v>
      </c>
    </row>
    <row r="12" spans="1:19" x14ac:dyDescent="0.25">
      <c r="D12" s="41" t="s">
        <v>131</v>
      </c>
      <c r="E12" s="64">
        <f>SUM(E9:E11)</f>
        <v>4100</v>
      </c>
      <c r="F12" s="64">
        <f>SUM(F9:F11)</f>
        <v>180</v>
      </c>
      <c r="G12" s="64">
        <f>SUM(G9:G11)</f>
        <v>9372</v>
      </c>
      <c r="H12" s="64">
        <f t="shared" ref="H12:R12" si="2">SUM(H9:H11)</f>
        <v>11088</v>
      </c>
      <c r="I12" s="64">
        <f t="shared" si="2"/>
        <v>7926</v>
      </c>
      <c r="J12" s="64">
        <f t="shared" si="2"/>
        <v>0</v>
      </c>
      <c r="K12" s="64">
        <f t="shared" si="2"/>
        <v>500</v>
      </c>
      <c r="L12" s="64">
        <f t="shared" si="2"/>
        <v>0</v>
      </c>
      <c r="M12" s="64">
        <f t="shared" si="2"/>
        <v>0</v>
      </c>
      <c r="N12" s="64">
        <f t="shared" si="2"/>
        <v>0</v>
      </c>
      <c r="O12" s="64">
        <f>SUM(O9:O11)</f>
        <v>0</v>
      </c>
      <c r="P12" s="64">
        <f t="shared" si="2"/>
        <v>0</v>
      </c>
      <c r="Q12" s="64">
        <f>SUM(Q9:Q11)</f>
        <v>37158</v>
      </c>
      <c r="R12" s="64">
        <f t="shared" si="2"/>
        <v>38950</v>
      </c>
      <c r="S12" s="54">
        <f>SUM(S9:S11)</f>
        <v>109274</v>
      </c>
    </row>
    <row r="13" spans="1:19" ht="15.75" thickBot="1" x14ac:dyDescent="0.3">
      <c r="D13" s="41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50"/>
    </row>
    <row r="14" spans="1:19" ht="16.5" x14ac:dyDescent="0.25">
      <c r="C14" s="275">
        <v>202002</v>
      </c>
      <c r="D14" s="43" t="s">
        <v>127</v>
      </c>
      <c r="E14" s="60">
        <v>3500</v>
      </c>
      <c r="F14" s="59">
        <v>158</v>
      </c>
      <c r="G14" s="59">
        <f>241+35+23+45+28+500+70+687+445+229</f>
        <v>2303</v>
      </c>
      <c r="H14" s="60">
        <f>1479+421+477+1124+1306+1333+400+75+30+1970+399+400+400+24+30+160+90</f>
        <v>10118</v>
      </c>
      <c r="I14" s="59">
        <f>110+185+1140+645+253+86</f>
        <v>2419</v>
      </c>
      <c r="J14" s="60"/>
      <c r="K14" s="60">
        <f>895+394</f>
        <v>1289</v>
      </c>
      <c r="L14" s="60">
        <v>99</v>
      </c>
      <c r="M14" s="60"/>
      <c r="N14" s="60"/>
      <c r="O14" s="60"/>
      <c r="P14" s="60"/>
      <c r="Q14" s="60">
        <f>17000+10000</f>
        <v>27000</v>
      </c>
      <c r="R14" s="60">
        <f>19000+18000+450</f>
        <v>37450</v>
      </c>
      <c r="S14" s="44">
        <f>SUM(E14:R14)</f>
        <v>84336</v>
      </c>
    </row>
    <row r="15" spans="1:19" ht="16.5" x14ac:dyDescent="0.25">
      <c r="C15" s="279"/>
      <c r="D15" s="46" t="s">
        <v>128</v>
      </c>
      <c r="E15" s="62"/>
      <c r="F15" s="61"/>
      <c r="G15" s="61"/>
      <c r="H15" s="62">
        <f>1998+4478+493</f>
        <v>6969</v>
      </c>
      <c r="I15" s="61"/>
      <c r="J15" s="62"/>
      <c r="K15" s="62"/>
      <c r="L15" s="62"/>
      <c r="M15" s="62"/>
      <c r="N15" s="62"/>
      <c r="O15" s="62"/>
      <c r="P15" s="62"/>
      <c r="Q15" s="62"/>
      <c r="R15" s="62"/>
      <c r="S15" s="47">
        <f>SUM(E15:R15)</f>
        <v>6969</v>
      </c>
    </row>
    <row r="16" spans="1:19" ht="17.25" thickBot="1" x14ac:dyDescent="0.3">
      <c r="C16" s="279"/>
      <c r="D16" s="48" t="s">
        <v>129</v>
      </c>
      <c r="E16" s="65"/>
      <c r="F16" s="63"/>
      <c r="G16" s="63">
        <f>28+29+1889+1950</f>
        <v>3896</v>
      </c>
      <c r="H16" s="65"/>
      <c r="I16" s="63">
        <f>3567+1395</f>
        <v>4962</v>
      </c>
      <c r="J16" s="65"/>
      <c r="K16" s="65"/>
      <c r="L16" s="65"/>
      <c r="M16" s="65"/>
      <c r="N16" s="65"/>
      <c r="O16" s="65"/>
      <c r="P16" s="65"/>
      <c r="Q16" s="65">
        <v>6158</v>
      </c>
      <c r="R16" s="63"/>
      <c r="S16" s="49">
        <f>SUM(E16:R16)</f>
        <v>15016</v>
      </c>
    </row>
    <row r="17" spans="3:19" x14ac:dyDescent="0.25">
      <c r="D17" s="41" t="s">
        <v>131</v>
      </c>
      <c r="E17" s="64">
        <f>SUM(E14:E16)</f>
        <v>3500</v>
      </c>
      <c r="F17" s="64">
        <f>SUM(F14:F16)</f>
        <v>158</v>
      </c>
      <c r="G17" s="64">
        <f>SUM(G14:G16)</f>
        <v>6199</v>
      </c>
      <c r="H17" s="64">
        <f t="shared" ref="H17:R17" si="3">SUM(H14:H16)</f>
        <v>17087</v>
      </c>
      <c r="I17" s="64">
        <f t="shared" si="3"/>
        <v>7381</v>
      </c>
      <c r="J17" s="64">
        <f t="shared" si="3"/>
        <v>0</v>
      </c>
      <c r="K17" s="64">
        <f t="shared" si="3"/>
        <v>1289</v>
      </c>
      <c r="L17" s="64">
        <f t="shared" si="3"/>
        <v>99</v>
      </c>
      <c r="M17" s="64">
        <f t="shared" si="3"/>
        <v>0</v>
      </c>
      <c r="N17" s="64">
        <f t="shared" si="3"/>
        <v>0</v>
      </c>
      <c r="O17" s="64">
        <f>SUM(O14:O16)</f>
        <v>0</v>
      </c>
      <c r="P17" s="64">
        <f t="shared" si="3"/>
        <v>0</v>
      </c>
      <c r="Q17" s="64">
        <f t="shared" si="3"/>
        <v>33158</v>
      </c>
      <c r="R17" s="64">
        <f t="shared" si="3"/>
        <v>37450</v>
      </c>
      <c r="S17" s="54">
        <f>SUM(S14:S16)</f>
        <v>106321</v>
      </c>
    </row>
    <row r="18" spans="3:19" ht="15.75" thickBot="1" x14ac:dyDescent="0.3">
      <c r="D18" s="41"/>
      <c r="E18" s="67"/>
      <c r="F18" s="66"/>
      <c r="G18" s="66"/>
      <c r="H18" s="67"/>
      <c r="I18" s="66"/>
      <c r="J18" s="67"/>
      <c r="K18" s="67"/>
      <c r="L18" s="67"/>
      <c r="M18" s="67"/>
      <c r="N18" s="67"/>
      <c r="O18" s="67"/>
      <c r="P18" s="67"/>
      <c r="Q18" s="67"/>
      <c r="R18" s="67"/>
      <c r="S18" s="52"/>
    </row>
    <row r="19" spans="3:19" ht="16.5" x14ac:dyDescent="0.25">
      <c r="C19" s="275">
        <v>202003</v>
      </c>
      <c r="D19" s="43" t="s">
        <v>127</v>
      </c>
      <c r="E19" s="60">
        <v>3500</v>
      </c>
      <c r="F19" s="59">
        <f>660+400</f>
        <v>1060</v>
      </c>
      <c r="G19" s="59">
        <f>1500+35+797+130+150+333+55+231+70+50+38+40+1071+55+50</f>
        <v>4605</v>
      </c>
      <c r="H19" s="60">
        <f>1288+194+1148+3200+55+65+780+94+799+14+103+200+1020+294+799+930+1500</f>
        <v>12483</v>
      </c>
      <c r="I19" s="59"/>
      <c r="J19" s="60">
        <f>122+20+410+10+51+99+158+316</f>
        <v>1186</v>
      </c>
      <c r="K19" s="60">
        <v>500</v>
      </c>
      <c r="L19" s="60"/>
      <c r="M19" s="60"/>
      <c r="N19" s="60"/>
      <c r="O19" s="60"/>
      <c r="P19" s="60"/>
      <c r="Q19" s="60">
        <f>17000+10000</f>
        <v>27000</v>
      </c>
      <c r="R19" s="60">
        <f>19000+18000+450</f>
        <v>37450</v>
      </c>
      <c r="S19" s="44">
        <f>SUM(E19:R19)</f>
        <v>87784</v>
      </c>
    </row>
    <row r="20" spans="3:19" s="41" customFormat="1" ht="16.5" x14ac:dyDescent="0.25">
      <c r="C20" s="279"/>
      <c r="D20" s="46" t="s">
        <v>128</v>
      </c>
      <c r="E20" s="62"/>
      <c r="F20" s="61"/>
      <c r="G20" s="61"/>
      <c r="H20" s="62">
        <f>981</f>
        <v>981</v>
      </c>
      <c r="I20" s="61"/>
      <c r="J20" s="62"/>
      <c r="K20" s="62"/>
      <c r="L20" s="62"/>
      <c r="M20" s="62"/>
      <c r="N20" s="62"/>
      <c r="O20" s="62"/>
      <c r="P20" s="62"/>
      <c r="Q20" s="62"/>
      <c r="R20" s="62"/>
      <c r="S20" s="47">
        <f>SUM(E20:R20)</f>
        <v>981</v>
      </c>
    </row>
    <row r="21" spans="3:19" ht="17.25" thickBot="1" x14ac:dyDescent="0.3">
      <c r="C21" s="279"/>
      <c r="D21" s="48" t="s">
        <v>129</v>
      </c>
      <c r="E21" s="63"/>
      <c r="F21" s="63"/>
      <c r="G21" s="63"/>
      <c r="H21" s="63"/>
      <c r="I21" s="63"/>
      <c r="J21" s="65">
        <v>4348</v>
      </c>
      <c r="K21" s="63"/>
      <c r="L21" s="63"/>
      <c r="M21" s="63"/>
      <c r="N21" s="63"/>
      <c r="O21" s="63"/>
      <c r="P21" s="63"/>
      <c r="Q21" s="63">
        <v>6158</v>
      </c>
      <c r="R21" s="63"/>
      <c r="S21" s="49">
        <f>SUM(E21:R21)</f>
        <v>10506</v>
      </c>
    </row>
    <row r="22" spans="3:19" x14ac:dyDescent="0.25">
      <c r="D22" s="41" t="s">
        <v>131</v>
      </c>
      <c r="E22" s="64">
        <f>SUM(E19:E21)</f>
        <v>3500</v>
      </c>
      <c r="F22" s="64">
        <f>SUM(F19:F21)</f>
        <v>1060</v>
      </c>
      <c r="G22" s="64">
        <f>SUM(G19:G21)</f>
        <v>4605</v>
      </c>
      <c r="H22" s="64">
        <f t="shared" ref="H22:R22" si="4">SUM(H19:H21)</f>
        <v>13464</v>
      </c>
      <c r="I22" s="64">
        <f t="shared" si="4"/>
        <v>0</v>
      </c>
      <c r="J22" s="64">
        <f t="shared" si="4"/>
        <v>5534</v>
      </c>
      <c r="K22" s="64">
        <f t="shared" si="4"/>
        <v>500</v>
      </c>
      <c r="L22" s="64">
        <f t="shared" si="4"/>
        <v>0</v>
      </c>
      <c r="M22" s="64">
        <f t="shared" si="4"/>
        <v>0</v>
      </c>
      <c r="N22" s="64">
        <f t="shared" si="4"/>
        <v>0</v>
      </c>
      <c r="O22" s="64">
        <f>SUM(O19:O21)</f>
        <v>0</v>
      </c>
      <c r="P22" s="64">
        <f t="shared" si="4"/>
        <v>0</v>
      </c>
      <c r="Q22" s="64">
        <f t="shared" si="4"/>
        <v>33158</v>
      </c>
      <c r="R22" s="64">
        <f t="shared" si="4"/>
        <v>37450</v>
      </c>
      <c r="S22" s="54">
        <f>SUM(S19:S21)</f>
        <v>99271</v>
      </c>
    </row>
    <row r="23" spans="3:19" ht="15.75" thickBot="1" x14ac:dyDescent="0.3">
      <c r="D23" s="41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50"/>
    </row>
    <row r="24" spans="3:19" ht="16.5" x14ac:dyDescent="0.25">
      <c r="C24" s="275">
        <v>202004</v>
      </c>
      <c r="D24" s="43" t="s">
        <v>127</v>
      </c>
      <c r="E24" s="60">
        <v>3500</v>
      </c>
      <c r="F24" s="59"/>
      <c r="G24" s="59">
        <f>87+274+31+922+59+77+99+37+149+1970+1039+70+199+500+500+8+1568+500+577+343+990+70+933</f>
        <v>11002</v>
      </c>
      <c r="H24" s="60"/>
      <c r="I24" s="59"/>
      <c r="J24" s="60"/>
      <c r="K24" s="60">
        <v>894</v>
      </c>
      <c r="L24" s="60"/>
      <c r="M24" s="60"/>
      <c r="N24" s="60"/>
      <c r="O24" s="60"/>
      <c r="P24" s="60"/>
      <c r="Q24" s="60">
        <f>17000+10000</f>
        <v>27000</v>
      </c>
      <c r="R24" s="60">
        <f>18000+450</f>
        <v>18450</v>
      </c>
      <c r="S24" s="44">
        <f>SUM(E24:R24)</f>
        <v>60846</v>
      </c>
    </row>
    <row r="25" spans="3:19" ht="16.5" x14ac:dyDescent="0.25">
      <c r="C25" s="279"/>
      <c r="D25" s="46" t="s">
        <v>128</v>
      </c>
      <c r="E25" s="62"/>
      <c r="F25" s="61"/>
      <c r="G25" s="61">
        <v>16000</v>
      </c>
      <c r="H25" s="62"/>
      <c r="I25" s="61"/>
      <c r="J25" s="62"/>
      <c r="K25" s="62"/>
      <c r="L25" s="62"/>
      <c r="M25" s="62"/>
      <c r="N25" s="62"/>
      <c r="O25" s="62"/>
      <c r="P25" s="62"/>
      <c r="Q25" s="62"/>
      <c r="R25" s="62"/>
      <c r="S25" s="47">
        <f>SUM(E25:R25)</f>
        <v>16000</v>
      </c>
    </row>
    <row r="26" spans="3:19" ht="17.25" thickBot="1" x14ac:dyDescent="0.3">
      <c r="C26" s="279"/>
      <c r="D26" s="48" t="s">
        <v>129</v>
      </c>
      <c r="E26" s="65"/>
      <c r="F26" s="63"/>
      <c r="G26" s="63">
        <f>2700*2+7118</f>
        <v>12518</v>
      </c>
      <c r="H26" s="65"/>
      <c r="I26" s="63"/>
      <c r="J26" s="65"/>
      <c r="K26" s="65"/>
      <c r="L26" s="65"/>
      <c r="M26" s="65"/>
      <c r="N26" s="65"/>
      <c r="O26" s="65"/>
      <c r="P26" s="65"/>
      <c r="Q26" s="65">
        <v>6158</v>
      </c>
      <c r="R26" s="63">
        <v>600</v>
      </c>
      <c r="S26" s="49">
        <f>SUM(E26:R26)</f>
        <v>19276</v>
      </c>
    </row>
    <row r="27" spans="3:19" x14ac:dyDescent="0.25">
      <c r="D27" s="41" t="s">
        <v>131</v>
      </c>
      <c r="E27" s="64">
        <f>SUM(E24:E26)</f>
        <v>3500</v>
      </c>
      <c r="F27" s="64">
        <f>SUM(F24:F26)</f>
        <v>0</v>
      </c>
      <c r="G27" s="64">
        <f>SUM(G24:G26)</f>
        <v>39520</v>
      </c>
      <c r="H27" s="64">
        <f t="shared" ref="H27:R27" si="5">SUM(H24:H26)</f>
        <v>0</v>
      </c>
      <c r="I27" s="64">
        <f t="shared" si="5"/>
        <v>0</v>
      </c>
      <c r="J27" s="64">
        <f t="shared" si="5"/>
        <v>0</v>
      </c>
      <c r="K27" s="64">
        <f t="shared" si="5"/>
        <v>894</v>
      </c>
      <c r="L27" s="64">
        <f t="shared" si="5"/>
        <v>0</v>
      </c>
      <c r="M27" s="64">
        <f t="shared" si="5"/>
        <v>0</v>
      </c>
      <c r="N27" s="64">
        <f t="shared" si="5"/>
        <v>0</v>
      </c>
      <c r="O27" s="64">
        <f>SUM(O24:O26)</f>
        <v>0</v>
      </c>
      <c r="P27" s="64">
        <f t="shared" si="5"/>
        <v>0</v>
      </c>
      <c r="Q27" s="64">
        <f t="shared" si="5"/>
        <v>33158</v>
      </c>
      <c r="R27" s="64">
        <f t="shared" si="5"/>
        <v>19050</v>
      </c>
      <c r="S27" s="54">
        <f>SUM(S24:S26)</f>
        <v>96122</v>
      </c>
    </row>
    <row r="28" spans="3:19" ht="15.75" thickBot="1" x14ac:dyDescent="0.3">
      <c r="D28" s="41"/>
      <c r="E28" s="67"/>
      <c r="F28" s="66"/>
      <c r="G28" s="66"/>
      <c r="H28" s="67"/>
      <c r="I28" s="66"/>
      <c r="J28" s="67"/>
      <c r="K28" s="67"/>
      <c r="L28" s="67"/>
      <c r="M28" s="67"/>
      <c r="N28" s="67"/>
      <c r="O28" s="67"/>
      <c r="P28" s="67"/>
      <c r="Q28" s="67"/>
      <c r="R28" s="67"/>
      <c r="S28" s="52"/>
    </row>
    <row r="29" spans="3:19" ht="16.5" x14ac:dyDescent="0.25">
      <c r="C29" s="275">
        <v>202005</v>
      </c>
      <c r="D29" s="43" t="s">
        <v>127</v>
      </c>
      <c r="E29" s="60">
        <v>3500</v>
      </c>
      <c r="F29" s="59"/>
      <c r="G29" s="59">
        <f>84+35+52+57+500+500+35+38+38+42+59+175+972+809+961+70+695</f>
        <v>5122</v>
      </c>
      <c r="H29" s="60"/>
      <c r="I29" s="59">
        <f>278</f>
        <v>278</v>
      </c>
      <c r="J29" s="60"/>
      <c r="K29" s="60">
        <v>52</v>
      </c>
      <c r="L29" s="60"/>
      <c r="M29" s="60"/>
      <c r="N29" s="60"/>
      <c r="O29" s="60"/>
      <c r="P29" s="60"/>
      <c r="Q29" s="60">
        <f>17000+10000</f>
        <v>27000</v>
      </c>
      <c r="R29" s="60">
        <f>18000+450</f>
        <v>18450</v>
      </c>
      <c r="S29" s="44">
        <f>SUM(E29:R29)</f>
        <v>54402</v>
      </c>
    </row>
    <row r="30" spans="3:19" ht="16.5" x14ac:dyDescent="0.25">
      <c r="C30" s="279"/>
      <c r="D30" s="46" t="s">
        <v>128</v>
      </c>
      <c r="E30" s="62"/>
      <c r="F30" s="61"/>
      <c r="G30" s="61"/>
      <c r="H30" s="62"/>
      <c r="I30" s="61"/>
      <c r="J30" s="62"/>
      <c r="K30" s="62"/>
      <c r="L30" s="62"/>
      <c r="M30" s="62"/>
      <c r="N30" s="62"/>
      <c r="O30" s="62"/>
      <c r="P30" s="62"/>
      <c r="Q30" s="62"/>
      <c r="R30" s="62"/>
      <c r="S30" s="47">
        <f>SUM(E30:R30)</f>
        <v>0</v>
      </c>
    </row>
    <row r="31" spans="3:19" ht="17.25" thickBot="1" x14ac:dyDescent="0.3">
      <c r="C31" s="279"/>
      <c r="D31" s="48" t="s">
        <v>129</v>
      </c>
      <c r="E31" s="65"/>
      <c r="F31" s="63"/>
      <c r="G31" s="63">
        <f>6633+1440</f>
        <v>8073</v>
      </c>
      <c r="H31" s="65"/>
      <c r="I31" s="63"/>
      <c r="J31" s="65"/>
      <c r="K31" s="65"/>
      <c r="L31" s="65"/>
      <c r="M31" s="65"/>
      <c r="N31" s="65"/>
      <c r="O31" s="65"/>
      <c r="P31" s="65"/>
      <c r="Q31" s="65"/>
      <c r="R31" s="63"/>
      <c r="S31" s="49">
        <f>SUM(E31:R31)</f>
        <v>8073</v>
      </c>
    </row>
    <row r="32" spans="3:19" x14ac:dyDescent="0.25">
      <c r="D32" s="41" t="s">
        <v>131</v>
      </c>
      <c r="E32" s="64">
        <f>SUM(E29:E31)</f>
        <v>3500</v>
      </c>
      <c r="F32" s="64">
        <f>SUM(F29:F31)</f>
        <v>0</v>
      </c>
      <c r="G32" s="64">
        <f>SUM(G29:G31)</f>
        <v>13195</v>
      </c>
      <c r="H32" s="64">
        <f t="shared" ref="H32:R32" si="6">SUM(H29:H31)</f>
        <v>0</v>
      </c>
      <c r="I32" s="64">
        <f t="shared" si="6"/>
        <v>278</v>
      </c>
      <c r="J32" s="64">
        <f t="shared" si="6"/>
        <v>0</v>
      </c>
      <c r="K32" s="64">
        <f t="shared" si="6"/>
        <v>52</v>
      </c>
      <c r="L32" s="64">
        <f t="shared" si="6"/>
        <v>0</v>
      </c>
      <c r="M32" s="64">
        <f t="shared" si="6"/>
        <v>0</v>
      </c>
      <c r="N32" s="64">
        <f t="shared" si="6"/>
        <v>0</v>
      </c>
      <c r="O32" s="64">
        <f>SUM(O29:O31)</f>
        <v>0</v>
      </c>
      <c r="P32" s="64">
        <f t="shared" si="6"/>
        <v>0</v>
      </c>
      <c r="Q32" s="64">
        <f t="shared" si="6"/>
        <v>27000</v>
      </c>
      <c r="R32" s="64">
        <f t="shared" si="6"/>
        <v>18450</v>
      </c>
      <c r="S32" s="54">
        <f>SUM(S29:S31)</f>
        <v>62475</v>
      </c>
    </row>
    <row r="33" spans="3:19" ht="15.75" thickBot="1" x14ac:dyDescent="0.3">
      <c r="D33" s="41"/>
      <c r="E33" s="68"/>
      <c r="F33" s="64"/>
      <c r="G33" s="64"/>
      <c r="H33" s="68"/>
      <c r="I33" s="64"/>
      <c r="J33" s="68"/>
      <c r="K33" s="68"/>
      <c r="L33" s="68"/>
      <c r="M33" s="68"/>
      <c r="N33" s="68"/>
      <c r="O33" s="68"/>
      <c r="P33" s="68"/>
      <c r="Q33" s="68"/>
      <c r="R33" s="68"/>
      <c r="S33" s="52"/>
    </row>
    <row r="34" spans="3:19" ht="16.5" x14ac:dyDescent="0.25">
      <c r="C34" s="275">
        <v>202006</v>
      </c>
      <c r="D34" s="43" t="s">
        <v>127</v>
      </c>
      <c r="E34" s="60">
        <v>3500</v>
      </c>
      <c r="F34" s="59">
        <f>126+106+229</f>
        <v>461</v>
      </c>
      <c r="G34" s="59">
        <f>500+279+21+209+209+118+86+31+168+241+400+1176+740+500+158+187+500+687+70</f>
        <v>6280</v>
      </c>
      <c r="H34" s="60">
        <f>1238+400+1273+1136+181+90+90+35+130+115+173+249+58+114+1000+2+50+50+70+97+874+114+799+142</f>
        <v>8480</v>
      </c>
      <c r="I34" s="59">
        <f>896+799+740</f>
        <v>2435</v>
      </c>
      <c r="J34" s="60"/>
      <c r="K34" s="60"/>
      <c r="L34" s="60"/>
      <c r="M34" s="60"/>
      <c r="N34" s="60"/>
      <c r="O34" s="60"/>
      <c r="P34" s="60"/>
      <c r="Q34" s="60">
        <f>17000+10000</f>
        <v>27000</v>
      </c>
      <c r="R34" s="60">
        <f>18000+450</f>
        <v>18450</v>
      </c>
      <c r="S34" s="44">
        <f>SUM(E34:R34)</f>
        <v>66606</v>
      </c>
    </row>
    <row r="35" spans="3:19" ht="16.5" x14ac:dyDescent="0.25">
      <c r="C35" s="279"/>
      <c r="D35" s="46" t="s">
        <v>128</v>
      </c>
      <c r="E35" s="62"/>
      <c r="F35" s="61">
        <f>3630+1480</f>
        <v>5110</v>
      </c>
      <c r="G35" s="61"/>
      <c r="H35" s="62">
        <f>1295+1036+672</f>
        <v>3003</v>
      </c>
      <c r="I35" s="61"/>
      <c r="J35" s="62"/>
      <c r="K35" s="62"/>
      <c r="L35" s="62"/>
      <c r="M35" s="62"/>
      <c r="N35" s="62"/>
      <c r="O35" s="62"/>
      <c r="P35" s="62"/>
      <c r="Q35" s="62"/>
      <c r="R35" s="62"/>
      <c r="S35" s="47">
        <f>SUM(E35:R35)</f>
        <v>8113</v>
      </c>
    </row>
    <row r="36" spans="3:19" ht="17.25" thickBot="1" x14ac:dyDescent="0.3">
      <c r="C36" s="279"/>
      <c r="D36" s="48" t="s">
        <v>129</v>
      </c>
      <c r="E36" s="63"/>
      <c r="F36" s="63">
        <v>39499</v>
      </c>
      <c r="G36" s="63">
        <f>4439+4686+32917</f>
        <v>42042</v>
      </c>
      <c r="H36" s="63">
        <f>2500</f>
        <v>2500</v>
      </c>
      <c r="I36" s="63">
        <v>2123</v>
      </c>
      <c r="J36" s="63"/>
      <c r="K36" s="63">
        <v>6204</v>
      </c>
      <c r="L36" s="63"/>
      <c r="M36" s="63"/>
      <c r="N36" s="63"/>
      <c r="O36" s="63"/>
      <c r="P36" s="63"/>
      <c r="Q36" s="63"/>
      <c r="R36" s="63"/>
      <c r="S36" s="49">
        <f>SUM(E36:R36)</f>
        <v>92368</v>
      </c>
    </row>
    <row r="37" spans="3:19" x14ac:dyDescent="0.25">
      <c r="D37" s="41" t="s">
        <v>131</v>
      </c>
      <c r="E37" s="64">
        <f>SUM(E34:E36)</f>
        <v>3500</v>
      </c>
      <c r="F37" s="64">
        <f>SUM(F34:F36)</f>
        <v>45070</v>
      </c>
      <c r="G37" s="64">
        <f>SUM(G34:G36)</f>
        <v>48322</v>
      </c>
      <c r="H37" s="64">
        <f t="shared" ref="H37:R37" si="7">SUM(H34:H36)</f>
        <v>13983</v>
      </c>
      <c r="I37" s="64">
        <f t="shared" si="7"/>
        <v>4558</v>
      </c>
      <c r="J37" s="64">
        <f t="shared" si="7"/>
        <v>0</v>
      </c>
      <c r="K37" s="64">
        <f t="shared" si="7"/>
        <v>6204</v>
      </c>
      <c r="L37" s="64">
        <f t="shared" si="7"/>
        <v>0</v>
      </c>
      <c r="M37" s="64">
        <f t="shared" si="7"/>
        <v>0</v>
      </c>
      <c r="N37" s="64">
        <f t="shared" si="7"/>
        <v>0</v>
      </c>
      <c r="O37" s="64">
        <f>SUM(O34:O36)</f>
        <v>0</v>
      </c>
      <c r="P37" s="64">
        <f t="shared" si="7"/>
        <v>0</v>
      </c>
      <c r="Q37" s="64">
        <f t="shared" si="7"/>
        <v>27000</v>
      </c>
      <c r="R37" s="64">
        <f t="shared" si="7"/>
        <v>18450</v>
      </c>
      <c r="S37" s="54">
        <f>SUM(S34:S36)</f>
        <v>167087</v>
      </c>
    </row>
    <row r="38" spans="3:19" ht="15.75" thickBot="1" x14ac:dyDescent="0.3">
      <c r="D38" s="41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50"/>
    </row>
    <row r="39" spans="3:19" ht="16.5" x14ac:dyDescent="0.25">
      <c r="C39" s="275">
        <v>202007</v>
      </c>
      <c r="D39" s="43" t="s">
        <v>127</v>
      </c>
      <c r="E39" s="60">
        <v>3500</v>
      </c>
      <c r="F39" s="59">
        <f>130+98+110+690+70</f>
        <v>1098</v>
      </c>
      <c r="G39" s="59">
        <f>325+296+61+264+82+186+1243+276+30+171+75+135+32+97+185+73+70+171+687</f>
        <v>4459</v>
      </c>
      <c r="H39" s="60">
        <f>15+465+39+189+114</f>
        <v>822</v>
      </c>
      <c r="I39" s="59">
        <f>2110+240+781+957</f>
        <v>4088</v>
      </c>
      <c r="J39" s="60"/>
      <c r="K39" s="60"/>
      <c r="L39" s="60"/>
      <c r="M39" s="60"/>
      <c r="N39" s="60"/>
      <c r="O39" s="60"/>
      <c r="P39" s="60"/>
      <c r="Q39" s="60">
        <f>17000+10000</f>
        <v>27000</v>
      </c>
      <c r="R39" s="60">
        <f>18000+450</f>
        <v>18450</v>
      </c>
      <c r="S39" s="44">
        <f>SUM(E39:R39)</f>
        <v>59417</v>
      </c>
    </row>
    <row r="40" spans="3:19" ht="16.5" x14ac:dyDescent="0.25">
      <c r="C40" s="279"/>
      <c r="D40" s="46" t="s">
        <v>128</v>
      </c>
      <c r="E40" s="62"/>
      <c r="F40" s="61">
        <f>1870+398</f>
        <v>2268</v>
      </c>
      <c r="G40" s="61"/>
      <c r="H40" s="62"/>
      <c r="I40" s="61"/>
      <c r="J40" s="62"/>
      <c r="K40" s="62"/>
      <c r="L40" s="62"/>
      <c r="M40" s="62"/>
      <c r="N40" s="62"/>
      <c r="O40" s="62"/>
      <c r="P40" s="62"/>
      <c r="Q40" s="62"/>
      <c r="R40" s="62"/>
      <c r="S40" s="47">
        <f>SUM(E40:R40)</f>
        <v>2268</v>
      </c>
    </row>
    <row r="41" spans="3:19" ht="17.25" thickBot="1" x14ac:dyDescent="0.3">
      <c r="C41" s="279"/>
      <c r="D41" s="48" t="s">
        <v>129</v>
      </c>
      <c r="E41" s="65"/>
      <c r="F41" s="63">
        <f>4800+750+358+1000</f>
        <v>6908</v>
      </c>
      <c r="G41" s="63">
        <v>384</v>
      </c>
      <c r="H41" s="65">
        <v>427</v>
      </c>
      <c r="I41" s="63"/>
      <c r="J41" s="65"/>
      <c r="K41" s="65"/>
      <c r="L41" s="65"/>
      <c r="M41" s="65"/>
      <c r="N41" s="65"/>
      <c r="O41" s="65"/>
      <c r="P41" s="65"/>
      <c r="Q41" s="65"/>
      <c r="R41" s="63"/>
      <c r="S41" s="49">
        <f>SUM(E41:R41)</f>
        <v>7719</v>
      </c>
    </row>
    <row r="42" spans="3:19" x14ac:dyDescent="0.25">
      <c r="D42" s="41" t="s">
        <v>131</v>
      </c>
      <c r="E42" s="64">
        <f>SUM(E39:E41)</f>
        <v>3500</v>
      </c>
      <c r="F42" s="64">
        <f>SUM(F39:F41)</f>
        <v>10274</v>
      </c>
      <c r="G42" s="64">
        <f>SUM(G39:G41)</f>
        <v>4843</v>
      </c>
      <c r="H42" s="64">
        <f t="shared" ref="H42:R42" si="8">SUM(H39:H41)</f>
        <v>1249</v>
      </c>
      <c r="I42" s="64">
        <f t="shared" si="8"/>
        <v>4088</v>
      </c>
      <c r="J42" s="64">
        <f t="shared" si="8"/>
        <v>0</v>
      </c>
      <c r="K42" s="64">
        <f t="shared" si="8"/>
        <v>0</v>
      </c>
      <c r="L42" s="64">
        <f t="shared" si="8"/>
        <v>0</v>
      </c>
      <c r="M42" s="64">
        <f t="shared" si="8"/>
        <v>0</v>
      </c>
      <c r="N42" s="64">
        <f t="shared" si="8"/>
        <v>0</v>
      </c>
      <c r="O42" s="64">
        <f>SUM(O39:O41)</f>
        <v>0</v>
      </c>
      <c r="P42" s="64">
        <f t="shared" si="8"/>
        <v>0</v>
      </c>
      <c r="Q42" s="64">
        <f t="shared" si="8"/>
        <v>27000</v>
      </c>
      <c r="R42" s="64">
        <f t="shared" si="8"/>
        <v>18450</v>
      </c>
      <c r="S42" s="54">
        <f>SUM(S39:S41)</f>
        <v>69404</v>
      </c>
    </row>
    <row r="43" spans="3:19" ht="15.75" thickBot="1" x14ac:dyDescent="0.3">
      <c r="D43" s="41"/>
      <c r="E43" s="67"/>
      <c r="F43" s="66"/>
      <c r="G43" s="66"/>
      <c r="H43" s="67"/>
      <c r="I43" s="66"/>
      <c r="J43" s="67"/>
      <c r="K43" s="67"/>
      <c r="L43" s="67"/>
      <c r="M43" s="67"/>
      <c r="N43" s="67"/>
      <c r="O43" s="67"/>
      <c r="P43" s="67"/>
      <c r="Q43" s="67"/>
      <c r="R43" s="67"/>
      <c r="S43" s="52"/>
    </row>
    <row r="44" spans="3:19" ht="16.5" x14ac:dyDescent="0.25">
      <c r="C44" s="275">
        <v>202008</v>
      </c>
      <c r="D44" s="43" t="s">
        <v>127</v>
      </c>
      <c r="E44" s="60">
        <v>3500</v>
      </c>
      <c r="F44" s="59">
        <f>821+264+75+89</f>
        <v>1249</v>
      </c>
      <c r="G44" s="59">
        <f>500+140+63+145+73+411+524+17+28+59+26+273+41+17+343+15+18+9+423+1000+500+178+1271+429+763+5+1200+142+35+60+315+325+70+77+691+792+500+677+37+2662+19+31+70+125+240+688+500+500+500+500+130+50+225+135+50+117+129+30+65+200+185+570+570</f>
        <v>20483</v>
      </c>
      <c r="H44" s="60">
        <f>1219+400+1152+753+802</f>
        <v>4326</v>
      </c>
      <c r="I44" s="59">
        <f>640+1572+2010+1671+793+1101+410+2390+1468</f>
        <v>12055</v>
      </c>
      <c r="J44" s="60"/>
      <c r="K44" s="60"/>
      <c r="L44" s="60"/>
      <c r="M44" s="60"/>
      <c r="N44" s="60"/>
      <c r="O44" s="60"/>
      <c r="P44" s="60">
        <v>3640</v>
      </c>
      <c r="Q44" s="60">
        <f>17000+10000</f>
        <v>27000</v>
      </c>
      <c r="R44" s="60"/>
      <c r="S44" s="44">
        <f>SUM(E44:R44)</f>
        <v>72253</v>
      </c>
    </row>
    <row r="45" spans="3:19" ht="16.5" x14ac:dyDescent="0.25">
      <c r="C45" s="279"/>
      <c r="D45" s="46" t="s">
        <v>128</v>
      </c>
      <c r="E45" s="62"/>
      <c r="F45" s="61"/>
      <c r="G45" s="61"/>
      <c r="H45" s="62"/>
      <c r="I45" s="61">
        <f>2150</f>
        <v>2150</v>
      </c>
      <c r="J45" s="62"/>
      <c r="K45" s="62"/>
      <c r="L45" s="62"/>
      <c r="M45" s="62"/>
      <c r="N45" s="62"/>
      <c r="O45" s="62"/>
      <c r="P45" s="62"/>
      <c r="Q45" s="62"/>
      <c r="R45" s="62"/>
      <c r="S45" s="47">
        <f>SUM(E45:R45)</f>
        <v>2150</v>
      </c>
    </row>
    <row r="46" spans="3:19" ht="17.25" thickBot="1" x14ac:dyDescent="0.3">
      <c r="C46" s="279"/>
      <c r="D46" s="48" t="s">
        <v>129</v>
      </c>
      <c r="E46" s="65"/>
      <c r="F46" s="63"/>
      <c r="G46" s="63">
        <f>2879+4288+64</f>
        <v>7231</v>
      </c>
      <c r="H46" s="65">
        <v>1000</v>
      </c>
      <c r="I46" s="63">
        <f>1848+1068+2107+7500</f>
        <v>12523</v>
      </c>
      <c r="J46" s="65"/>
      <c r="K46" s="65"/>
      <c r="L46" s="65"/>
      <c r="M46" s="65"/>
      <c r="N46" s="65"/>
      <c r="O46" s="65"/>
      <c r="P46" s="65"/>
      <c r="Q46" s="65"/>
      <c r="R46" s="63"/>
      <c r="S46" s="49">
        <f>SUM(E46:R46)</f>
        <v>20754</v>
      </c>
    </row>
    <row r="47" spans="3:19" x14ac:dyDescent="0.25">
      <c r="D47" s="41" t="s">
        <v>131</v>
      </c>
      <c r="E47" s="64">
        <f>SUM(E44:E46)</f>
        <v>3500</v>
      </c>
      <c r="F47" s="64">
        <f>SUM(F44:F46)</f>
        <v>1249</v>
      </c>
      <c r="G47" s="64">
        <f>SUM(G44:G46)</f>
        <v>27714</v>
      </c>
      <c r="H47" s="64">
        <f t="shared" ref="H47:R47" si="9">SUM(H44:H46)</f>
        <v>5326</v>
      </c>
      <c r="I47" s="64">
        <f t="shared" si="9"/>
        <v>26728</v>
      </c>
      <c r="J47" s="64">
        <f t="shared" si="9"/>
        <v>0</v>
      </c>
      <c r="K47" s="64">
        <f t="shared" si="9"/>
        <v>0</v>
      </c>
      <c r="L47" s="64">
        <f t="shared" si="9"/>
        <v>0</v>
      </c>
      <c r="M47" s="64">
        <f t="shared" si="9"/>
        <v>0</v>
      </c>
      <c r="N47" s="64">
        <f t="shared" si="9"/>
        <v>0</v>
      </c>
      <c r="O47" s="64">
        <f>SUM(O44:O46)</f>
        <v>0</v>
      </c>
      <c r="P47" s="64">
        <f t="shared" si="9"/>
        <v>3640</v>
      </c>
      <c r="Q47" s="64">
        <f t="shared" si="9"/>
        <v>27000</v>
      </c>
      <c r="R47" s="64">
        <f t="shared" si="9"/>
        <v>0</v>
      </c>
      <c r="S47" s="54">
        <f>SUM(S44:S46)</f>
        <v>95157</v>
      </c>
    </row>
    <row r="48" spans="3:19" ht="15.75" thickBot="1" x14ac:dyDescent="0.3"/>
    <row r="49" spans="3:21" ht="16.5" x14ac:dyDescent="0.25">
      <c r="C49" s="275">
        <v>202009</v>
      </c>
      <c r="D49" s="43" t="s">
        <v>127</v>
      </c>
      <c r="E49" s="60">
        <v>3500</v>
      </c>
      <c r="F49" s="59">
        <v>116</v>
      </c>
      <c r="G49" s="59">
        <f>500+125+240+21+2310+54+6+27+174+105+1155+21+500+80+500</f>
        <v>5818</v>
      </c>
      <c r="H49" s="60">
        <f>1282+114+400+114+744+1227+114+1176+114+770+801</f>
        <v>6856</v>
      </c>
      <c r="I49" s="59">
        <f>75+1225+1209</f>
        <v>2509</v>
      </c>
      <c r="J49" s="60"/>
      <c r="K49" s="60"/>
      <c r="L49" s="60"/>
      <c r="M49" s="60"/>
      <c r="N49" s="60"/>
      <c r="O49" s="60"/>
      <c r="P49" s="60"/>
      <c r="Q49" s="60">
        <f>17000+10000</f>
        <v>27000</v>
      </c>
      <c r="R49" s="60">
        <f>18000+6500+6600</f>
        <v>31100</v>
      </c>
      <c r="S49" s="44">
        <f>SUM(E49:R49)</f>
        <v>76899</v>
      </c>
      <c r="T49" s="52"/>
      <c r="U49" s="45">
        <v>350</v>
      </c>
    </row>
    <row r="50" spans="3:21" ht="16.5" x14ac:dyDescent="0.25">
      <c r="C50" s="279"/>
      <c r="D50" s="46" t="s">
        <v>128</v>
      </c>
      <c r="E50" s="62"/>
      <c r="F50" s="61">
        <f>760+1399</f>
        <v>2159</v>
      </c>
      <c r="G50" s="61"/>
      <c r="H50" s="62"/>
      <c r="I50" s="61"/>
      <c r="J50" s="62">
        <f>396+272</f>
        <v>668</v>
      </c>
      <c r="K50" s="62"/>
      <c r="L50" s="62"/>
      <c r="M50" s="62"/>
      <c r="N50" s="62"/>
      <c r="O50" s="62"/>
      <c r="P50" s="62"/>
      <c r="Q50" s="62"/>
      <c r="R50" s="62"/>
      <c r="S50" s="47">
        <f>SUM(E50:R50)</f>
        <v>2827</v>
      </c>
    </row>
    <row r="51" spans="3:21" ht="17.25" thickBot="1" x14ac:dyDescent="0.3">
      <c r="C51" s="279"/>
      <c r="D51" s="48" t="s">
        <v>129</v>
      </c>
      <c r="E51" s="65">
        <f>1050000+19352</f>
        <v>1069352</v>
      </c>
      <c r="F51" s="63"/>
      <c r="G51" s="63">
        <f>2464</f>
        <v>2464</v>
      </c>
      <c r="H51" s="65">
        <v>100000</v>
      </c>
      <c r="I51" s="63">
        <v>62505</v>
      </c>
      <c r="J51" s="65"/>
      <c r="K51" s="65"/>
      <c r="L51" s="65"/>
      <c r="M51" s="65"/>
      <c r="N51" s="65"/>
      <c r="O51" s="65"/>
      <c r="P51" s="65"/>
      <c r="Q51" s="65">
        <v>1000</v>
      </c>
      <c r="R51" s="63">
        <f>2890+500</f>
        <v>3390</v>
      </c>
      <c r="S51" s="49">
        <f>SUM(E51:R51)</f>
        <v>1238711</v>
      </c>
    </row>
    <row r="52" spans="3:21" x14ac:dyDescent="0.25">
      <c r="D52" s="41" t="s">
        <v>131</v>
      </c>
      <c r="E52" s="64">
        <f>SUM(E49:E51)</f>
        <v>1072852</v>
      </c>
      <c r="F52" s="64">
        <f>SUM(F49:F51)</f>
        <v>2275</v>
      </c>
      <c r="G52" s="64">
        <f>SUM(G49:G51)</f>
        <v>8282</v>
      </c>
      <c r="H52" s="64">
        <f t="shared" ref="H52:R52" si="10">SUM(H49:H51)</f>
        <v>106856</v>
      </c>
      <c r="I52" s="64">
        <f t="shared" si="10"/>
        <v>65014</v>
      </c>
      <c r="J52" s="64">
        <f t="shared" si="10"/>
        <v>668</v>
      </c>
      <c r="K52" s="64">
        <f t="shared" si="10"/>
        <v>0</v>
      </c>
      <c r="L52" s="64">
        <f t="shared" si="10"/>
        <v>0</v>
      </c>
      <c r="M52" s="64">
        <f t="shared" si="10"/>
        <v>0</v>
      </c>
      <c r="N52" s="64">
        <f t="shared" si="10"/>
        <v>0</v>
      </c>
      <c r="O52" s="64">
        <f>SUM(O49:O51)</f>
        <v>0</v>
      </c>
      <c r="P52" s="64">
        <f t="shared" si="10"/>
        <v>0</v>
      </c>
      <c r="Q52" s="64">
        <f t="shared" si="10"/>
        <v>28000</v>
      </c>
      <c r="R52" s="64">
        <f t="shared" si="10"/>
        <v>34490</v>
      </c>
      <c r="S52" s="54">
        <f>SUM(S49:S51)</f>
        <v>1318437</v>
      </c>
    </row>
    <row r="53" spans="3:21" ht="15.75" thickBot="1" x14ac:dyDescent="0.3"/>
    <row r="54" spans="3:21" ht="16.5" x14ac:dyDescent="0.25">
      <c r="C54" s="275">
        <v>202010</v>
      </c>
      <c r="D54" s="43" t="s">
        <v>127</v>
      </c>
      <c r="E54" s="60">
        <v>3500</v>
      </c>
      <c r="F54" s="59">
        <v>100</v>
      </c>
      <c r="G54" s="59">
        <f>100+991+200+70+417+2172+70+687+1230+39+123+949+1205+9+390+500+500+575+1095+88+1226+52+120+300+80+40+270+70+77+20+85+60+60+24+50+30+687+355+50+100+40</f>
        <v>15206</v>
      </c>
      <c r="H54" s="60">
        <f>114+799</f>
        <v>913</v>
      </c>
      <c r="I54" s="59">
        <f>150+740+2066+325+140</f>
        <v>3421</v>
      </c>
      <c r="J54" s="60"/>
      <c r="K54" s="60"/>
      <c r="L54" s="60"/>
      <c r="M54" s="60"/>
      <c r="N54" s="60"/>
      <c r="O54" s="60"/>
      <c r="P54" s="60"/>
      <c r="Q54" s="60">
        <f>17000+10000</f>
        <v>27000</v>
      </c>
      <c r="R54" s="60">
        <f>18000+6500+6600</f>
        <v>31100</v>
      </c>
      <c r="S54" s="44">
        <f>SUM(E54:R54)</f>
        <v>81240</v>
      </c>
    </row>
    <row r="55" spans="3:21" ht="16.5" x14ac:dyDescent="0.25">
      <c r="C55" s="279"/>
      <c r="D55" s="46" t="s">
        <v>128</v>
      </c>
      <c r="E55" s="62"/>
      <c r="F55" s="61">
        <v>35000</v>
      </c>
      <c r="G55" s="61"/>
      <c r="H55" s="62"/>
      <c r="I55" s="61"/>
      <c r="J55" s="62"/>
      <c r="K55" s="62"/>
      <c r="L55" s="62"/>
      <c r="M55" s="62"/>
      <c r="N55" s="62"/>
      <c r="O55" s="62"/>
      <c r="P55" s="62"/>
      <c r="Q55" s="62"/>
      <c r="R55" s="62"/>
      <c r="S55" s="47">
        <f>SUM(E55:R55)</f>
        <v>35000</v>
      </c>
    </row>
    <row r="56" spans="3:21" ht="17.25" thickBot="1" x14ac:dyDescent="0.3">
      <c r="C56" s="279"/>
      <c r="D56" s="48" t="s">
        <v>129</v>
      </c>
      <c r="E56" s="65">
        <v>27778</v>
      </c>
      <c r="F56" s="63">
        <f>1927*2</f>
        <v>3854</v>
      </c>
      <c r="G56" s="63">
        <f>860+8235+1931</f>
        <v>11026</v>
      </c>
      <c r="H56" s="65"/>
      <c r="I56" s="63"/>
      <c r="J56" s="65"/>
      <c r="K56" s="65"/>
      <c r="L56" s="65"/>
      <c r="M56" s="65"/>
      <c r="N56" s="65"/>
      <c r="O56" s="65"/>
      <c r="P56" s="65"/>
      <c r="Q56" s="65">
        <f>1080+3081</f>
        <v>4161</v>
      </c>
      <c r="R56" s="63"/>
      <c r="S56" s="49">
        <f>SUM(E56:R56)</f>
        <v>46819</v>
      </c>
    </row>
    <row r="57" spans="3:21" x14ac:dyDescent="0.25">
      <c r="D57" s="41" t="s">
        <v>131</v>
      </c>
      <c r="E57" s="64">
        <f>SUM(E54:E56)</f>
        <v>31278</v>
      </c>
      <c r="F57" s="64">
        <f>SUM(F54:F56)</f>
        <v>38954</v>
      </c>
      <c r="G57" s="64">
        <f>SUM(G54:G56)</f>
        <v>26232</v>
      </c>
      <c r="H57" s="64">
        <f t="shared" ref="H57:R57" si="11">SUM(H54:H56)</f>
        <v>913</v>
      </c>
      <c r="I57" s="64">
        <f t="shared" si="11"/>
        <v>3421</v>
      </c>
      <c r="J57" s="64">
        <f t="shared" si="11"/>
        <v>0</v>
      </c>
      <c r="K57" s="64">
        <f t="shared" si="11"/>
        <v>0</v>
      </c>
      <c r="L57" s="64">
        <f t="shared" si="11"/>
        <v>0</v>
      </c>
      <c r="M57" s="64">
        <f t="shared" si="11"/>
        <v>0</v>
      </c>
      <c r="N57" s="64">
        <f t="shared" si="11"/>
        <v>0</v>
      </c>
      <c r="O57" s="64">
        <f>SUM(O54:O56)</f>
        <v>0</v>
      </c>
      <c r="P57" s="64">
        <f t="shared" si="11"/>
        <v>0</v>
      </c>
      <c r="Q57" s="64">
        <f t="shared" si="11"/>
        <v>31161</v>
      </c>
      <c r="R57" s="64">
        <f t="shared" si="11"/>
        <v>31100</v>
      </c>
      <c r="S57" s="54">
        <f>SUM(S54:S56)</f>
        <v>163059</v>
      </c>
    </row>
    <row r="58" spans="3:21" ht="15.75" thickBot="1" x14ac:dyDescent="0.3"/>
    <row r="59" spans="3:21" ht="16.5" x14ac:dyDescent="0.25">
      <c r="C59" s="275">
        <v>202011</v>
      </c>
      <c r="D59" s="43" t="s">
        <v>127</v>
      </c>
      <c r="E59" s="60">
        <f>3500</f>
        <v>3500</v>
      </c>
      <c r="F59" s="59">
        <f>184+100+114</f>
        <v>398</v>
      </c>
      <c r="G59" s="59">
        <f>57+40+30+500+518+35+35+1000+60+100+35+687</f>
        <v>3097</v>
      </c>
      <c r="H59" s="60">
        <f>114+747+2664+27+175+30+400+97+35+10+40+35+28+267+28+799+78+114+150+90+59+115+979+35+649+71+1+70+30+25+79+45+114+922+30+200+105+40+30+311+160+150+696+50+30+50+114+799+130+59</f>
        <v>12076</v>
      </c>
      <c r="I59" s="59">
        <f>2300+433+845+206+420+540</f>
        <v>4744</v>
      </c>
      <c r="J59" s="60"/>
      <c r="K59" s="60"/>
      <c r="L59" s="60"/>
      <c r="M59" s="60"/>
      <c r="N59" s="60"/>
      <c r="O59" s="60"/>
      <c r="P59" s="60"/>
      <c r="Q59" s="60">
        <f>17000+10000</f>
        <v>27000</v>
      </c>
      <c r="R59" s="60">
        <f>18000+6500+6600</f>
        <v>31100</v>
      </c>
      <c r="S59" s="44">
        <f>SUM(E59:R59)</f>
        <v>81915</v>
      </c>
    </row>
    <row r="60" spans="3:21" ht="16.5" x14ac:dyDescent="0.25">
      <c r="C60" s="279"/>
      <c r="D60" s="46" t="s">
        <v>128</v>
      </c>
      <c r="E60" s="62"/>
      <c r="F60" s="61"/>
      <c r="G60" s="61"/>
      <c r="H60" s="62">
        <v>2386</v>
      </c>
      <c r="I60" s="61">
        <f>120+988</f>
        <v>1108</v>
      </c>
      <c r="J60" s="62"/>
      <c r="K60" s="62"/>
      <c r="L60" s="62"/>
      <c r="M60" s="62"/>
      <c r="N60" s="62"/>
      <c r="O60" s="62"/>
      <c r="P60" s="62"/>
      <c r="Q60" s="62"/>
      <c r="R60" s="62"/>
      <c r="S60" s="47">
        <f>SUM(E60:R60)</f>
        <v>3494</v>
      </c>
    </row>
    <row r="61" spans="3:21" ht="17.25" thickBot="1" x14ac:dyDescent="0.3">
      <c r="C61" s="279"/>
      <c r="D61" s="48" t="s">
        <v>129</v>
      </c>
      <c r="E61" s="65">
        <v>27778</v>
      </c>
      <c r="F61" s="63"/>
      <c r="G61" s="63">
        <f>2254+6300</f>
        <v>8554</v>
      </c>
      <c r="H61" s="65"/>
      <c r="I61" s="63">
        <v>2365</v>
      </c>
      <c r="J61" s="65"/>
      <c r="K61" s="65"/>
      <c r="L61" s="65"/>
      <c r="M61" s="65"/>
      <c r="N61" s="65"/>
      <c r="O61" s="65"/>
      <c r="P61" s="65"/>
      <c r="Q61" s="65">
        <v>3079</v>
      </c>
      <c r="R61" s="63"/>
      <c r="S61" s="49">
        <f>SUM(E61:R61)</f>
        <v>41776</v>
      </c>
    </row>
    <row r="62" spans="3:21" x14ac:dyDescent="0.25">
      <c r="D62" s="41" t="s">
        <v>131</v>
      </c>
      <c r="E62" s="64">
        <f>SUM(E59:E61)</f>
        <v>31278</v>
      </c>
      <c r="F62" s="64">
        <f>SUM(F59:F61)</f>
        <v>398</v>
      </c>
      <c r="G62" s="64">
        <f>SUM(G59:G61)</f>
        <v>11651</v>
      </c>
      <c r="H62" s="64">
        <f t="shared" ref="H62:R62" si="12">SUM(H59:H61)</f>
        <v>14462</v>
      </c>
      <c r="I62" s="64">
        <f t="shared" si="12"/>
        <v>8217</v>
      </c>
      <c r="J62" s="64">
        <f t="shared" si="12"/>
        <v>0</v>
      </c>
      <c r="K62" s="64">
        <f t="shared" si="12"/>
        <v>0</v>
      </c>
      <c r="L62" s="64">
        <f t="shared" si="12"/>
        <v>0</v>
      </c>
      <c r="M62" s="64">
        <f t="shared" si="12"/>
        <v>0</v>
      </c>
      <c r="N62" s="64">
        <f t="shared" si="12"/>
        <v>0</v>
      </c>
      <c r="O62" s="64">
        <f>SUM(O59:O61)</f>
        <v>0</v>
      </c>
      <c r="P62" s="64">
        <f t="shared" si="12"/>
        <v>0</v>
      </c>
      <c r="Q62" s="64">
        <f t="shared" si="12"/>
        <v>30079</v>
      </c>
      <c r="R62" s="64">
        <f t="shared" si="12"/>
        <v>31100</v>
      </c>
      <c r="S62" s="54">
        <f>SUM(S59:S61)</f>
        <v>127185</v>
      </c>
    </row>
    <row r="63" spans="3:21" ht="15.75" thickBot="1" x14ac:dyDescent="0.3"/>
    <row r="64" spans="3:21" ht="16.5" x14ac:dyDescent="0.25">
      <c r="C64" s="275">
        <v>202012</v>
      </c>
      <c r="D64" s="43" t="s">
        <v>127</v>
      </c>
      <c r="E64" s="60">
        <f>3500+2000+130+174+100+700+280+305+40</f>
        <v>7229</v>
      </c>
      <c r="F64" s="59"/>
      <c r="G64" s="59">
        <f>70+500+30+321+1118+3703+500+250+350+500+65+70+687+500</f>
        <v>8664</v>
      </c>
      <c r="H64" s="60">
        <f>50+40+59+20+82+45+170+30+94</f>
        <v>590</v>
      </c>
      <c r="I64" s="59">
        <f>1089+660+780</f>
        <v>2529</v>
      </c>
      <c r="J64" s="60"/>
      <c r="K64" s="60"/>
      <c r="L64" s="60"/>
      <c r="M64" s="60"/>
      <c r="N64" s="60"/>
      <c r="O64" s="60"/>
      <c r="P64" s="60">
        <v>380</v>
      </c>
      <c r="Q64" s="60">
        <f>8500+10000+934+696+2000+2000+2000</f>
        <v>26130</v>
      </c>
      <c r="R64" s="60">
        <f>18000+6500+6600</f>
        <v>31100</v>
      </c>
      <c r="S64" s="44">
        <f>SUM(E64:R64)</f>
        <v>76622</v>
      </c>
    </row>
    <row r="65" spans="3:19" ht="16.5" x14ac:dyDescent="0.25">
      <c r="C65" s="279"/>
      <c r="D65" s="46" t="s">
        <v>128</v>
      </c>
      <c r="E65" s="62">
        <f>699+990+30000</f>
        <v>31689</v>
      </c>
      <c r="F65" s="61"/>
      <c r="G65" s="61"/>
      <c r="H65" s="62">
        <f>1634+2750+698+3699+5081</f>
        <v>13862</v>
      </c>
      <c r="I65" s="61">
        <v>1697</v>
      </c>
      <c r="J65" s="62"/>
      <c r="K65" s="62"/>
      <c r="L65" s="62"/>
      <c r="M65" s="62"/>
      <c r="N65" s="62"/>
      <c r="O65" s="62"/>
      <c r="P65" s="62"/>
      <c r="Q65" s="62"/>
      <c r="R65" s="62"/>
      <c r="S65" s="47">
        <f>SUM(E65:R65)</f>
        <v>47248</v>
      </c>
    </row>
    <row r="66" spans="3:19" ht="17.25" thickBot="1" x14ac:dyDescent="0.3">
      <c r="C66" s="279"/>
      <c r="D66" s="48" t="s">
        <v>129</v>
      </c>
      <c r="E66" s="65">
        <f>600+27778+8000</f>
        <v>36378</v>
      </c>
      <c r="F66" s="63"/>
      <c r="G66" s="63"/>
      <c r="H66" s="65">
        <v>1600</v>
      </c>
      <c r="I66" s="63">
        <f>1759</f>
        <v>1759</v>
      </c>
      <c r="J66" s="65"/>
      <c r="K66" s="65"/>
      <c r="L66" s="65"/>
      <c r="M66" s="65"/>
      <c r="N66" s="65"/>
      <c r="O66" s="65"/>
      <c r="P66" s="65"/>
      <c r="Q66" s="65">
        <f>3079+2600+1000</f>
        <v>6679</v>
      </c>
      <c r="R66" s="63">
        <f>5600+360</f>
        <v>5960</v>
      </c>
      <c r="S66" s="49">
        <f>SUM(E66:R66)</f>
        <v>52376</v>
      </c>
    </row>
    <row r="67" spans="3:19" x14ac:dyDescent="0.25">
      <c r="D67" s="41" t="s">
        <v>131</v>
      </c>
      <c r="E67" s="64">
        <f>SUM(E64:E66)</f>
        <v>75296</v>
      </c>
      <c r="F67" s="64">
        <f>SUM(F64:F66)</f>
        <v>0</v>
      </c>
      <c r="G67" s="64">
        <f>SUM(G64:G66)</f>
        <v>8664</v>
      </c>
      <c r="H67" s="64">
        <f t="shared" ref="H67:R67" si="13">SUM(H64:H66)</f>
        <v>16052</v>
      </c>
      <c r="I67" s="64">
        <f t="shared" si="13"/>
        <v>5985</v>
      </c>
      <c r="J67" s="64">
        <f t="shared" si="13"/>
        <v>0</v>
      </c>
      <c r="K67" s="64">
        <f t="shared" si="13"/>
        <v>0</v>
      </c>
      <c r="L67" s="64">
        <f t="shared" si="13"/>
        <v>0</v>
      </c>
      <c r="M67" s="64">
        <f t="shared" si="13"/>
        <v>0</v>
      </c>
      <c r="N67" s="64">
        <f t="shared" si="13"/>
        <v>0</v>
      </c>
      <c r="O67" s="64">
        <f>SUM(O64:O66)</f>
        <v>0</v>
      </c>
      <c r="P67" s="64">
        <f t="shared" si="13"/>
        <v>380</v>
      </c>
      <c r="Q67" s="64">
        <f t="shared" si="13"/>
        <v>32809</v>
      </c>
      <c r="R67" s="64">
        <f t="shared" si="13"/>
        <v>37060</v>
      </c>
      <c r="S67" s="54">
        <f>SUM(S64:S66)</f>
        <v>176246</v>
      </c>
    </row>
    <row r="75" spans="3:19" x14ac:dyDescent="0.25">
      <c r="G75" s="69"/>
    </row>
    <row r="76" spans="3:19" x14ac:dyDescent="0.25">
      <c r="G76" s="51"/>
      <c r="I76" s="74"/>
    </row>
  </sheetData>
  <mergeCells count="12">
    <mergeCell ref="C64:C66"/>
    <mergeCell ref="C9:C11"/>
    <mergeCell ref="C14:C16"/>
    <mergeCell ref="C19:C21"/>
    <mergeCell ref="C24:C26"/>
    <mergeCell ref="C29:C31"/>
    <mergeCell ref="C34:C36"/>
    <mergeCell ref="C39:C41"/>
    <mergeCell ref="C44:C46"/>
    <mergeCell ref="C49:C51"/>
    <mergeCell ref="C54:C56"/>
    <mergeCell ref="C59:C61"/>
  </mergeCells>
  <phoneticPr fontId="1" type="noConversion"/>
  <conditionalFormatting sqref="E6:N6 P6:R6">
    <cfRule type="colorScale" priority="2">
      <colorScale>
        <cfvo type="min"/>
        <cfvo type="max"/>
        <color rgb="FFFFEF9C"/>
        <color rgb="FF63BE7B"/>
      </colorScale>
    </cfRule>
  </conditionalFormatting>
  <conditionalFormatting sqref="O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6"/>
  <dimension ref="A1:S76"/>
  <sheetViews>
    <sheetView topLeftCell="C1" zoomScaleNormal="100" workbookViewId="0">
      <pane ySplit="8" topLeftCell="A9" activePane="bottomLeft" state="frozen"/>
      <selection pane="bottomLeft" activeCell="I14" sqref="I14"/>
    </sheetView>
  </sheetViews>
  <sheetFormatPr defaultColWidth="9" defaultRowHeight="15" x14ac:dyDescent="0.25"/>
  <cols>
    <col min="1" max="1" width="13.375" style="45" bestFit="1" customWidth="1"/>
    <col min="2" max="2" width="12.875" style="45" bestFit="1" customWidth="1"/>
    <col min="3" max="3" width="9.25" style="45" bestFit="1" customWidth="1"/>
    <col min="4" max="4" width="13.625" style="45" bestFit="1" customWidth="1"/>
    <col min="5" max="5" width="14.125" style="45" bestFit="1" customWidth="1"/>
    <col min="6" max="6" width="12.5" style="45" bestFit="1" customWidth="1"/>
    <col min="7" max="7" width="15" style="45" bestFit="1" customWidth="1"/>
    <col min="8" max="8" width="14.5" style="45" bestFit="1" customWidth="1"/>
    <col min="9" max="9" width="9.25" style="45" bestFit="1" customWidth="1"/>
    <col min="10" max="10" width="11.125" style="45" bestFit="1" customWidth="1"/>
    <col min="11" max="11" width="11.625" style="45" bestFit="1" customWidth="1"/>
    <col min="12" max="12" width="13.25" style="45" bestFit="1" customWidth="1"/>
    <col min="13" max="13" width="10.5" style="45" bestFit="1" customWidth="1"/>
    <col min="14" max="14" width="15" style="45" bestFit="1" customWidth="1"/>
    <col min="15" max="16" width="15" style="45" customWidth="1"/>
    <col min="17" max="17" width="15.75" style="45" bestFit="1" customWidth="1"/>
    <col min="18" max="18" width="11.75" style="45" bestFit="1" customWidth="1"/>
    <col min="19" max="19" width="12.5" style="45" bestFit="1" customWidth="1"/>
    <col min="20" max="16384" width="9" style="45"/>
  </cols>
  <sheetData>
    <row r="1" spans="1:18" ht="16.5" x14ac:dyDescent="0.25">
      <c r="A1" s="55" t="s">
        <v>119</v>
      </c>
      <c r="B1" s="51">
        <f>SUMIF(D:D,A1,R:R)</f>
        <v>1039144</v>
      </c>
      <c r="C1" s="57">
        <f>B1/$B$4</f>
        <v>0.63245742915815084</v>
      </c>
      <c r="D1" s="52"/>
    </row>
    <row r="2" spans="1:18" ht="16.5" x14ac:dyDescent="0.25">
      <c r="A2" s="45" t="s">
        <v>132</v>
      </c>
      <c r="B2" s="51">
        <f>SUMIF(D:D,A2,R:R)</f>
        <v>129999</v>
      </c>
      <c r="C2" s="57">
        <f>B2/$B$4</f>
        <v>7.9121693752868177E-2</v>
      </c>
    </row>
    <row r="3" spans="1:18" ht="17.25" thickBot="1" x14ac:dyDescent="0.3">
      <c r="A3" s="55" t="s">
        <v>121</v>
      </c>
      <c r="B3" s="51">
        <f>SUMIF(D:D,A3,R:R)</f>
        <v>473883</v>
      </c>
      <c r="C3" s="57">
        <f>B3/$B$4</f>
        <v>0.28842087708898095</v>
      </c>
    </row>
    <row r="4" spans="1:18" x14ac:dyDescent="0.25">
      <c r="A4" s="56" t="s">
        <v>131</v>
      </c>
      <c r="B4" s="72">
        <f>SUMIF(D:D,A4,R:R)</f>
        <v>1643026</v>
      </c>
    </row>
    <row r="6" spans="1:18" x14ac:dyDescent="0.25">
      <c r="E6" s="73">
        <f t="shared" ref="E6:N6" si="0">E7/$R$7</f>
        <v>3.7870977087398498E-2</v>
      </c>
      <c r="F6" s="73">
        <f t="shared" si="0"/>
        <v>0.23699016327191413</v>
      </c>
      <c r="G6" s="73">
        <f t="shared" si="0"/>
        <v>5.3549974254820068E-2</v>
      </c>
      <c r="H6" s="73">
        <f t="shared" si="0"/>
        <v>5.2206721013544524E-2</v>
      </c>
      <c r="I6" s="73">
        <f t="shared" si="0"/>
        <v>4.2983495087722291E-2</v>
      </c>
      <c r="J6" s="73">
        <f t="shared" si="0"/>
        <v>1.0941397153788193E-2</v>
      </c>
      <c r="K6" s="73">
        <f t="shared" si="0"/>
        <v>6.9195496602001425E-3</v>
      </c>
      <c r="L6" s="73">
        <f t="shared" si="0"/>
        <v>6.0899827513380802E-3</v>
      </c>
      <c r="M6" s="73">
        <f t="shared" si="0"/>
        <v>8.7217122553142797E-3</v>
      </c>
      <c r="N6" s="73">
        <f t="shared" si="0"/>
        <v>2.316335834003844E-2</v>
      </c>
      <c r="O6" s="73">
        <f>O7/$R$7</f>
        <v>0.20517021641775601</v>
      </c>
      <c r="P6" s="73">
        <f>P7/$R$7</f>
        <v>0.28800518068490699</v>
      </c>
      <c r="Q6" s="73">
        <f>Q7/$R$7</f>
        <v>2.7387272021258336E-2</v>
      </c>
    </row>
    <row r="7" spans="1:18" ht="15.75" thickBot="1" x14ac:dyDescent="0.3">
      <c r="E7" s="70">
        <f t="shared" ref="E7:P7" si="1">E12+E17+E22+E27+E32+E37+E42+E47+E52+E57+E62+E67</f>
        <v>62223</v>
      </c>
      <c r="F7" s="70">
        <f>F12+F17+F22+F27+F32+F37+F42+F47+F52+F57+F62+F67</f>
        <v>389381</v>
      </c>
      <c r="G7" s="70">
        <f>G12+G17+G22+G27+G32+G37+G42+G47+G52+G57+G62+G67</f>
        <v>87984</v>
      </c>
      <c r="H7" s="70">
        <f t="shared" si="1"/>
        <v>85777</v>
      </c>
      <c r="I7" s="70">
        <f t="shared" si="1"/>
        <v>70623</v>
      </c>
      <c r="J7" s="70">
        <f t="shared" si="1"/>
        <v>17977</v>
      </c>
      <c r="K7" s="70">
        <f t="shared" si="1"/>
        <v>11369</v>
      </c>
      <c r="L7" s="70">
        <f t="shared" si="1"/>
        <v>10006</v>
      </c>
      <c r="M7" s="70">
        <f t="shared" si="1"/>
        <v>14330</v>
      </c>
      <c r="N7" s="70">
        <f t="shared" si="1"/>
        <v>38058</v>
      </c>
      <c r="O7" s="70">
        <f t="shared" si="1"/>
        <v>337100</v>
      </c>
      <c r="P7" s="70">
        <f t="shared" si="1"/>
        <v>473200</v>
      </c>
      <c r="Q7" s="70">
        <f>Q12+Q17+Q22+Q27+Q32+Q37+Q42+Q47+Q52+Q57+Q62+Q67</f>
        <v>44998</v>
      </c>
      <c r="R7" s="71">
        <f>R12+R17+R22+R27+R32+R37+R42+R47+R52+R57+R62+R67</f>
        <v>1643026</v>
      </c>
    </row>
    <row r="8" spans="1:18" ht="18" thickTop="1" thickBot="1" x14ac:dyDescent="0.3">
      <c r="C8" s="53" t="s">
        <v>133</v>
      </c>
      <c r="D8" s="42"/>
      <c r="E8" s="41" t="s">
        <v>122</v>
      </c>
      <c r="F8" s="41" t="s">
        <v>123</v>
      </c>
      <c r="G8" s="41" t="s">
        <v>140</v>
      </c>
      <c r="H8" s="41" t="s">
        <v>124</v>
      </c>
      <c r="I8" s="41" t="s">
        <v>125</v>
      </c>
      <c r="J8" s="41" t="s">
        <v>126</v>
      </c>
      <c r="K8" s="58" t="s">
        <v>134</v>
      </c>
      <c r="L8" s="53" t="s">
        <v>130</v>
      </c>
      <c r="M8" s="53" t="s">
        <v>136</v>
      </c>
      <c r="N8" s="53" t="s">
        <v>135</v>
      </c>
      <c r="O8" s="53" t="s">
        <v>138</v>
      </c>
      <c r="P8" s="53" t="s">
        <v>139</v>
      </c>
      <c r="Q8" s="53" t="s">
        <v>137</v>
      </c>
      <c r="R8" s="41" t="s">
        <v>120</v>
      </c>
    </row>
    <row r="9" spans="1:18" ht="16.5" x14ac:dyDescent="0.25">
      <c r="C9" s="275">
        <v>201901</v>
      </c>
      <c r="D9" s="43" t="s">
        <v>127</v>
      </c>
      <c r="E9" s="59"/>
      <c r="F9" s="59">
        <v>7230</v>
      </c>
      <c r="G9" s="60"/>
      <c r="H9" s="59"/>
      <c r="I9" s="60"/>
      <c r="J9" s="60">
        <v>2195</v>
      </c>
      <c r="K9" s="60"/>
      <c r="L9" s="60"/>
      <c r="M9" s="60">
        <v>1983</v>
      </c>
      <c r="N9" s="60"/>
      <c r="O9" s="60">
        <f>18000+10000</f>
        <v>28000</v>
      </c>
      <c r="P9" s="60">
        <f>18000+19000</f>
        <v>37000</v>
      </c>
      <c r="Q9" s="60">
        <v>3500</v>
      </c>
      <c r="R9" s="44">
        <f>SUM(E9:Q9)</f>
        <v>79908</v>
      </c>
    </row>
    <row r="10" spans="1:18" s="41" customFormat="1" ht="16.5" x14ac:dyDescent="0.25">
      <c r="C10" s="279"/>
      <c r="D10" s="46" t="s">
        <v>128</v>
      </c>
      <c r="E10" s="61"/>
      <c r="F10" s="61">
        <v>704</v>
      </c>
      <c r="G10" s="62"/>
      <c r="H10" s="61"/>
      <c r="I10" s="62"/>
      <c r="J10" s="62"/>
      <c r="K10" s="62"/>
      <c r="L10" s="62"/>
      <c r="M10" s="62"/>
      <c r="N10" s="62"/>
      <c r="O10" s="62"/>
      <c r="P10" s="62"/>
      <c r="Q10" s="62"/>
      <c r="R10" s="47">
        <f>SUM(E10:Q10)</f>
        <v>704</v>
      </c>
    </row>
    <row r="11" spans="1:18" ht="17.25" thickBot="1" x14ac:dyDescent="0.3">
      <c r="C11" s="279"/>
      <c r="D11" s="48" t="s">
        <v>129</v>
      </c>
      <c r="E11" s="63"/>
      <c r="F11" s="63">
        <f>3079+19504+1761</f>
        <v>24344</v>
      </c>
      <c r="G11" s="63"/>
      <c r="H11" s="63"/>
      <c r="I11" s="63"/>
      <c r="J11" s="63">
        <v>7020</v>
      </c>
      <c r="K11" s="63"/>
      <c r="L11" s="63"/>
      <c r="M11" s="63">
        <f>1039+16+1749+26</f>
        <v>2830</v>
      </c>
      <c r="N11" s="63"/>
      <c r="O11" s="63"/>
      <c r="P11" s="63">
        <f>7000*2</f>
        <v>14000</v>
      </c>
      <c r="Q11" s="63"/>
      <c r="R11" s="49">
        <f>SUM(E11:Q11)</f>
        <v>48194</v>
      </c>
    </row>
    <row r="12" spans="1:18" x14ac:dyDescent="0.25">
      <c r="D12" s="41" t="s">
        <v>131</v>
      </c>
      <c r="E12" s="64">
        <f t="shared" ref="E12:J12" si="2">SUM(E9:E11)</f>
        <v>0</v>
      </c>
      <c r="F12" s="64">
        <f t="shared" si="2"/>
        <v>32278</v>
      </c>
      <c r="G12" s="64">
        <f t="shared" si="2"/>
        <v>0</v>
      </c>
      <c r="H12" s="64">
        <f t="shared" si="2"/>
        <v>0</v>
      </c>
      <c r="I12" s="64">
        <f t="shared" si="2"/>
        <v>0</v>
      </c>
      <c r="J12" s="64">
        <f t="shared" si="2"/>
        <v>9215</v>
      </c>
      <c r="K12" s="64">
        <f t="shared" ref="K12:Q12" si="3">SUM(K9:K11)</f>
        <v>0</v>
      </c>
      <c r="L12" s="64">
        <f t="shared" si="3"/>
        <v>0</v>
      </c>
      <c r="M12" s="64">
        <f t="shared" si="3"/>
        <v>4813</v>
      </c>
      <c r="N12" s="64">
        <f t="shared" si="3"/>
        <v>0</v>
      </c>
      <c r="O12" s="64">
        <f>SUM(O9:O11)</f>
        <v>28000</v>
      </c>
      <c r="P12" s="64">
        <f t="shared" si="3"/>
        <v>51000</v>
      </c>
      <c r="Q12" s="64">
        <f t="shared" si="3"/>
        <v>3500</v>
      </c>
      <c r="R12" s="54">
        <f>SUM(R9:R11)</f>
        <v>128806</v>
      </c>
    </row>
    <row r="13" spans="1:18" ht="15.75" thickBot="1" x14ac:dyDescent="0.3">
      <c r="D13" s="41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50"/>
    </row>
    <row r="14" spans="1:18" ht="16.5" x14ac:dyDescent="0.25">
      <c r="C14" s="275">
        <v>201902</v>
      </c>
      <c r="D14" s="43" t="s">
        <v>127</v>
      </c>
      <c r="E14" s="59">
        <v>803</v>
      </c>
      <c r="F14" s="59">
        <v>5823</v>
      </c>
      <c r="G14" s="60"/>
      <c r="H14" s="59">
        <v>4202</v>
      </c>
      <c r="I14" s="60">
        <v>98</v>
      </c>
      <c r="J14" s="60">
        <v>1047</v>
      </c>
      <c r="K14" s="60"/>
      <c r="L14" s="60"/>
      <c r="M14" s="60"/>
      <c r="N14" s="60"/>
      <c r="O14" s="60">
        <f>18000+10000</f>
        <v>28000</v>
      </c>
      <c r="P14" s="60">
        <f>18000+19000</f>
        <v>37000</v>
      </c>
      <c r="Q14" s="60">
        <v>3500</v>
      </c>
      <c r="R14" s="44">
        <f>SUM(E14:Q14)</f>
        <v>80473</v>
      </c>
    </row>
    <row r="15" spans="1:18" ht="16.5" x14ac:dyDescent="0.25">
      <c r="C15" s="279"/>
      <c r="D15" s="46" t="s">
        <v>128</v>
      </c>
      <c r="E15" s="61">
        <v>1097</v>
      </c>
      <c r="F15" s="61">
        <v>2907</v>
      </c>
      <c r="G15" s="62"/>
      <c r="H15" s="61"/>
      <c r="I15" s="62">
        <v>637</v>
      </c>
      <c r="J15" s="62"/>
      <c r="K15" s="62"/>
      <c r="L15" s="62">
        <v>5474</v>
      </c>
      <c r="M15" s="62"/>
      <c r="N15" s="62"/>
      <c r="O15" s="62"/>
      <c r="P15" s="62"/>
      <c r="Q15" s="62"/>
      <c r="R15" s="47">
        <f>SUM(E15:Q15)</f>
        <v>10115</v>
      </c>
    </row>
    <row r="16" spans="1:18" ht="17.25" thickBot="1" x14ac:dyDescent="0.3">
      <c r="C16" s="279"/>
      <c r="D16" s="48" t="s">
        <v>129</v>
      </c>
      <c r="E16" s="63"/>
      <c r="F16" s="63">
        <f>3079+19504</f>
        <v>22583</v>
      </c>
      <c r="G16" s="65"/>
      <c r="H16" s="63"/>
      <c r="I16" s="65"/>
      <c r="J16" s="65"/>
      <c r="K16" s="65"/>
      <c r="L16" s="65">
        <v>3196</v>
      </c>
      <c r="M16" s="65"/>
      <c r="N16" s="65"/>
      <c r="O16" s="65"/>
      <c r="P16" s="63"/>
      <c r="Q16" s="65"/>
      <c r="R16" s="49">
        <f>SUM(E16:Q16)</f>
        <v>25779</v>
      </c>
    </row>
    <row r="17" spans="3:18" x14ac:dyDescent="0.25">
      <c r="D17" s="41" t="s">
        <v>131</v>
      </c>
      <c r="E17" s="64">
        <f t="shared" ref="E17:J17" si="4">SUM(E14:E16)</f>
        <v>1900</v>
      </c>
      <c r="F17" s="64">
        <f t="shared" si="4"/>
        <v>31313</v>
      </c>
      <c r="G17" s="64">
        <f t="shared" si="4"/>
        <v>0</v>
      </c>
      <c r="H17" s="64">
        <f t="shared" si="4"/>
        <v>4202</v>
      </c>
      <c r="I17" s="64">
        <f t="shared" si="4"/>
        <v>735</v>
      </c>
      <c r="J17" s="64">
        <f t="shared" si="4"/>
        <v>1047</v>
      </c>
      <c r="K17" s="64">
        <f t="shared" ref="K17:Q17" si="5">SUM(K14:K16)</f>
        <v>0</v>
      </c>
      <c r="L17" s="64">
        <f t="shared" si="5"/>
        <v>8670</v>
      </c>
      <c r="M17" s="64">
        <f t="shared" si="5"/>
        <v>0</v>
      </c>
      <c r="N17" s="64">
        <f t="shared" si="5"/>
        <v>0</v>
      </c>
      <c r="O17" s="64">
        <f t="shared" si="5"/>
        <v>28000</v>
      </c>
      <c r="P17" s="64">
        <f t="shared" si="5"/>
        <v>37000</v>
      </c>
      <c r="Q17" s="64">
        <f t="shared" si="5"/>
        <v>3500</v>
      </c>
      <c r="R17" s="54">
        <f>SUM(R14:R16)</f>
        <v>116367</v>
      </c>
    </row>
    <row r="18" spans="3:18" ht="15.75" thickBot="1" x14ac:dyDescent="0.3">
      <c r="D18" s="41"/>
      <c r="E18" s="66"/>
      <c r="F18" s="66"/>
      <c r="G18" s="67"/>
      <c r="H18" s="66"/>
      <c r="I18" s="67"/>
      <c r="J18" s="67"/>
      <c r="K18" s="67"/>
      <c r="L18" s="67"/>
      <c r="M18" s="67"/>
      <c r="N18" s="67"/>
      <c r="O18" s="67"/>
      <c r="P18" s="67"/>
      <c r="Q18" s="67"/>
      <c r="R18" s="52"/>
    </row>
    <row r="19" spans="3:18" ht="16.5" x14ac:dyDescent="0.25">
      <c r="C19" s="275">
        <v>201903</v>
      </c>
      <c r="D19" s="43" t="s">
        <v>127</v>
      </c>
      <c r="E19" s="59">
        <v>3878</v>
      </c>
      <c r="F19" s="59">
        <v>9713</v>
      </c>
      <c r="G19" s="60"/>
      <c r="H19" s="59">
        <v>2352</v>
      </c>
      <c r="I19" s="60"/>
      <c r="J19" s="60">
        <v>500</v>
      </c>
      <c r="K19" s="60"/>
      <c r="L19" s="60"/>
      <c r="M19" s="60">
        <v>4507</v>
      </c>
      <c r="N19" s="60"/>
      <c r="O19" s="60">
        <f>18000+10000</f>
        <v>28000</v>
      </c>
      <c r="P19" s="60">
        <f>18000+19000</f>
        <v>37000</v>
      </c>
      <c r="Q19" s="60">
        <v>3500</v>
      </c>
      <c r="R19" s="44">
        <f>SUM(E19:Q19)</f>
        <v>89450</v>
      </c>
    </row>
    <row r="20" spans="3:18" s="41" customFormat="1" ht="16.5" x14ac:dyDescent="0.25">
      <c r="C20" s="279"/>
      <c r="D20" s="46" t="s">
        <v>128</v>
      </c>
      <c r="E20" s="61">
        <f>2060+1180</f>
        <v>3240</v>
      </c>
      <c r="F20" s="61"/>
      <c r="G20" s="62"/>
      <c r="H20" s="61"/>
      <c r="I20" s="62"/>
      <c r="J20" s="62"/>
      <c r="K20" s="62"/>
      <c r="L20" s="62"/>
      <c r="M20" s="62">
        <v>4655</v>
      </c>
      <c r="N20" s="62"/>
      <c r="O20" s="62"/>
      <c r="P20" s="62"/>
      <c r="Q20" s="62"/>
      <c r="R20" s="47">
        <f>SUM(E20:Q20)</f>
        <v>7895</v>
      </c>
    </row>
    <row r="21" spans="3:18" ht="17.25" thickBot="1" x14ac:dyDescent="0.3">
      <c r="C21" s="279"/>
      <c r="D21" s="48" t="s">
        <v>129</v>
      </c>
      <c r="E21" s="63">
        <v>9300</v>
      </c>
      <c r="F21" s="63">
        <f>3079+1427</f>
        <v>4506</v>
      </c>
      <c r="G21" s="63"/>
      <c r="H21" s="63"/>
      <c r="I21" s="65"/>
      <c r="J21" s="63"/>
      <c r="K21" s="63"/>
      <c r="L21" s="63"/>
      <c r="M21" s="63"/>
      <c r="N21" s="63"/>
      <c r="O21" s="63"/>
      <c r="P21" s="63"/>
      <c r="Q21" s="63"/>
      <c r="R21" s="49">
        <f>SUM(E21:Q21)</f>
        <v>13806</v>
      </c>
    </row>
    <row r="22" spans="3:18" x14ac:dyDescent="0.25">
      <c r="D22" s="41" t="s">
        <v>131</v>
      </c>
      <c r="E22" s="64">
        <f t="shared" ref="E22:J22" si="6">SUM(E19:E21)</f>
        <v>16418</v>
      </c>
      <c r="F22" s="64">
        <f t="shared" si="6"/>
        <v>14219</v>
      </c>
      <c r="G22" s="64">
        <f t="shared" si="6"/>
        <v>0</v>
      </c>
      <c r="H22" s="64">
        <f t="shared" si="6"/>
        <v>2352</v>
      </c>
      <c r="I22" s="64">
        <f t="shared" si="6"/>
        <v>0</v>
      </c>
      <c r="J22" s="64">
        <f t="shared" si="6"/>
        <v>500</v>
      </c>
      <c r="K22" s="64">
        <f t="shared" ref="K22:Q22" si="7">SUM(K19:K21)</f>
        <v>0</v>
      </c>
      <c r="L22" s="64">
        <f t="shared" si="7"/>
        <v>0</v>
      </c>
      <c r="M22" s="64">
        <f t="shared" si="7"/>
        <v>9162</v>
      </c>
      <c r="N22" s="64">
        <f t="shared" si="7"/>
        <v>0</v>
      </c>
      <c r="O22" s="64">
        <f t="shared" si="7"/>
        <v>28000</v>
      </c>
      <c r="P22" s="64">
        <f t="shared" si="7"/>
        <v>37000</v>
      </c>
      <c r="Q22" s="64">
        <f t="shared" si="7"/>
        <v>3500</v>
      </c>
      <c r="R22" s="54">
        <f>SUM(R19:R21)</f>
        <v>111151</v>
      </c>
    </row>
    <row r="23" spans="3:18" ht="15.75" thickBot="1" x14ac:dyDescent="0.3">
      <c r="D23" s="41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50"/>
    </row>
    <row r="24" spans="3:18" ht="16.5" x14ac:dyDescent="0.25">
      <c r="C24" s="275">
        <v>201904</v>
      </c>
      <c r="D24" s="43" t="s">
        <v>127</v>
      </c>
      <c r="E24" s="59">
        <v>1859</v>
      </c>
      <c r="F24" s="59">
        <v>13593</v>
      </c>
      <c r="G24" s="60"/>
      <c r="H24" s="59">
        <v>1922</v>
      </c>
      <c r="I24" s="60"/>
      <c r="J24" s="60">
        <v>1078</v>
      </c>
      <c r="K24" s="60"/>
      <c r="L24" s="60"/>
      <c r="M24" s="60"/>
      <c r="N24" s="60"/>
      <c r="O24" s="60">
        <f>18000+10000</f>
        <v>28000</v>
      </c>
      <c r="P24" s="60">
        <f>18000+19000</f>
        <v>37000</v>
      </c>
      <c r="Q24" s="60">
        <v>3500</v>
      </c>
      <c r="R24" s="44">
        <f>SUM(E24:Q24)</f>
        <v>86952</v>
      </c>
    </row>
    <row r="25" spans="3:18" ht="16.5" x14ac:dyDescent="0.25">
      <c r="C25" s="279"/>
      <c r="D25" s="46" t="s">
        <v>128</v>
      </c>
      <c r="E25" s="61">
        <f>240+490</f>
        <v>730</v>
      </c>
      <c r="F25" s="61">
        <v>3205</v>
      </c>
      <c r="G25" s="62"/>
      <c r="H25" s="61"/>
      <c r="I25" s="62"/>
      <c r="J25" s="62"/>
      <c r="K25" s="62"/>
      <c r="L25" s="62"/>
      <c r="M25" s="62"/>
      <c r="N25" s="62"/>
      <c r="O25" s="62"/>
      <c r="P25" s="62"/>
      <c r="Q25" s="62"/>
      <c r="R25" s="47">
        <f>SUM(E25:Q25)</f>
        <v>3935</v>
      </c>
    </row>
    <row r="26" spans="3:18" ht="17.25" thickBot="1" x14ac:dyDescent="0.3">
      <c r="C26" s="279"/>
      <c r="D26" s="48" t="s">
        <v>129</v>
      </c>
      <c r="E26" s="63">
        <v>1000</v>
      </c>
      <c r="F26" s="63">
        <f>3079+540+1250</f>
        <v>4869</v>
      </c>
      <c r="G26" s="65"/>
      <c r="H26" s="63"/>
      <c r="I26" s="65"/>
      <c r="J26" s="65"/>
      <c r="K26" s="65"/>
      <c r="L26" s="65"/>
      <c r="M26" s="65"/>
      <c r="N26" s="65"/>
      <c r="O26" s="65"/>
      <c r="P26" s="63"/>
      <c r="Q26" s="65"/>
      <c r="R26" s="49">
        <f>SUM(E26:Q26)</f>
        <v>5869</v>
      </c>
    </row>
    <row r="27" spans="3:18" x14ac:dyDescent="0.25">
      <c r="D27" s="41" t="s">
        <v>131</v>
      </c>
      <c r="E27" s="64">
        <f t="shared" ref="E27:J27" si="8">SUM(E24:E26)</f>
        <v>3589</v>
      </c>
      <c r="F27" s="64">
        <f t="shared" si="8"/>
        <v>21667</v>
      </c>
      <c r="G27" s="64">
        <f t="shared" si="8"/>
        <v>0</v>
      </c>
      <c r="H27" s="64">
        <f t="shared" si="8"/>
        <v>1922</v>
      </c>
      <c r="I27" s="64">
        <f t="shared" si="8"/>
        <v>0</v>
      </c>
      <c r="J27" s="64">
        <f t="shared" si="8"/>
        <v>1078</v>
      </c>
      <c r="K27" s="64">
        <f t="shared" ref="K27:Q27" si="9">SUM(K24:K26)</f>
        <v>0</v>
      </c>
      <c r="L27" s="64">
        <f t="shared" si="9"/>
        <v>0</v>
      </c>
      <c r="M27" s="64">
        <f t="shared" si="9"/>
        <v>0</v>
      </c>
      <c r="N27" s="64">
        <f t="shared" si="9"/>
        <v>0</v>
      </c>
      <c r="O27" s="64">
        <f t="shared" si="9"/>
        <v>28000</v>
      </c>
      <c r="P27" s="64">
        <f t="shared" si="9"/>
        <v>37000</v>
      </c>
      <c r="Q27" s="64">
        <f t="shared" si="9"/>
        <v>3500</v>
      </c>
      <c r="R27" s="54">
        <f>SUM(R24:R26)</f>
        <v>96756</v>
      </c>
    </row>
    <row r="28" spans="3:18" ht="15.75" thickBot="1" x14ac:dyDescent="0.3">
      <c r="D28" s="41"/>
      <c r="E28" s="66"/>
      <c r="F28" s="66"/>
      <c r="G28" s="67"/>
      <c r="H28" s="66"/>
      <c r="I28" s="67"/>
      <c r="J28" s="67"/>
      <c r="K28" s="67"/>
      <c r="L28" s="67"/>
      <c r="M28" s="67"/>
      <c r="N28" s="67"/>
      <c r="O28" s="67"/>
      <c r="P28" s="67"/>
      <c r="Q28" s="67"/>
      <c r="R28" s="52"/>
    </row>
    <row r="29" spans="3:18" ht="16.5" x14ac:dyDescent="0.25">
      <c r="C29" s="275">
        <v>201905</v>
      </c>
      <c r="D29" s="43" t="s">
        <v>127</v>
      </c>
      <c r="E29" s="59">
        <v>4468</v>
      </c>
      <c r="F29" s="59">
        <v>6539</v>
      </c>
      <c r="G29" s="60"/>
      <c r="H29" s="59">
        <v>1012</v>
      </c>
      <c r="I29" s="60"/>
      <c r="J29" s="60">
        <v>3410</v>
      </c>
      <c r="K29" s="60">
        <v>34</v>
      </c>
      <c r="L29" s="60">
        <v>340</v>
      </c>
      <c r="M29" s="60"/>
      <c r="N29" s="60"/>
      <c r="O29" s="60">
        <f>18000+10000</f>
        <v>28000</v>
      </c>
      <c r="P29" s="60">
        <f>18000+19000</f>
        <v>37000</v>
      </c>
      <c r="Q29" s="60">
        <v>3500</v>
      </c>
      <c r="R29" s="44">
        <f>SUM(E29:Q29)</f>
        <v>84303</v>
      </c>
    </row>
    <row r="30" spans="3:18" ht="16.5" x14ac:dyDescent="0.25">
      <c r="C30" s="279"/>
      <c r="D30" s="46" t="s">
        <v>128</v>
      </c>
      <c r="E30" s="61"/>
      <c r="F30" s="61">
        <v>910</v>
      </c>
      <c r="G30" s="62"/>
      <c r="H30" s="61"/>
      <c r="I30" s="62"/>
      <c r="J30" s="62"/>
      <c r="K30" s="62"/>
      <c r="L30" s="62"/>
      <c r="M30" s="62"/>
      <c r="N30" s="62"/>
      <c r="O30" s="62"/>
      <c r="P30" s="62"/>
      <c r="Q30" s="62"/>
      <c r="R30" s="47">
        <f>SUM(E30:Q30)</f>
        <v>910</v>
      </c>
    </row>
    <row r="31" spans="3:18" ht="17.25" thickBot="1" x14ac:dyDescent="0.3">
      <c r="C31" s="279"/>
      <c r="D31" s="48" t="s">
        <v>129</v>
      </c>
      <c r="E31" s="63"/>
      <c r="F31" s="63">
        <f>3079+1076+2650+600</f>
        <v>7405</v>
      </c>
      <c r="G31" s="65"/>
      <c r="H31" s="63">
        <v>1180</v>
      </c>
      <c r="I31" s="65"/>
      <c r="J31" s="65"/>
      <c r="K31" s="65"/>
      <c r="L31" s="65"/>
      <c r="M31" s="65"/>
      <c r="N31" s="65"/>
      <c r="O31" s="65"/>
      <c r="P31" s="63"/>
      <c r="Q31" s="65"/>
      <c r="R31" s="49">
        <f>SUM(E31:Q31)</f>
        <v>8585</v>
      </c>
    </row>
    <row r="32" spans="3:18" x14ac:dyDescent="0.25">
      <c r="D32" s="41" t="s">
        <v>131</v>
      </c>
      <c r="E32" s="64">
        <f>SUM(E29:E31)</f>
        <v>4468</v>
      </c>
      <c r="F32" s="64">
        <f>SUM(F29:F31)</f>
        <v>14854</v>
      </c>
      <c r="G32" s="64">
        <f>SUM(G29:G31)</f>
        <v>0</v>
      </c>
      <c r="H32" s="64">
        <f t="shared" ref="H32:Q32" si="10">SUM(H29:H31)</f>
        <v>2192</v>
      </c>
      <c r="I32" s="64">
        <f t="shared" si="10"/>
        <v>0</v>
      </c>
      <c r="J32" s="64">
        <f t="shared" si="10"/>
        <v>3410</v>
      </c>
      <c r="K32" s="64">
        <f t="shared" si="10"/>
        <v>34</v>
      </c>
      <c r="L32" s="64">
        <f t="shared" si="10"/>
        <v>340</v>
      </c>
      <c r="M32" s="64">
        <f t="shared" si="10"/>
        <v>0</v>
      </c>
      <c r="N32" s="64">
        <f t="shared" si="10"/>
        <v>0</v>
      </c>
      <c r="O32" s="64">
        <f>SUM(O29:O31)</f>
        <v>28000</v>
      </c>
      <c r="P32" s="64">
        <f>SUM(P29:P31)</f>
        <v>37000</v>
      </c>
      <c r="Q32" s="64">
        <f t="shared" si="10"/>
        <v>3500</v>
      </c>
      <c r="R32" s="54">
        <f>SUM(R29:R31)</f>
        <v>93798</v>
      </c>
    </row>
    <row r="33" spans="3:18" ht="15.75" thickBot="1" x14ac:dyDescent="0.3">
      <c r="D33" s="41"/>
      <c r="E33" s="64"/>
      <c r="F33" s="64"/>
      <c r="G33" s="68"/>
      <c r="H33" s="64"/>
      <c r="I33" s="68"/>
      <c r="J33" s="68"/>
      <c r="K33" s="68"/>
      <c r="L33" s="68"/>
      <c r="M33" s="68"/>
      <c r="N33" s="68"/>
      <c r="O33" s="68"/>
      <c r="P33" s="68"/>
      <c r="Q33" s="68"/>
      <c r="R33" s="52"/>
    </row>
    <row r="34" spans="3:18" ht="16.5" x14ac:dyDescent="0.25">
      <c r="C34" s="275">
        <v>201906</v>
      </c>
      <c r="D34" s="43" t="s">
        <v>127</v>
      </c>
      <c r="E34" s="59">
        <v>1302</v>
      </c>
      <c r="F34" s="59">
        <v>11853</v>
      </c>
      <c r="G34" s="60"/>
      <c r="H34" s="59">
        <v>1571</v>
      </c>
      <c r="I34" s="60"/>
      <c r="J34" s="60">
        <v>500</v>
      </c>
      <c r="K34" s="60">
        <v>2343</v>
      </c>
      <c r="L34" s="60">
        <v>748</v>
      </c>
      <c r="M34" s="60"/>
      <c r="N34" s="60"/>
      <c r="O34" s="60">
        <f>18000+10000</f>
        <v>28000</v>
      </c>
      <c r="P34" s="60">
        <f>18000+19000</f>
        <v>37000</v>
      </c>
      <c r="Q34" s="60">
        <v>3500</v>
      </c>
      <c r="R34" s="44">
        <f>SUM(E34:Q34)</f>
        <v>86817</v>
      </c>
    </row>
    <row r="35" spans="3:18" ht="16.5" x14ac:dyDescent="0.25">
      <c r="C35" s="279"/>
      <c r="D35" s="46" t="s">
        <v>128</v>
      </c>
      <c r="E35" s="61"/>
      <c r="F35" s="61">
        <v>6141</v>
      </c>
      <c r="G35" s="62"/>
      <c r="H35" s="61"/>
      <c r="I35" s="62"/>
      <c r="J35" s="62"/>
      <c r="K35" s="62"/>
      <c r="L35" s="62"/>
      <c r="M35" s="62"/>
      <c r="N35" s="62"/>
      <c r="O35" s="62"/>
      <c r="P35" s="62"/>
      <c r="Q35" s="62"/>
      <c r="R35" s="47">
        <f>SUM(E35:Q35)</f>
        <v>6141</v>
      </c>
    </row>
    <row r="36" spans="3:18" ht="17.25" thickBot="1" x14ac:dyDescent="0.3">
      <c r="C36" s="279"/>
      <c r="D36" s="48" t="s">
        <v>129</v>
      </c>
      <c r="E36" s="63"/>
      <c r="F36" s="63">
        <f>23050+7980</f>
        <v>31030</v>
      </c>
      <c r="G36" s="63"/>
      <c r="H36" s="63">
        <f>17900+594</f>
        <v>18494</v>
      </c>
      <c r="I36" s="63">
        <v>69808</v>
      </c>
      <c r="J36" s="63"/>
      <c r="K36" s="63">
        <f>5890+1288</f>
        <v>7178</v>
      </c>
      <c r="L36" s="63"/>
      <c r="M36" s="63"/>
      <c r="N36" s="63"/>
      <c r="O36" s="63"/>
      <c r="P36" s="63"/>
      <c r="Q36" s="63"/>
      <c r="R36" s="49">
        <f>SUM(E36:Q36)</f>
        <v>126510</v>
      </c>
    </row>
    <row r="37" spans="3:18" x14ac:dyDescent="0.25">
      <c r="D37" s="41" t="s">
        <v>131</v>
      </c>
      <c r="E37" s="64">
        <f>SUM(E34:E36)</f>
        <v>1302</v>
      </c>
      <c r="F37" s="64">
        <f>SUM(F34:F36)</f>
        <v>49024</v>
      </c>
      <c r="G37" s="64">
        <f>SUM(G34:G36)</f>
        <v>0</v>
      </c>
      <c r="H37" s="64">
        <f t="shared" ref="H37:Q37" si="11">SUM(H34:H36)</f>
        <v>20065</v>
      </c>
      <c r="I37" s="64">
        <f t="shared" si="11"/>
        <v>69808</v>
      </c>
      <c r="J37" s="64">
        <f t="shared" si="11"/>
        <v>500</v>
      </c>
      <c r="K37" s="64">
        <f t="shared" si="11"/>
        <v>9521</v>
      </c>
      <c r="L37" s="64">
        <f t="shared" si="11"/>
        <v>748</v>
      </c>
      <c r="M37" s="64">
        <f t="shared" si="11"/>
        <v>0</v>
      </c>
      <c r="N37" s="64">
        <f t="shared" si="11"/>
        <v>0</v>
      </c>
      <c r="O37" s="64">
        <f>SUM(O34:O36)</f>
        <v>28000</v>
      </c>
      <c r="P37" s="64">
        <f>SUM(P34:P36)</f>
        <v>37000</v>
      </c>
      <c r="Q37" s="64">
        <f t="shared" si="11"/>
        <v>3500</v>
      </c>
      <c r="R37" s="54">
        <f>SUM(R34:R36)</f>
        <v>219468</v>
      </c>
    </row>
    <row r="38" spans="3:18" ht="15.75" thickBot="1" x14ac:dyDescent="0.3">
      <c r="D38" s="41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50"/>
    </row>
    <row r="39" spans="3:18" ht="16.5" x14ac:dyDescent="0.25">
      <c r="C39" s="275">
        <v>201907</v>
      </c>
      <c r="D39" s="43" t="s">
        <v>127</v>
      </c>
      <c r="E39" s="59">
        <v>2547</v>
      </c>
      <c r="F39" s="59">
        <v>9551</v>
      </c>
      <c r="G39" s="60"/>
      <c r="H39" s="59">
        <f>8537+996</f>
        <v>9533</v>
      </c>
      <c r="I39" s="60"/>
      <c r="J39" s="60">
        <v>1227</v>
      </c>
      <c r="K39" s="60">
        <v>446</v>
      </c>
      <c r="L39" s="60"/>
      <c r="M39" s="60"/>
      <c r="N39" s="60">
        <v>856</v>
      </c>
      <c r="O39" s="60">
        <f>8500+2000*3+10000</f>
        <v>24500</v>
      </c>
      <c r="P39" s="60">
        <f>18000+19000</f>
        <v>37000</v>
      </c>
      <c r="Q39" s="60">
        <v>3500</v>
      </c>
      <c r="R39" s="44">
        <f>SUM(E39:Q39)</f>
        <v>89160</v>
      </c>
    </row>
    <row r="40" spans="3:18" ht="16.5" x14ac:dyDescent="0.25">
      <c r="C40" s="279"/>
      <c r="D40" s="46" t="s">
        <v>128</v>
      </c>
      <c r="E40" s="61">
        <v>2094</v>
      </c>
      <c r="F40" s="61">
        <v>3070</v>
      </c>
      <c r="G40" s="62"/>
      <c r="H40" s="61">
        <f>2196-996</f>
        <v>1200</v>
      </c>
      <c r="I40" s="62"/>
      <c r="J40" s="62"/>
      <c r="K40" s="62"/>
      <c r="L40" s="62"/>
      <c r="M40" s="62"/>
      <c r="N40" s="62">
        <v>20202</v>
      </c>
      <c r="O40" s="62">
        <v>1000</v>
      </c>
      <c r="P40" s="62"/>
      <c r="Q40" s="62"/>
      <c r="R40" s="47">
        <f>SUM(E40:Q40)</f>
        <v>27566</v>
      </c>
    </row>
    <row r="41" spans="3:18" ht="17.25" thickBot="1" x14ac:dyDescent="0.3">
      <c r="C41" s="279"/>
      <c r="D41" s="48" t="s">
        <v>129</v>
      </c>
      <c r="E41" s="63"/>
      <c r="F41" s="63">
        <v>27441</v>
      </c>
      <c r="G41" s="65"/>
      <c r="H41" s="63"/>
      <c r="I41" s="65"/>
      <c r="J41" s="65"/>
      <c r="K41" s="65"/>
      <c r="L41" s="65"/>
      <c r="M41" s="65"/>
      <c r="N41" s="65"/>
      <c r="O41" s="65">
        <v>1000</v>
      </c>
      <c r="P41" s="63">
        <f>7000*2</f>
        <v>14000</v>
      </c>
      <c r="Q41" s="65"/>
      <c r="R41" s="49">
        <f>SUM(E41:Q41)</f>
        <v>42441</v>
      </c>
    </row>
    <row r="42" spans="3:18" x14ac:dyDescent="0.25">
      <c r="D42" s="41" t="s">
        <v>131</v>
      </c>
      <c r="E42" s="64">
        <f>SUM(E39:E41)</f>
        <v>4641</v>
      </c>
      <c r="F42" s="64">
        <f>SUM(F39:F41)</f>
        <v>40062</v>
      </c>
      <c r="G42" s="64">
        <f>SUM(G39:G41)</f>
        <v>0</v>
      </c>
      <c r="H42" s="64">
        <f t="shared" ref="H42:Q42" si="12">SUM(H39:H41)</f>
        <v>10733</v>
      </c>
      <c r="I42" s="64">
        <f t="shared" si="12"/>
        <v>0</v>
      </c>
      <c r="J42" s="64">
        <f t="shared" si="12"/>
        <v>1227</v>
      </c>
      <c r="K42" s="64">
        <f t="shared" si="12"/>
        <v>446</v>
      </c>
      <c r="L42" s="64">
        <f t="shared" si="12"/>
        <v>0</v>
      </c>
      <c r="M42" s="64">
        <f t="shared" si="12"/>
        <v>0</v>
      </c>
      <c r="N42" s="64">
        <f t="shared" si="12"/>
        <v>21058</v>
      </c>
      <c r="O42" s="64">
        <f t="shared" si="12"/>
        <v>26500</v>
      </c>
      <c r="P42" s="64">
        <f t="shared" si="12"/>
        <v>51000</v>
      </c>
      <c r="Q42" s="64">
        <f t="shared" si="12"/>
        <v>3500</v>
      </c>
      <c r="R42" s="54">
        <f>SUM(R39:R41)</f>
        <v>159167</v>
      </c>
    </row>
    <row r="43" spans="3:18" ht="15.75" thickBot="1" x14ac:dyDescent="0.3">
      <c r="D43" s="41"/>
      <c r="E43" s="66"/>
      <c r="F43" s="66"/>
      <c r="G43" s="67"/>
      <c r="H43" s="66"/>
      <c r="I43" s="67"/>
      <c r="J43" s="67"/>
      <c r="K43" s="67"/>
      <c r="L43" s="67"/>
      <c r="M43" s="67"/>
      <c r="N43" s="67"/>
      <c r="O43" s="67"/>
      <c r="P43" s="67"/>
      <c r="Q43" s="67"/>
      <c r="R43" s="52"/>
    </row>
    <row r="44" spans="3:18" ht="16.5" x14ac:dyDescent="0.25">
      <c r="C44" s="275">
        <v>201908</v>
      </c>
      <c r="D44" s="43" t="s">
        <v>127</v>
      </c>
      <c r="E44" s="59">
        <v>3989</v>
      </c>
      <c r="F44" s="59">
        <v>10474</v>
      </c>
      <c r="G44" s="60">
        <f>1691</f>
        <v>1691</v>
      </c>
      <c r="H44" s="59">
        <v>9310</v>
      </c>
      <c r="I44" s="60">
        <v>80</v>
      </c>
      <c r="J44" s="60">
        <v>1000</v>
      </c>
      <c r="K44" s="60">
        <v>1368</v>
      </c>
      <c r="L44" s="60">
        <v>248</v>
      </c>
      <c r="M44" s="60">
        <v>355</v>
      </c>
      <c r="N44" s="60"/>
      <c r="O44" s="60">
        <f>8500+2000*4+10000</f>
        <v>26500</v>
      </c>
      <c r="P44" s="60">
        <f>18000+19000</f>
        <v>37000</v>
      </c>
      <c r="Q44" s="60">
        <v>3500</v>
      </c>
      <c r="R44" s="44">
        <f>SUM(E44:Q44)</f>
        <v>95515</v>
      </c>
    </row>
    <row r="45" spans="3:18" ht="16.5" x14ac:dyDescent="0.25">
      <c r="C45" s="279"/>
      <c r="D45" s="46" t="s">
        <v>128</v>
      </c>
      <c r="E45" s="61">
        <f>16000</f>
        <v>16000</v>
      </c>
      <c r="F45" s="61">
        <v>4658</v>
      </c>
      <c r="G45" s="62"/>
      <c r="H45" s="61">
        <f>1370+390</f>
        <v>1760</v>
      </c>
      <c r="I45" s="62"/>
      <c r="J45" s="62"/>
      <c r="K45" s="62"/>
      <c r="L45" s="62"/>
      <c r="M45" s="62"/>
      <c r="N45" s="62"/>
      <c r="O45" s="62"/>
      <c r="P45" s="62"/>
      <c r="Q45" s="62"/>
      <c r="R45" s="47">
        <f>SUM(E45:Q45)</f>
        <v>22418</v>
      </c>
    </row>
    <row r="46" spans="3:18" ht="17.25" thickBot="1" x14ac:dyDescent="0.3">
      <c r="C46" s="279"/>
      <c r="D46" s="48" t="s">
        <v>129</v>
      </c>
      <c r="E46" s="63">
        <f>1580+1670+560</f>
        <v>3810</v>
      </c>
      <c r="F46" s="63">
        <v>27440</v>
      </c>
      <c r="G46" s="65"/>
      <c r="H46" s="63">
        <f>2111+2342+6017+1397</f>
        <v>11867</v>
      </c>
      <c r="I46" s="65"/>
      <c r="J46" s="65"/>
      <c r="K46" s="65"/>
      <c r="L46" s="65"/>
      <c r="M46" s="65"/>
      <c r="N46" s="65"/>
      <c r="O46" s="65">
        <f>4000+1000+800+300</f>
        <v>6100</v>
      </c>
      <c r="P46" s="63">
        <f>1000+200</f>
        <v>1200</v>
      </c>
      <c r="Q46" s="65">
        <v>540</v>
      </c>
      <c r="R46" s="49">
        <f>SUM(E46:Q46)</f>
        <v>50957</v>
      </c>
    </row>
    <row r="47" spans="3:18" x14ac:dyDescent="0.25">
      <c r="D47" s="41" t="s">
        <v>131</v>
      </c>
      <c r="E47" s="64">
        <f>SUM(E44:E46)</f>
        <v>23799</v>
      </c>
      <c r="F47" s="64">
        <f>SUM(F44:F46)</f>
        <v>42572</v>
      </c>
      <c r="G47" s="64">
        <f>SUM(G44:G46)</f>
        <v>1691</v>
      </c>
      <c r="H47" s="64">
        <f t="shared" ref="H47:Q47" si="13">SUM(H44:H46)</f>
        <v>22937</v>
      </c>
      <c r="I47" s="64">
        <f t="shared" si="13"/>
        <v>80</v>
      </c>
      <c r="J47" s="64">
        <f t="shared" si="13"/>
        <v>1000</v>
      </c>
      <c r="K47" s="64">
        <f t="shared" si="13"/>
        <v>1368</v>
      </c>
      <c r="L47" s="64">
        <f t="shared" si="13"/>
        <v>248</v>
      </c>
      <c r="M47" s="64">
        <f t="shared" si="13"/>
        <v>355</v>
      </c>
      <c r="N47" s="64">
        <f t="shared" si="13"/>
        <v>0</v>
      </c>
      <c r="O47" s="64">
        <f>SUM(O44:O46)</f>
        <v>32600</v>
      </c>
      <c r="P47" s="64">
        <f>SUM(P44:P46)</f>
        <v>38200</v>
      </c>
      <c r="Q47" s="64">
        <f t="shared" si="13"/>
        <v>4040</v>
      </c>
      <c r="R47" s="54">
        <f>SUM(R44:R46)</f>
        <v>168890</v>
      </c>
    </row>
    <row r="48" spans="3:18" ht="15.75" thickBot="1" x14ac:dyDescent="0.3"/>
    <row r="49" spans="3:19" ht="16.5" x14ac:dyDescent="0.25">
      <c r="C49" s="275">
        <v>201909</v>
      </c>
      <c r="D49" s="43" t="s">
        <v>127</v>
      </c>
      <c r="E49" s="59">
        <f>1880+975+780</f>
        <v>3635</v>
      </c>
      <c r="F49" s="59">
        <f>500+100+1372+30+55+40+338+792+80+578+2060+217+185+45+30+1399+1198+60+1466+75+30+34+130+315+105+200+243+1056+30+64+40+30+126+160+228+50+85+80</f>
        <v>13626</v>
      </c>
      <c r="G49" s="60">
        <f>2060+1360+500+123+1+85+1+25+30+24+1377+57+114+15+160+22+30+30+35+20+130+65+170+135+40+1500+500+758+516+110+75+201+3+853+22+25+299+55+30+290</f>
        <v>11846</v>
      </c>
      <c r="H49" s="59">
        <f>165+448+190+30+1134+170</f>
        <v>2137</v>
      </c>
      <c r="I49" s="60"/>
      <c r="J49" s="60"/>
      <c r="K49" s="60"/>
      <c r="L49" s="60"/>
      <c r="M49" s="60"/>
      <c r="N49" s="60"/>
      <c r="O49" s="60">
        <f>8500+2000*4+10000</f>
        <v>26500</v>
      </c>
      <c r="P49" s="60">
        <f>18000+19000</f>
        <v>37000</v>
      </c>
      <c r="Q49" s="60">
        <v>3500</v>
      </c>
      <c r="R49" s="44">
        <f>SUM(E49:Q49)</f>
        <v>98244</v>
      </c>
      <c r="S49" s="52"/>
    </row>
    <row r="50" spans="3:19" ht="16.5" x14ac:dyDescent="0.25">
      <c r="C50" s="279"/>
      <c r="D50" s="46" t="s">
        <v>128</v>
      </c>
      <c r="E50" s="61">
        <f>1400</f>
        <v>1400</v>
      </c>
      <c r="F50" s="61"/>
      <c r="G50" s="62">
        <f>2348+35+4799+71+1060</f>
        <v>8313</v>
      </c>
      <c r="H50" s="61">
        <f>990*0.9</f>
        <v>891</v>
      </c>
      <c r="I50" s="62"/>
      <c r="J50" s="62"/>
      <c r="K50" s="62"/>
      <c r="L50" s="62"/>
      <c r="M50" s="62"/>
      <c r="N50" s="62"/>
      <c r="O50" s="62"/>
      <c r="P50" s="62"/>
      <c r="Q50" s="62"/>
      <c r="R50" s="47">
        <f>SUM(E50:Q50)</f>
        <v>10604</v>
      </c>
    </row>
    <row r="51" spans="3:19" ht="17.25" thickBot="1" x14ac:dyDescent="0.3">
      <c r="C51" s="279"/>
      <c r="D51" s="48" t="s">
        <v>129</v>
      </c>
      <c r="E51" s="63"/>
      <c r="F51" s="63">
        <f>27440+2022</f>
        <v>29462</v>
      </c>
      <c r="G51" s="65">
        <f>327+2742+1143+313+4+348+5+535+8+4646+69+950+5519+2729</f>
        <v>19338</v>
      </c>
      <c r="H51" s="63"/>
      <c r="I51" s="65"/>
      <c r="J51" s="65"/>
      <c r="K51" s="65"/>
      <c r="L51" s="65"/>
      <c r="M51" s="65"/>
      <c r="N51" s="65"/>
      <c r="O51" s="65">
        <v>1000</v>
      </c>
      <c r="P51" s="63"/>
      <c r="Q51" s="65">
        <v>658</v>
      </c>
      <c r="R51" s="49">
        <f>SUM(E51:Q51)</f>
        <v>50458</v>
      </c>
    </row>
    <row r="52" spans="3:19" x14ac:dyDescent="0.25">
      <c r="D52" s="41" t="s">
        <v>131</v>
      </c>
      <c r="E52" s="64">
        <f>SUM(E49:E51)</f>
        <v>5035</v>
      </c>
      <c r="F52" s="64">
        <f>SUM(F49:F51)</f>
        <v>43088</v>
      </c>
      <c r="G52" s="64">
        <f>SUM(G49:G51)</f>
        <v>39497</v>
      </c>
      <c r="H52" s="64">
        <f t="shared" ref="H52:N52" si="14">SUM(H49:H51)</f>
        <v>3028</v>
      </c>
      <c r="I52" s="64">
        <f t="shared" si="14"/>
        <v>0</v>
      </c>
      <c r="J52" s="64">
        <f t="shared" si="14"/>
        <v>0</v>
      </c>
      <c r="K52" s="64">
        <f t="shared" si="14"/>
        <v>0</v>
      </c>
      <c r="L52" s="64">
        <f t="shared" si="14"/>
        <v>0</v>
      </c>
      <c r="M52" s="64">
        <f t="shared" si="14"/>
        <v>0</v>
      </c>
      <c r="N52" s="64">
        <f t="shared" si="14"/>
        <v>0</v>
      </c>
      <c r="O52" s="64">
        <f>SUM(O49:O51)</f>
        <v>27500</v>
      </c>
      <c r="P52" s="64">
        <f>SUM(P49:P51)</f>
        <v>37000</v>
      </c>
      <c r="Q52" s="64">
        <f>SUM(Q49:Q51)</f>
        <v>4158</v>
      </c>
      <c r="R52" s="54">
        <f>SUM(R49:R51)</f>
        <v>159306</v>
      </c>
    </row>
    <row r="53" spans="3:19" ht="15.75" thickBot="1" x14ac:dyDescent="0.3"/>
    <row r="54" spans="3:19" ht="16.5" x14ac:dyDescent="0.25">
      <c r="C54" s="275">
        <v>201910</v>
      </c>
      <c r="D54" s="43" t="s">
        <v>127</v>
      </c>
      <c r="E54" s="59">
        <f>447+624</f>
        <v>1071</v>
      </c>
      <c r="F54" s="59">
        <f>1372+30+180+30+500+999+1399+98+1084+40+1474+27+40</f>
        <v>7273</v>
      </c>
      <c r="G54" s="60">
        <f>300+1377+1477+1379+500+39+1370+29+305+130+409+30+40+35+45+30+30+926+312+570+357+178+400+84+30+704+70+30+144+60+100+68+50+30+49+60</f>
        <v>11747</v>
      </c>
      <c r="H54" s="59">
        <f>521+60+1184+520</f>
        <v>2285</v>
      </c>
      <c r="I54" s="60"/>
      <c r="J54" s="60"/>
      <c r="K54" s="60"/>
      <c r="L54" s="60"/>
      <c r="M54" s="60"/>
      <c r="N54" s="60"/>
      <c r="O54" s="60">
        <f>18000+10000</f>
        <v>28000</v>
      </c>
      <c r="P54" s="60">
        <f>18000+19000</f>
        <v>37000</v>
      </c>
      <c r="Q54" s="60">
        <v>3500</v>
      </c>
      <c r="R54" s="44">
        <f>SUM(E54:Q54)</f>
        <v>90876</v>
      </c>
    </row>
    <row r="55" spans="3:19" ht="16.5" x14ac:dyDescent="0.25">
      <c r="C55" s="279"/>
      <c r="D55" s="46" t="s">
        <v>128</v>
      </c>
      <c r="E55" s="61"/>
      <c r="F55" s="61"/>
      <c r="G55" s="62"/>
      <c r="H55" s="61">
        <f>680+49+1598</f>
        <v>2327</v>
      </c>
      <c r="I55" s="62"/>
      <c r="J55" s="62"/>
      <c r="K55" s="62"/>
      <c r="L55" s="62"/>
      <c r="M55" s="62"/>
      <c r="N55" s="62"/>
      <c r="O55" s="62"/>
      <c r="P55" s="62"/>
      <c r="Q55" s="62"/>
      <c r="R55" s="47">
        <f>SUM(E55:Q55)</f>
        <v>2327</v>
      </c>
    </row>
    <row r="56" spans="3:19" ht="17.25" thickBot="1" x14ac:dyDescent="0.3">
      <c r="C56" s="279"/>
      <c r="D56" s="48" t="s">
        <v>129</v>
      </c>
      <c r="E56" s="63"/>
      <c r="F56" s="63">
        <f>3079+540+12131+468+10956+14065</f>
        <v>41239</v>
      </c>
      <c r="G56" s="65">
        <f>2160+1160+1891+1396+20+630</f>
        <v>7257</v>
      </c>
      <c r="H56" s="63"/>
      <c r="I56" s="65"/>
      <c r="J56" s="65"/>
      <c r="K56" s="65"/>
      <c r="L56" s="65"/>
      <c r="M56" s="65"/>
      <c r="N56" s="65"/>
      <c r="O56" s="65"/>
      <c r="P56" s="63"/>
      <c r="Q56" s="65"/>
      <c r="R56" s="49">
        <f>SUM(E56:Q56)</f>
        <v>48496</v>
      </c>
    </row>
    <row r="57" spans="3:19" x14ac:dyDescent="0.25">
      <c r="D57" s="41" t="s">
        <v>131</v>
      </c>
      <c r="E57" s="64">
        <f>SUM(E54:E56)</f>
        <v>1071</v>
      </c>
      <c r="F57" s="64">
        <f>SUM(F54:F56)</f>
        <v>48512</v>
      </c>
      <c r="G57" s="64">
        <f>SUM(G54:G56)</f>
        <v>19004</v>
      </c>
      <c r="H57" s="64">
        <f t="shared" ref="H57:N57" si="15">SUM(H54:H56)</f>
        <v>4612</v>
      </c>
      <c r="I57" s="64">
        <f t="shared" si="15"/>
        <v>0</v>
      </c>
      <c r="J57" s="64">
        <f t="shared" si="15"/>
        <v>0</v>
      </c>
      <c r="K57" s="64">
        <f t="shared" si="15"/>
        <v>0</v>
      </c>
      <c r="L57" s="64">
        <f t="shared" si="15"/>
        <v>0</v>
      </c>
      <c r="M57" s="64">
        <f t="shared" si="15"/>
        <v>0</v>
      </c>
      <c r="N57" s="64">
        <f t="shared" si="15"/>
        <v>0</v>
      </c>
      <c r="O57" s="64">
        <f>SUM(O54:O56)</f>
        <v>28000</v>
      </c>
      <c r="P57" s="64">
        <f>SUM(P54:P56)</f>
        <v>37000</v>
      </c>
      <c r="Q57" s="64">
        <f>SUM(Q54:Q56)</f>
        <v>3500</v>
      </c>
      <c r="R57" s="54">
        <f>SUM(R54:R56)</f>
        <v>141699</v>
      </c>
    </row>
    <row r="58" spans="3:19" ht="15.75" thickBot="1" x14ac:dyDescent="0.3"/>
    <row r="59" spans="3:19" ht="16.5" x14ac:dyDescent="0.25">
      <c r="C59" s="275">
        <v>201911</v>
      </c>
      <c r="D59" s="43" t="s">
        <v>127</v>
      </c>
      <c r="E59" s="59"/>
      <c r="F59" s="59">
        <f>400+40+55+60+30+465+1399+999</f>
        <v>3448</v>
      </c>
      <c r="G59" s="60"/>
      <c r="H59" s="59">
        <f>150+374</f>
        <v>524</v>
      </c>
      <c r="I59" s="60"/>
      <c r="J59" s="60"/>
      <c r="K59" s="60"/>
      <c r="L59" s="60"/>
      <c r="M59" s="60"/>
      <c r="N59" s="60"/>
      <c r="O59" s="60">
        <f>18000+10000</f>
        <v>28000</v>
      </c>
      <c r="P59" s="60">
        <f>18000+19000</f>
        <v>37000</v>
      </c>
      <c r="Q59" s="60">
        <v>3500</v>
      </c>
      <c r="R59" s="44">
        <f>SUM(E59:Q59)</f>
        <v>72472</v>
      </c>
    </row>
    <row r="60" spans="3:19" ht="16.5" x14ac:dyDescent="0.25">
      <c r="C60" s="279"/>
      <c r="D60" s="46" t="s">
        <v>128</v>
      </c>
      <c r="E60" s="61"/>
      <c r="F60" s="61"/>
      <c r="G60" s="62">
        <f>2562*2+9000</f>
        <v>14124</v>
      </c>
      <c r="H60" s="61">
        <f>680+780</f>
        <v>1460</v>
      </c>
      <c r="I60" s="62"/>
      <c r="J60" s="62"/>
      <c r="K60" s="62"/>
      <c r="L60" s="62"/>
      <c r="M60" s="62"/>
      <c r="N60" s="62"/>
      <c r="O60" s="62"/>
      <c r="P60" s="62"/>
      <c r="Q60" s="62"/>
      <c r="R60" s="47">
        <f>SUM(E60:Q60)</f>
        <v>15584</v>
      </c>
    </row>
    <row r="61" spans="3:19" ht="17.25" thickBot="1" x14ac:dyDescent="0.3">
      <c r="C61" s="279"/>
      <c r="D61" s="48" t="s">
        <v>129</v>
      </c>
      <c r="E61" s="63"/>
      <c r="F61" s="63">
        <f>6160+1620+12131+466+200+3780+5655+85+3+9+12+30+10+2031+781+224+604+664+1714+26</f>
        <v>36205</v>
      </c>
      <c r="G61" s="65"/>
      <c r="H61" s="63">
        <f>973+5190</f>
        <v>6163</v>
      </c>
      <c r="I61" s="65"/>
      <c r="J61" s="65"/>
      <c r="K61" s="65"/>
      <c r="L61" s="65"/>
      <c r="M61" s="65"/>
      <c r="N61" s="65"/>
      <c r="O61" s="65"/>
      <c r="P61" s="63"/>
      <c r="Q61" s="65"/>
      <c r="R61" s="49">
        <f>SUM(E61:Q61)</f>
        <v>42368</v>
      </c>
    </row>
    <row r="62" spans="3:19" x14ac:dyDescent="0.25">
      <c r="D62" s="41" t="s">
        <v>131</v>
      </c>
      <c r="E62" s="64">
        <f>SUM(E59:E61)</f>
        <v>0</v>
      </c>
      <c r="F62" s="64">
        <f>SUM(F59:F61)</f>
        <v>39653</v>
      </c>
      <c r="G62" s="64">
        <f>SUM(G59:G61)</f>
        <v>14124</v>
      </c>
      <c r="H62" s="64">
        <f t="shared" ref="H62:N62" si="16">SUM(H59:H61)</f>
        <v>8147</v>
      </c>
      <c r="I62" s="64">
        <f t="shared" si="16"/>
        <v>0</v>
      </c>
      <c r="J62" s="64">
        <f t="shared" si="16"/>
        <v>0</v>
      </c>
      <c r="K62" s="64">
        <f t="shared" si="16"/>
        <v>0</v>
      </c>
      <c r="L62" s="64">
        <f t="shared" si="16"/>
        <v>0</v>
      </c>
      <c r="M62" s="64">
        <f t="shared" si="16"/>
        <v>0</v>
      </c>
      <c r="N62" s="64">
        <f t="shared" si="16"/>
        <v>0</v>
      </c>
      <c r="O62" s="64">
        <f>SUM(O59:O61)</f>
        <v>28000</v>
      </c>
      <c r="P62" s="64">
        <f>SUM(P59:P61)</f>
        <v>37000</v>
      </c>
      <c r="Q62" s="64">
        <f>SUM(Q59:Q61)</f>
        <v>3500</v>
      </c>
      <c r="R62" s="54">
        <f>SUM(R59:R61)</f>
        <v>130424</v>
      </c>
    </row>
    <row r="63" spans="3:19" ht="15.75" thickBot="1" x14ac:dyDescent="0.3"/>
    <row r="64" spans="3:19" ht="16.5" x14ac:dyDescent="0.25">
      <c r="C64" s="275">
        <v>201912</v>
      </c>
      <c r="D64" s="43" t="s">
        <v>127</v>
      </c>
      <c r="E64" s="59"/>
      <c r="F64" s="59">
        <f>100+55+296+50+30+50+873+37+50+31+424+30+698+50+29+50+70+2056+1012+1015+101+95+1+2</f>
        <v>7205</v>
      </c>
      <c r="G64" s="60">
        <f>500+1500+1395+1302+95+60+966+116+309+55+30+80+70+72+50+534+1734</f>
        <v>8868</v>
      </c>
      <c r="H64" s="59">
        <f>550+880+471</f>
        <v>1901</v>
      </c>
      <c r="I64" s="60"/>
      <c r="J64" s="60"/>
      <c r="K64" s="60"/>
      <c r="L64" s="60"/>
      <c r="M64" s="60"/>
      <c r="N64" s="60"/>
      <c r="O64" s="60">
        <f>8500+2000*4+10000</f>
        <v>26500</v>
      </c>
      <c r="P64" s="60">
        <f>18000+19000</f>
        <v>37000</v>
      </c>
      <c r="Q64" s="60">
        <v>3500</v>
      </c>
      <c r="R64" s="44">
        <f>SUM(E64:Q64)</f>
        <v>84974</v>
      </c>
    </row>
    <row r="65" spans="3:18" ht="16.5" x14ac:dyDescent="0.25">
      <c r="C65" s="279"/>
      <c r="D65" s="46" t="s">
        <v>128</v>
      </c>
      <c r="E65" s="61"/>
      <c r="F65" s="61"/>
      <c r="G65" s="62">
        <f>4800</f>
        <v>4800</v>
      </c>
      <c r="H65" s="61"/>
      <c r="I65" s="62"/>
      <c r="J65" s="62"/>
      <c r="K65" s="62"/>
      <c r="L65" s="62"/>
      <c r="M65" s="62"/>
      <c r="N65" s="62">
        <v>17000</v>
      </c>
      <c r="O65" s="62"/>
      <c r="P65" s="62"/>
      <c r="Q65" s="62"/>
      <c r="R65" s="47">
        <f>SUM(E65:Q65)</f>
        <v>21800</v>
      </c>
    </row>
    <row r="66" spans="3:18" ht="17.25" thickBot="1" x14ac:dyDescent="0.3">
      <c r="C66" s="279"/>
      <c r="D66" s="48" t="s">
        <v>129</v>
      </c>
      <c r="E66" s="63"/>
      <c r="F66" s="63">
        <f>6158+12131+466-1539-12282</f>
        <v>4934</v>
      </c>
      <c r="G66" s="65"/>
      <c r="H66" s="63">
        <v>3686</v>
      </c>
      <c r="I66" s="65"/>
      <c r="J66" s="65"/>
      <c r="K66" s="65"/>
      <c r="L66" s="65"/>
      <c r="M66" s="65"/>
      <c r="N66" s="65"/>
      <c r="O66" s="65"/>
      <c r="P66" s="63"/>
      <c r="Q66" s="65">
        <f>600+1200</f>
        <v>1800</v>
      </c>
      <c r="R66" s="49">
        <f>SUM(E66:Q66)</f>
        <v>10420</v>
      </c>
    </row>
    <row r="67" spans="3:18" x14ac:dyDescent="0.25">
      <c r="D67" s="41" t="s">
        <v>131</v>
      </c>
      <c r="E67" s="64">
        <f>SUM(E64:E66)</f>
        <v>0</v>
      </c>
      <c r="F67" s="64">
        <f>SUM(F64:F66)</f>
        <v>12139</v>
      </c>
      <c r="G67" s="64">
        <f>SUM(G64:G66)</f>
        <v>13668</v>
      </c>
      <c r="H67" s="64">
        <f t="shared" ref="H67:N67" si="17">SUM(H64:H66)</f>
        <v>5587</v>
      </c>
      <c r="I67" s="64">
        <f t="shared" si="17"/>
        <v>0</v>
      </c>
      <c r="J67" s="64">
        <f t="shared" si="17"/>
        <v>0</v>
      </c>
      <c r="K67" s="64">
        <f t="shared" si="17"/>
        <v>0</v>
      </c>
      <c r="L67" s="64">
        <f t="shared" si="17"/>
        <v>0</v>
      </c>
      <c r="M67" s="64">
        <f t="shared" si="17"/>
        <v>0</v>
      </c>
      <c r="N67" s="64">
        <f t="shared" si="17"/>
        <v>17000</v>
      </c>
      <c r="O67" s="64">
        <f>SUM(O64:O66)</f>
        <v>26500</v>
      </c>
      <c r="P67" s="64">
        <f>SUM(P64:P66)</f>
        <v>37000</v>
      </c>
      <c r="Q67" s="64">
        <f>SUM(Q64:Q66)</f>
        <v>5300</v>
      </c>
      <c r="R67" s="54">
        <f>SUM(R64:R66)</f>
        <v>117194</v>
      </c>
    </row>
    <row r="75" spans="3:18" x14ac:dyDescent="0.25">
      <c r="E75" s="69"/>
      <c r="F75" s="69"/>
    </row>
    <row r="76" spans="3:18" x14ac:dyDescent="0.25">
      <c r="F76" s="51"/>
      <c r="H76" s="74"/>
    </row>
  </sheetData>
  <mergeCells count="12">
    <mergeCell ref="C64:C66"/>
    <mergeCell ref="C9:C11"/>
    <mergeCell ref="C14:C16"/>
    <mergeCell ref="C49:C51"/>
    <mergeCell ref="C54:C56"/>
    <mergeCell ref="C59:C61"/>
    <mergeCell ref="C34:C36"/>
    <mergeCell ref="C39:C41"/>
    <mergeCell ref="C44:C46"/>
    <mergeCell ref="C19:C21"/>
    <mergeCell ref="C24:C26"/>
    <mergeCell ref="C29:C31"/>
  </mergeCells>
  <phoneticPr fontId="1" type="noConversion"/>
  <conditionalFormatting sqref="E6:F6 H6:Q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"/>
  <dimension ref="A1:I14"/>
  <sheetViews>
    <sheetView zoomScale="70" zoomScaleNormal="70" workbookViewId="0">
      <selection activeCell="D7" sqref="D7"/>
    </sheetView>
  </sheetViews>
  <sheetFormatPr defaultColWidth="9.25" defaultRowHeight="16.5" x14ac:dyDescent="0.25"/>
  <cols>
    <col min="1" max="1" width="14.625" customWidth="1"/>
    <col min="2" max="2" width="22.375" customWidth="1"/>
    <col min="3" max="3" width="42.25" bestFit="1" customWidth="1"/>
    <col min="4" max="4" width="35.25" bestFit="1" customWidth="1"/>
    <col min="5" max="5" width="44" bestFit="1" customWidth="1"/>
    <col min="6" max="7" width="44" style="3" bestFit="1" customWidth="1"/>
    <col min="8" max="8" width="19.25" style="3" bestFit="1" customWidth="1"/>
    <col min="9" max="9" width="12.25" bestFit="1" customWidth="1"/>
  </cols>
  <sheetData>
    <row r="1" spans="1:9" x14ac:dyDescent="0.25">
      <c r="A1" s="6"/>
      <c r="B1" s="6" t="s">
        <v>0</v>
      </c>
      <c r="C1" s="6" t="s">
        <v>10</v>
      </c>
      <c r="D1" s="6" t="s">
        <v>1</v>
      </c>
      <c r="E1" s="6" t="s">
        <v>20</v>
      </c>
      <c r="F1" s="6" t="s">
        <v>51</v>
      </c>
      <c r="G1" s="6" t="s">
        <v>47</v>
      </c>
      <c r="H1" s="21" t="s">
        <v>56</v>
      </c>
    </row>
    <row r="2" spans="1:9" ht="82.5" x14ac:dyDescent="0.25">
      <c r="A2" s="6" t="s">
        <v>2</v>
      </c>
      <c r="B2" s="6" t="s">
        <v>3</v>
      </c>
      <c r="C2" s="6"/>
      <c r="D2" s="2" t="s">
        <v>46</v>
      </c>
      <c r="E2" s="2" t="s">
        <v>42</v>
      </c>
      <c r="F2" s="2" t="s">
        <v>52</v>
      </c>
      <c r="G2" s="2" t="s">
        <v>54</v>
      </c>
      <c r="H2" s="2"/>
    </row>
    <row r="3" spans="1:9" x14ac:dyDescent="0.25">
      <c r="A3" s="6" t="s">
        <v>4</v>
      </c>
      <c r="B3" s="6" t="s">
        <v>7</v>
      </c>
      <c r="C3" s="6"/>
      <c r="D3" s="6"/>
      <c r="E3" s="6" t="s">
        <v>43</v>
      </c>
      <c r="F3" s="6"/>
      <c r="G3" s="6"/>
      <c r="H3" s="6"/>
      <c r="I3" s="4"/>
    </row>
    <row r="4" spans="1:9" x14ac:dyDescent="0.25">
      <c r="A4" s="6" t="s">
        <v>5</v>
      </c>
      <c r="B4" s="6"/>
      <c r="C4" s="6"/>
      <c r="D4" s="13">
        <v>0.01</v>
      </c>
      <c r="E4" s="14">
        <v>1.2E-2</v>
      </c>
      <c r="F4" s="14"/>
      <c r="G4" s="14"/>
      <c r="H4" s="14"/>
    </row>
    <row r="5" spans="1:9" ht="214.5" x14ac:dyDescent="0.25">
      <c r="A5" s="6" t="s">
        <v>8</v>
      </c>
      <c r="B5" s="15" t="s">
        <v>13</v>
      </c>
      <c r="C5" s="6"/>
      <c r="D5" s="16" t="s">
        <v>19</v>
      </c>
      <c r="E5" s="19" t="s">
        <v>55</v>
      </c>
      <c r="F5" s="19"/>
      <c r="G5" s="19"/>
      <c r="H5" s="19"/>
    </row>
    <row r="6" spans="1:9" ht="82.5" x14ac:dyDescent="0.25">
      <c r="A6" s="15" t="s">
        <v>9</v>
      </c>
      <c r="B6" s="15" t="s">
        <v>18</v>
      </c>
      <c r="C6" s="6"/>
      <c r="D6" s="15"/>
      <c r="E6" s="15"/>
      <c r="F6" s="15"/>
      <c r="G6" s="15"/>
      <c r="H6" s="15"/>
      <c r="I6" s="1"/>
    </row>
    <row r="7" spans="1:9" ht="49.5" x14ac:dyDescent="0.25">
      <c r="A7" s="6" t="s">
        <v>12</v>
      </c>
      <c r="B7" s="15" t="s">
        <v>14</v>
      </c>
      <c r="C7" s="6"/>
      <c r="D7" s="15"/>
      <c r="E7" s="15"/>
      <c r="F7" s="15"/>
      <c r="G7" s="15"/>
      <c r="H7" s="15"/>
      <c r="I7" s="1"/>
    </row>
    <row r="8" spans="1:9" x14ac:dyDescent="0.25">
      <c r="A8" s="6" t="s">
        <v>15</v>
      </c>
      <c r="B8" s="6"/>
      <c r="C8" s="6"/>
      <c r="D8" s="6"/>
      <c r="E8" s="6"/>
      <c r="F8" s="6"/>
      <c r="G8" s="6"/>
      <c r="H8" s="6"/>
    </row>
    <row r="9" spans="1:9" ht="165" x14ac:dyDescent="0.25">
      <c r="A9" s="15" t="s">
        <v>17</v>
      </c>
      <c r="B9" s="15" t="s">
        <v>16</v>
      </c>
      <c r="C9" s="6"/>
      <c r="D9" s="6"/>
      <c r="E9" s="15" t="s">
        <v>44</v>
      </c>
      <c r="F9" s="15"/>
      <c r="G9" s="15"/>
      <c r="H9" s="15"/>
    </row>
    <row r="10" spans="1:9" x14ac:dyDescent="0.25">
      <c r="A10" s="15" t="s">
        <v>26</v>
      </c>
      <c r="B10" s="15"/>
      <c r="C10" s="6" t="s">
        <v>23</v>
      </c>
      <c r="D10" s="6"/>
      <c r="E10" s="6" t="s">
        <v>45</v>
      </c>
      <c r="F10" s="6"/>
      <c r="G10" s="6"/>
      <c r="H10" s="6"/>
    </row>
    <row r="11" spans="1:9" x14ac:dyDescent="0.25">
      <c r="A11" s="15" t="s">
        <v>22</v>
      </c>
      <c r="B11" s="15"/>
      <c r="C11" s="6" t="s">
        <v>24</v>
      </c>
      <c r="D11" s="6"/>
      <c r="E11" s="17" t="s">
        <v>25</v>
      </c>
      <c r="F11" s="17"/>
      <c r="G11" s="17"/>
      <c r="H11" s="17"/>
    </row>
    <row r="12" spans="1:9" ht="181.5" x14ac:dyDescent="0.25">
      <c r="A12" s="6" t="s">
        <v>6</v>
      </c>
      <c r="B12" s="6"/>
      <c r="C12" s="18" t="s">
        <v>50</v>
      </c>
      <c r="D12" s="15" t="s">
        <v>49</v>
      </c>
      <c r="E12" s="20" t="s">
        <v>21</v>
      </c>
      <c r="F12" s="20"/>
      <c r="G12" s="20"/>
      <c r="H12" s="20"/>
    </row>
    <row r="13" spans="1:9" x14ac:dyDescent="0.25">
      <c r="A13" s="6" t="s">
        <v>11</v>
      </c>
      <c r="B13" s="6"/>
      <c r="C13" s="6"/>
      <c r="D13" s="6"/>
      <c r="E13" s="6" t="s">
        <v>48</v>
      </c>
      <c r="F13" s="6"/>
      <c r="G13" s="6" t="s">
        <v>53</v>
      </c>
      <c r="H13" s="6"/>
    </row>
    <row r="14" spans="1:9" ht="49.5" x14ac:dyDescent="0.25">
      <c r="A14" s="6"/>
      <c r="B14" s="15"/>
      <c r="C14" s="15"/>
      <c r="D14" s="15"/>
      <c r="E14" s="15"/>
      <c r="F14" s="15" t="s">
        <v>70</v>
      </c>
      <c r="G14" s="15"/>
      <c r="H14" s="1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8"/>
  <dimension ref="A1:S28"/>
  <sheetViews>
    <sheetView topLeftCell="E1" workbookViewId="0">
      <selection activeCell="R5" sqref="R5"/>
    </sheetView>
  </sheetViews>
  <sheetFormatPr defaultColWidth="9" defaultRowHeight="14.25" x14ac:dyDescent="0.25"/>
  <cols>
    <col min="1" max="1" width="9" style="28"/>
    <col min="2" max="3" width="7.5" style="28" bestFit="1" customWidth="1"/>
    <col min="4" max="4" width="72.625" style="28" bestFit="1" customWidth="1"/>
    <col min="5" max="5" width="38.875" style="28" bestFit="1" customWidth="1"/>
    <col min="6" max="6" width="9" style="28"/>
    <col min="7" max="7" width="10.5" style="28" bestFit="1" customWidth="1"/>
    <col min="8" max="8" width="10.875" style="28" bestFit="1" customWidth="1"/>
    <col min="9" max="9" width="15" style="28" bestFit="1" customWidth="1"/>
    <col min="10" max="10" width="9" style="28"/>
    <col min="11" max="11" width="9.5" style="28" bestFit="1" customWidth="1"/>
    <col min="12" max="12" width="10.625" style="28" bestFit="1" customWidth="1"/>
    <col min="13" max="13" width="18.75" style="28" bestFit="1" customWidth="1"/>
    <col min="14" max="16384" width="9" style="28"/>
  </cols>
  <sheetData>
    <row r="1" spans="1:19" ht="15" thickBot="1" x14ac:dyDescent="0.3">
      <c r="A1" s="26"/>
      <c r="B1" s="26" t="s">
        <v>72</v>
      </c>
      <c r="C1" s="26" t="s">
        <v>73</v>
      </c>
      <c r="D1" s="26" t="s">
        <v>80</v>
      </c>
      <c r="E1" s="27" t="s">
        <v>89</v>
      </c>
    </row>
    <row r="2" spans="1:19" ht="15" thickTop="1" x14ac:dyDescent="0.25">
      <c r="A2" s="29" t="s">
        <v>78</v>
      </c>
      <c r="B2" s="29">
        <v>22</v>
      </c>
      <c r="C2" s="29">
        <v>6</v>
      </c>
      <c r="D2" s="30" t="s">
        <v>85</v>
      </c>
    </row>
    <row r="3" spans="1:19" x14ac:dyDescent="0.25">
      <c r="A3" s="31" t="s">
        <v>77</v>
      </c>
      <c r="B3" s="31">
        <v>20</v>
      </c>
      <c r="C3" s="31">
        <v>8</v>
      </c>
      <c r="D3" s="26" t="s">
        <v>84</v>
      </c>
    </row>
    <row r="4" spans="1:19" x14ac:dyDescent="0.25">
      <c r="A4" s="31" t="s">
        <v>71</v>
      </c>
      <c r="B4" s="31">
        <v>23</v>
      </c>
      <c r="C4" s="31">
        <v>7</v>
      </c>
      <c r="D4" s="26" t="s">
        <v>79</v>
      </c>
    </row>
    <row r="5" spans="1:19" x14ac:dyDescent="0.25">
      <c r="A5" s="31" t="s">
        <v>74</v>
      </c>
      <c r="B5" s="31">
        <v>19</v>
      </c>
      <c r="C5" s="31">
        <v>7</v>
      </c>
      <c r="D5" s="26" t="s">
        <v>87</v>
      </c>
      <c r="E5" s="32" t="s">
        <v>88</v>
      </c>
      <c r="Q5" s="28" t="s">
        <v>310</v>
      </c>
      <c r="R5" s="28">
        <v>2</v>
      </c>
      <c r="S5" s="28" t="s">
        <v>311</v>
      </c>
    </row>
    <row r="6" spans="1:19" x14ac:dyDescent="0.25">
      <c r="A6" s="31" t="s">
        <v>75</v>
      </c>
      <c r="B6" s="31">
        <v>18</v>
      </c>
      <c r="C6" s="31">
        <v>6</v>
      </c>
      <c r="D6" s="26" t="s">
        <v>81</v>
      </c>
      <c r="E6" s="33" t="s">
        <v>86</v>
      </c>
      <c r="G6" s="28" t="s">
        <v>98</v>
      </c>
      <c r="H6" s="28" t="s">
        <v>94</v>
      </c>
      <c r="K6" s="28" t="s">
        <v>98</v>
      </c>
      <c r="L6" s="28" t="s">
        <v>93</v>
      </c>
      <c r="Q6" s="28" t="s">
        <v>312</v>
      </c>
      <c r="R6" s="28">
        <v>1</v>
      </c>
      <c r="S6" s="28" t="s">
        <v>313</v>
      </c>
    </row>
    <row r="7" spans="1:19" x14ac:dyDescent="0.25">
      <c r="A7" s="31" t="s">
        <v>76</v>
      </c>
      <c r="B7" s="31">
        <v>13</v>
      </c>
      <c r="C7" s="31">
        <v>28</v>
      </c>
      <c r="D7" s="26" t="s">
        <v>82</v>
      </c>
      <c r="E7" s="28" t="s">
        <v>83</v>
      </c>
      <c r="H7" s="34">
        <f>500000-455057-3011-109-SUM(H9:H18)</f>
        <v>-53</v>
      </c>
      <c r="L7" s="34">
        <f>600000-106584-SUM(L9:L28)</f>
        <v>30706</v>
      </c>
    </row>
    <row r="8" spans="1:19" x14ac:dyDescent="0.25">
      <c r="G8" s="35" t="s">
        <v>97</v>
      </c>
      <c r="H8" s="35" t="s">
        <v>96</v>
      </c>
      <c r="I8" s="35" t="s">
        <v>95</v>
      </c>
      <c r="K8" s="35" t="s">
        <v>97</v>
      </c>
      <c r="L8" s="35" t="s">
        <v>96</v>
      </c>
      <c r="M8" s="35" t="s">
        <v>95</v>
      </c>
    </row>
    <row r="9" spans="1:19" x14ac:dyDescent="0.25">
      <c r="G9" s="38">
        <v>43005</v>
      </c>
      <c r="H9" s="39">
        <v>1317</v>
      </c>
      <c r="I9" s="40" t="s">
        <v>90</v>
      </c>
      <c r="K9" s="38">
        <v>42995</v>
      </c>
      <c r="L9" s="39">
        <f>304+358</f>
        <v>662</v>
      </c>
      <c r="M9" s="40" t="s">
        <v>99</v>
      </c>
    </row>
    <row r="10" spans="1:19" x14ac:dyDescent="0.25">
      <c r="G10" s="38">
        <v>43015</v>
      </c>
      <c r="H10" s="39">
        <v>3011</v>
      </c>
      <c r="I10" s="40" t="s">
        <v>91</v>
      </c>
      <c r="K10" s="38">
        <v>42995</v>
      </c>
      <c r="L10" s="39">
        <v>560</v>
      </c>
      <c r="M10" s="40" t="s">
        <v>100</v>
      </c>
    </row>
    <row r="11" spans="1:19" x14ac:dyDescent="0.25">
      <c r="G11" s="36">
        <v>43024</v>
      </c>
      <c r="H11" s="37">
        <v>598</v>
      </c>
      <c r="I11" s="35" t="s">
        <v>115</v>
      </c>
      <c r="K11" s="38">
        <v>42995</v>
      </c>
      <c r="L11" s="39">
        <v>1270</v>
      </c>
      <c r="M11" s="40" t="s">
        <v>101</v>
      </c>
    </row>
    <row r="12" spans="1:19" x14ac:dyDescent="0.25">
      <c r="G12" s="36">
        <v>43036</v>
      </c>
      <c r="H12" s="37">
        <v>36950</v>
      </c>
      <c r="I12" s="35" t="s">
        <v>92</v>
      </c>
      <c r="K12" s="38">
        <v>42996</v>
      </c>
      <c r="L12" s="39">
        <v>404135</v>
      </c>
      <c r="M12" s="40" t="s">
        <v>102</v>
      </c>
    </row>
    <row r="13" spans="1:19" x14ac:dyDescent="0.25">
      <c r="G13" s="36"/>
      <c r="H13" s="37"/>
      <c r="I13" s="35"/>
      <c r="K13" s="38">
        <v>42997</v>
      </c>
      <c r="L13" s="39">
        <v>336</v>
      </c>
      <c r="M13" s="40" t="s">
        <v>103</v>
      </c>
    </row>
    <row r="14" spans="1:19" x14ac:dyDescent="0.25">
      <c r="G14" s="36"/>
      <c r="H14" s="37"/>
      <c r="I14" s="35"/>
      <c r="K14" s="38">
        <v>42998</v>
      </c>
      <c r="L14" s="39">
        <v>679</v>
      </c>
      <c r="M14" s="40" t="s">
        <v>104</v>
      </c>
    </row>
    <row r="15" spans="1:19" x14ac:dyDescent="0.25">
      <c r="G15" s="36"/>
      <c r="H15" s="37"/>
      <c r="I15" s="35"/>
      <c r="K15" s="38">
        <v>43000</v>
      </c>
      <c r="L15" s="39">
        <v>1470</v>
      </c>
      <c r="M15" s="40" t="s">
        <v>105</v>
      </c>
    </row>
    <row r="16" spans="1:19" x14ac:dyDescent="0.25">
      <c r="G16" s="36"/>
      <c r="H16" s="37"/>
      <c r="I16" s="35"/>
      <c r="K16" s="38">
        <v>43004</v>
      </c>
      <c r="L16" s="39">
        <v>1396</v>
      </c>
      <c r="M16" s="40" t="s">
        <v>106</v>
      </c>
    </row>
    <row r="17" spans="7:13" x14ac:dyDescent="0.25">
      <c r="G17" s="36"/>
      <c r="H17" s="37"/>
      <c r="I17" s="35"/>
      <c r="K17" s="38">
        <v>43003</v>
      </c>
      <c r="L17" s="39">
        <v>1980</v>
      </c>
      <c r="M17" s="40" t="s">
        <v>107</v>
      </c>
    </row>
    <row r="18" spans="7:13" x14ac:dyDescent="0.25">
      <c r="G18" s="36"/>
      <c r="H18" s="37"/>
      <c r="I18" s="35"/>
      <c r="K18" s="38">
        <v>43007</v>
      </c>
      <c r="L18" s="39">
        <v>1288</v>
      </c>
      <c r="M18" s="40" t="s">
        <v>110</v>
      </c>
    </row>
    <row r="19" spans="7:13" x14ac:dyDescent="0.25">
      <c r="K19" s="38">
        <v>43012</v>
      </c>
      <c r="L19" s="39">
        <v>1326</v>
      </c>
      <c r="M19" s="40" t="s">
        <v>111</v>
      </c>
    </row>
    <row r="20" spans="7:13" x14ac:dyDescent="0.25">
      <c r="K20" s="36">
        <v>43014</v>
      </c>
      <c r="L20" s="37">
        <v>1168</v>
      </c>
      <c r="M20" s="35" t="s">
        <v>101</v>
      </c>
    </row>
    <row r="21" spans="7:13" x14ac:dyDescent="0.25">
      <c r="K21" s="36">
        <v>43015</v>
      </c>
      <c r="L21" s="37">
        <v>1316</v>
      </c>
      <c r="M21" s="35" t="s">
        <v>113</v>
      </c>
    </row>
    <row r="22" spans="7:13" x14ac:dyDescent="0.25">
      <c r="K22" s="38">
        <v>43016</v>
      </c>
      <c r="L22" s="39">
        <v>8668</v>
      </c>
      <c r="M22" s="40" t="s">
        <v>108</v>
      </c>
    </row>
    <row r="23" spans="7:13" x14ac:dyDescent="0.25">
      <c r="K23" s="38">
        <v>43016</v>
      </c>
      <c r="L23" s="39">
        <v>895</v>
      </c>
      <c r="M23" s="40" t="s">
        <v>117</v>
      </c>
    </row>
    <row r="24" spans="7:13" x14ac:dyDescent="0.25">
      <c r="K24" s="36">
        <v>43017</v>
      </c>
      <c r="L24" s="37">
        <v>19900</v>
      </c>
      <c r="M24" s="35" t="s">
        <v>112</v>
      </c>
    </row>
    <row r="25" spans="7:13" x14ac:dyDescent="0.25">
      <c r="K25" s="36">
        <v>43020</v>
      </c>
      <c r="L25" s="37">
        <v>399</v>
      </c>
      <c r="M25" s="35" t="s">
        <v>114</v>
      </c>
    </row>
    <row r="26" spans="7:13" x14ac:dyDescent="0.25">
      <c r="K26" s="36">
        <v>43023</v>
      </c>
      <c r="L26" s="37">
        <v>1218</v>
      </c>
      <c r="M26" s="35" t="s">
        <v>116</v>
      </c>
    </row>
    <row r="27" spans="7:13" x14ac:dyDescent="0.25">
      <c r="K27" s="36">
        <v>43024</v>
      </c>
      <c r="L27" s="37">
        <v>5376</v>
      </c>
      <c r="M27" s="35" t="s">
        <v>118</v>
      </c>
    </row>
    <row r="28" spans="7:13" x14ac:dyDescent="0.25">
      <c r="K28" s="36">
        <v>43047</v>
      </c>
      <c r="L28" s="37">
        <v>8668</v>
      </c>
      <c r="M28" s="35" t="s">
        <v>109</v>
      </c>
    </row>
  </sheetData>
  <sortState xmlns:xlrd2="http://schemas.microsoft.com/office/spreadsheetml/2017/richdata2" ref="A2:C7">
    <sortCondition ref="C2"/>
  </sortState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2"/>
  <dimension ref="A1:E14"/>
  <sheetViews>
    <sheetView workbookViewId="0">
      <selection activeCell="R11" sqref="R11"/>
    </sheetView>
  </sheetViews>
  <sheetFormatPr defaultRowHeight="16.5" x14ac:dyDescent="0.25"/>
  <sheetData>
    <row r="1" spans="1:5" x14ac:dyDescent="0.25">
      <c r="A1" s="12">
        <v>201608</v>
      </c>
      <c r="B1" s="11">
        <v>18968</v>
      </c>
      <c r="C1" s="3"/>
      <c r="D1" s="3"/>
      <c r="E1" s="3"/>
    </row>
    <row r="2" spans="1:5" x14ac:dyDescent="0.25">
      <c r="A2" s="6" t="s">
        <v>27</v>
      </c>
      <c r="B2" s="7">
        <v>8259</v>
      </c>
      <c r="C2" s="3"/>
      <c r="D2" s="6" t="s">
        <v>28</v>
      </c>
      <c r="E2" s="8">
        <f>SUMIF(C:C,2,B:B)</f>
        <v>5820</v>
      </c>
    </row>
    <row r="3" spans="1:5" x14ac:dyDescent="0.25">
      <c r="A3" s="6" t="s">
        <v>29</v>
      </c>
      <c r="B3" s="8">
        <v>636</v>
      </c>
      <c r="C3" s="5">
        <v>1</v>
      </c>
      <c r="D3" s="3"/>
      <c r="E3" s="3"/>
    </row>
    <row r="4" spans="1:5" x14ac:dyDescent="0.25">
      <c r="A4" s="6" t="s">
        <v>30</v>
      </c>
      <c r="B4" s="9">
        <v>790</v>
      </c>
      <c r="C4" s="5">
        <v>2</v>
      </c>
      <c r="D4" s="6" t="s">
        <v>31</v>
      </c>
      <c r="E4" s="9">
        <f>SUMIF(C:C,1,B:B)</f>
        <v>2403</v>
      </c>
    </row>
    <row r="5" spans="1:5" x14ac:dyDescent="0.25">
      <c r="A5" s="6" t="s">
        <v>32</v>
      </c>
      <c r="B5" s="9">
        <v>3200</v>
      </c>
      <c r="C5" s="5">
        <v>2</v>
      </c>
      <c r="D5" s="3"/>
      <c r="E5" s="3"/>
    </row>
    <row r="6" spans="1:5" x14ac:dyDescent="0.25">
      <c r="A6" s="6" t="s">
        <v>33</v>
      </c>
      <c r="B6" s="7">
        <v>1000</v>
      </c>
      <c r="C6" s="3"/>
      <c r="D6" s="3"/>
      <c r="E6" s="3"/>
    </row>
    <row r="7" spans="1:5" x14ac:dyDescent="0.25">
      <c r="A7" s="6" t="s">
        <v>34</v>
      </c>
      <c r="B7" s="9">
        <v>390</v>
      </c>
      <c r="C7" s="5">
        <v>2</v>
      </c>
      <c r="D7" s="3"/>
      <c r="E7" s="3"/>
    </row>
    <row r="8" spans="1:5" x14ac:dyDescent="0.25">
      <c r="A8" s="6" t="s">
        <v>35</v>
      </c>
      <c r="B8" s="9">
        <v>280</v>
      </c>
      <c r="C8" s="5">
        <v>2</v>
      </c>
      <c r="D8" s="3"/>
      <c r="E8" s="3"/>
    </row>
    <row r="9" spans="1:5" x14ac:dyDescent="0.25">
      <c r="A9" s="6" t="s">
        <v>36</v>
      </c>
      <c r="B9" s="10">
        <v>500</v>
      </c>
      <c r="C9" s="3"/>
      <c r="D9" s="3"/>
      <c r="E9" s="3"/>
    </row>
    <row r="10" spans="1:5" x14ac:dyDescent="0.25">
      <c r="A10" s="6" t="s">
        <v>37</v>
      </c>
      <c r="B10" s="8">
        <v>680</v>
      </c>
      <c r="C10" s="5">
        <v>1</v>
      </c>
      <c r="D10" s="3"/>
      <c r="E10" s="3"/>
    </row>
    <row r="11" spans="1:5" x14ac:dyDescent="0.25">
      <c r="A11" s="6" t="s">
        <v>38</v>
      </c>
      <c r="B11" s="7">
        <v>1027</v>
      </c>
      <c r="C11" s="3"/>
      <c r="D11" s="3"/>
      <c r="E11" s="3"/>
    </row>
    <row r="12" spans="1:5" x14ac:dyDescent="0.25">
      <c r="A12" s="6" t="s">
        <v>39</v>
      </c>
      <c r="B12" s="8">
        <v>1087</v>
      </c>
      <c r="C12" s="5">
        <v>1</v>
      </c>
      <c r="D12" s="3"/>
      <c r="E12" s="3"/>
    </row>
    <row r="13" spans="1:5" x14ac:dyDescent="0.25">
      <c r="A13" s="6" t="s">
        <v>40</v>
      </c>
      <c r="B13" s="9">
        <v>1160</v>
      </c>
      <c r="C13" s="5">
        <v>2</v>
      </c>
      <c r="D13" s="3"/>
      <c r="E13" s="3"/>
    </row>
    <row r="14" spans="1:5" x14ac:dyDescent="0.25">
      <c r="A14" s="6" t="s">
        <v>41</v>
      </c>
      <c r="B14" s="7">
        <v>-41</v>
      </c>
      <c r="C14" s="3"/>
      <c r="D14" s="3"/>
      <c r="E14" s="3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9"/>
  <dimension ref="A1:C6"/>
  <sheetViews>
    <sheetView workbookViewId="0">
      <selection activeCell="C13" sqref="C13"/>
    </sheetView>
  </sheetViews>
  <sheetFormatPr defaultRowHeight="16.5" x14ac:dyDescent="0.25"/>
  <cols>
    <col min="2" max="2" width="13.625" style="76" bestFit="1" customWidth="1"/>
    <col min="3" max="3" width="17.5" bestFit="1" customWidth="1"/>
  </cols>
  <sheetData>
    <row r="1" spans="1:3" x14ac:dyDescent="0.25">
      <c r="A1" s="230" t="s">
        <v>287</v>
      </c>
      <c r="B1" s="231" t="s">
        <v>285</v>
      </c>
      <c r="C1" s="230" t="s">
        <v>286</v>
      </c>
    </row>
    <row r="2" spans="1:3" x14ac:dyDescent="0.25">
      <c r="A2">
        <v>2019</v>
      </c>
      <c r="B2" s="76">
        <f>'2019'!B4</f>
        <v>1643026</v>
      </c>
      <c r="C2" s="76">
        <f>'2019'!B4</f>
        <v>1643026</v>
      </c>
    </row>
    <row r="3" spans="1:3" x14ac:dyDescent="0.25">
      <c r="A3" s="75">
        <v>2020</v>
      </c>
      <c r="B3" s="76">
        <f>'2020'!B4</f>
        <v>2590038</v>
      </c>
      <c r="C3" s="76">
        <f>'2020'!B4-'2020'!L2-1000000</f>
        <v>1506704</v>
      </c>
    </row>
    <row r="4" spans="1:3" x14ac:dyDescent="0.25">
      <c r="A4" s="75">
        <v>2021</v>
      </c>
      <c r="B4" s="76">
        <f>'2021'!B4</f>
        <v>1795364</v>
      </c>
      <c r="C4" s="76">
        <f>'2021'!B6</f>
        <v>1462028</v>
      </c>
    </row>
    <row r="5" spans="1:3" x14ac:dyDescent="0.25">
      <c r="A5" s="75">
        <v>2022</v>
      </c>
      <c r="B5" s="76">
        <f>'2022'!B4</f>
        <v>1918708</v>
      </c>
      <c r="C5" s="76">
        <f>'2022'!B5</f>
        <v>1573541</v>
      </c>
    </row>
    <row r="6" spans="1:3" x14ac:dyDescent="0.25">
      <c r="A6" s="75">
        <v>2023</v>
      </c>
      <c r="B6" s="76">
        <f>'2023'!B4</f>
        <v>2306205.5099999998</v>
      </c>
      <c r="C6" s="76">
        <f>'2023'!B5</f>
        <v>2056203.5099999998</v>
      </c>
    </row>
  </sheetData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3"/>
  <dimension ref="A2:D9"/>
  <sheetViews>
    <sheetView workbookViewId="0">
      <selection activeCell="B13" sqref="B13"/>
    </sheetView>
  </sheetViews>
  <sheetFormatPr defaultRowHeight="16.5" x14ac:dyDescent="0.25"/>
  <cols>
    <col min="1" max="1" width="13" bestFit="1" customWidth="1"/>
    <col min="2" max="2" width="5.5" bestFit="1" customWidth="1"/>
    <col min="3" max="3" width="15.125" bestFit="1" customWidth="1"/>
    <col min="4" max="4" width="23" bestFit="1" customWidth="1"/>
  </cols>
  <sheetData>
    <row r="2" spans="1:4" x14ac:dyDescent="0.25">
      <c r="A2" s="6" t="s">
        <v>57</v>
      </c>
      <c r="B2" s="308" t="s">
        <v>61</v>
      </c>
      <c r="C2" s="308"/>
      <c r="D2" s="6" t="s">
        <v>142</v>
      </c>
    </row>
    <row r="3" spans="1:4" x14ac:dyDescent="0.25">
      <c r="A3" s="309" t="s">
        <v>58</v>
      </c>
      <c r="B3" s="23" t="s">
        <v>63</v>
      </c>
      <c r="C3" s="22" t="s">
        <v>67</v>
      </c>
      <c r="D3" s="6" t="s">
        <v>217</v>
      </c>
    </row>
    <row r="4" spans="1:4" s="3" customFormat="1" x14ac:dyDescent="0.25">
      <c r="A4" s="309"/>
      <c r="B4" s="23" t="s">
        <v>62</v>
      </c>
      <c r="C4" s="22" t="s">
        <v>64</v>
      </c>
      <c r="D4" s="6"/>
    </row>
    <row r="5" spans="1:4" x14ac:dyDescent="0.25">
      <c r="A5" s="6" t="s">
        <v>68</v>
      </c>
      <c r="B5" s="24" t="s">
        <v>65</v>
      </c>
      <c r="C5" s="6" t="s">
        <v>59</v>
      </c>
      <c r="D5" s="6" t="s">
        <v>215</v>
      </c>
    </row>
    <row r="6" spans="1:4" x14ac:dyDescent="0.25">
      <c r="A6" s="21" t="s">
        <v>69</v>
      </c>
      <c r="B6" s="25" t="s">
        <v>66</v>
      </c>
      <c r="C6" s="22" t="s">
        <v>60</v>
      </c>
      <c r="D6" s="6" t="s">
        <v>216</v>
      </c>
    </row>
    <row r="7" spans="1:4" x14ac:dyDescent="0.25">
      <c r="A7" s="21" t="s">
        <v>141</v>
      </c>
      <c r="B7" s="6"/>
      <c r="C7" s="6"/>
      <c r="D7" s="6" t="s">
        <v>216</v>
      </c>
    </row>
    <row r="8" spans="1:4" x14ac:dyDescent="0.25">
      <c r="A8" s="21" t="s">
        <v>211</v>
      </c>
      <c r="B8" s="6"/>
      <c r="C8" s="6"/>
      <c r="D8" s="21" t="s">
        <v>212</v>
      </c>
    </row>
    <row r="9" spans="1:4" x14ac:dyDescent="0.25">
      <c r="A9" s="21" t="s">
        <v>213</v>
      </c>
      <c r="B9" s="6"/>
      <c r="C9" s="6"/>
      <c r="D9" s="21" t="s">
        <v>214</v>
      </c>
    </row>
  </sheetData>
  <mergeCells count="2">
    <mergeCell ref="B2:C2"/>
    <mergeCell ref="A3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2024</vt:lpstr>
      <vt:lpstr>2023</vt:lpstr>
      <vt:lpstr>2025</vt:lpstr>
      <vt:lpstr>2026</vt:lpstr>
      <vt:lpstr>2027</vt:lpstr>
      <vt:lpstr>留底</vt:lpstr>
      <vt:lpstr>2023繳稅</vt:lpstr>
      <vt:lpstr>2022</vt:lpstr>
      <vt:lpstr>2021</vt:lpstr>
      <vt:lpstr>2020</vt:lpstr>
      <vt:lpstr>2019</vt:lpstr>
      <vt:lpstr>工作表1</vt:lpstr>
      <vt:lpstr>工作表2</vt:lpstr>
      <vt:lpstr>台新</vt:lpstr>
      <vt:lpstr>年度表</vt:lpstr>
      <vt:lpstr>繳費資訊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丁純蘭</dc:creator>
  <cp:lastModifiedBy>丁純蘭</cp:lastModifiedBy>
  <cp:lastPrinted>2026-03-26T09:30:06Z</cp:lastPrinted>
  <dcterms:created xsi:type="dcterms:W3CDTF">2016-04-01T02:49:43Z</dcterms:created>
  <dcterms:modified xsi:type="dcterms:W3CDTF">2026-08-19T09:48:05Z</dcterms:modified>
</cp:coreProperties>
</file>